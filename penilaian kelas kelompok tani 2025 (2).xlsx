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3BEE716D-4537-4B51-A341-D8071479FC87}" xr6:coauthVersionLast="47" xr6:coauthVersionMax="47" xr10:uidLastSave="{00000000-0000-0000-0000-000000000000}"/>
  <bookViews>
    <workbookView xWindow="-110" yWindow="-110" windowWidth="19420" windowHeight="10300" tabRatio="908" activeTab="8" xr2:uid="{00000000-000D-0000-FFFF-FFFF00000000}"/>
  </bookViews>
  <sheets>
    <sheet name="Data Desa" sheetId="2" r:id="rId1"/>
    <sheet name="Data Poktan List" sheetId="1" r:id="rId2"/>
    <sheet name="Data Poktan List (2)" sheetId="12" r:id="rId3"/>
    <sheet name="Data Aspek" sheetId="4" r:id="rId4"/>
    <sheet name="Data Indikator" sheetId="5" r:id="rId5"/>
    <sheet name="Data Kriteria Indikator" sheetId="6" r:id="rId6"/>
    <sheet name="Nama Poktan2" sheetId="10" r:id="rId7"/>
    <sheet name="Sheet1" sheetId="11" r:id="rId8"/>
    <sheet name="Instrumen" sheetId="14" r:id="rId9"/>
  </sheets>
  <externalReferences>
    <externalReference r:id="rId10"/>
    <externalReference r:id="rId11"/>
    <externalReference r:id="rId12"/>
  </externalReferences>
  <definedNames>
    <definedName name="_xlnm._FilterDatabase" localSheetId="7" hidden="1">Sheet1!$A$1:$V$327</definedName>
    <definedName name="Arjosari">'Data Desa'!$B$2:$B$18</definedName>
    <definedName name="ASPEK">'Data Aspek'!$A$2:$A$6</definedName>
    <definedName name="Bandar">'Data Desa'!$C$2:$C$9</definedName>
    <definedName name="Desa_Arjosari">'Data Desa'!$N$2:$N$24</definedName>
    <definedName name="Desa_Arjowinangun">'Data Desa'!$CS$2:$CS$24</definedName>
    <definedName name="Desa_Bandar">'Data Desa'!$AE$2:$AE$24</definedName>
    <definedName name="Desa_Bangunsari__Bandar">'Data Desa'!$AF$2:$AF$24</definedName>
    <definedName name="Desa_Bangunsari__Pacitan">'Data Desa'!$CU$2:$CU$24</definedName>
    <definedName name="Desa_Banjarjo">'Data Desa'!$AY$2:$AY$24</definedName>
    <definedName name="Desa_Banjarsari">'Data Desa'!$CV$2:$CV$24</definedName>
    <definedName name="Desa_Belah">'Data Desa'!$AM$2:$AM$24</definedName>
    <definedName name="Desa_Bodag">'Data Desa'!$CA$2:$CA$24</definedName>
    <definedName name="Desa_Bogoharjo">'Data Desa'!$CB$2:$CB$24</definedName>
    <definedName name="Desa_Bolosingo">'Data Desa'!$CW$2:$CW$24</definedName>
    <definedName name="Desa_Bomo">'Data Desa'!$EE$2:$EE$24</definedName>
    <definedName name="Desa_Borang">'Data Desa'!$O$2:$O$24</definedName>
    <definedName name="Desa_Bubakan">'Data Desa'!$FM$2:$FM$24</definedName>
    <definedName name="Desa_Bungur">'Data Desa'!$FN$2:$FN$24</definedName>
    <definedName name="Desa_Candi">'Data Desa'!$DR$2:$DR$24</definedName>
    <definedName name="Desa_Cangkring">'Data Desa'!$CC$2:$CC$24</definedName>
    <definedName name="Desa_Cemeng">'Data Desa'!$AN$2:$AN$24</definedName>
    <definedName name="Desa_Cokrokembang">'Data Desa'!$CD$2:$CD$24</definedName>
    <definedName name="Desa_Dadapan">'Data Desa'!$DS$2:$DS$24</definedName>
    <definedName name="Desa_Dersono">'Data Desa'!$DT$2:$DT$24</definedName>
    <definedName name="Desa_Donorojo">'Data Desa'!$AO$2:$AO$24</definedName>
    <definedName name="Desa_Gasang">'Data Desa'!$FO$2:$FO$24</definedName>
    <definedName name="Desa_Gawang">'Data Desa'!$AZ$2:$AZ$24</definedName>
    <definedName name="Desa_Gayuhan">'Data Desa'!$P$2:$P$24</definedName>
    <definedName name="Desa_Gedangan">'Data Desa'!$FB$2:$FB$24</definedName>
    <definedName name="Desa_Gedompol">'Data Desa'!$AP$2:$AP$24</definedName>
    <definedName name="Desa_Gegeran">'Data Desa'!$Q$2:$Q$24</definedName>
    <definedName name="Desa_Gemaharjo">'Data Desa'!$FC$2:$FC$24</definedName>
    <definedName name="Desa_Gembong">'Data Desa'!$R$2:$R$24</definedName>
    <definedName name="Desa_Gembuk">'Data Desa'!$BA$2:$BA$24</definedName>
    <definedName name="Desa_Gendaran">'Data Desa'!$AQ$2:$AQ$24</definedName>
    <definedName name="Desa_Glinggangan">'Data Desa'!$DU$2:$DU$24</definedName>
    <definedName name="Desa_Gondang">'Data Desa'!$BR$2:$BR$24</definedName>
    <definedName name="Desa_Gondosari">'Data Desa'!$EF$2:$EF$24</definedName>
    <definedName name="Desa_Gunung_Rejo">'Data Desa'!$ER$2:$ER$24</definedName>
    <definedName name="Desa_Gunungsari">'Data Desa'!$S$2:$S$24</definedName>
    <definedName name="Desa_Hadiluwih">'Data Desa'!$CE$2:$CE$24</definedName>
    <definedName name="Desa_Hadiwarno">'Data Desa'!$CF$2:$CF$24</definedName>
    <definedName name="Desa_Jatigunung">'Data Desa'!$FP$2:$FP$24</definedName>
    <definedName name="Desa_Jatimalang">'Data Desa'!$T$2:$T$24</definedName>
    <definedName name="Desa_Jeruk">'Data Desa'!$AG$2:$AG$24</definedName>
    <definedName name="Desa_Jetak">'Data Desa'!$FQ$2:$FQ$24</definedName>
    <definedName name="Desa_Jetis_Kidul">'Data Desa'!$U$2:$U$24</definedName>
    <definedName name="Desa_Jetislor">'Data Desa'!$BS$2:$BS$24</definedName>
    <definedName name="Desa_Jlubang">'Data Desa'!$DV$2:$DV$24</definedName>
    <definedName name="Desa_Kalak">'Data Desa'!$AR$2:$AR$24</definedName>
    <definedName name="Desa_Kalikuning">'Data Desa'!$FR$2:$FR$24</definedName>
    <definedName name="Desa_Kalipelus">'Data Desa'!$BB$2:$BB$24</definedName>
    <definedName name="Desa_Karang_Mulyo">'Data Desa'!$ES$2:$ES$24</definedName>
    <definedName name="Desa_Karanganyar">'Data Desa'!$BC$2:$BC$24</definedName>
    <definedName name="Desa_Karanggede">'Data Desa'!$V$2:$V$24</definedName>
    <definedName name="Desa_Karangnongko">'Data Desa'!$BD$2:$BD$24</definedName>
    <definedName name="Desa_Karangrejo">'Data Desa'!$W$2:$W$24</definedName>
    <definedName name="Desa_Kasihan">'Data Desa'!$FD$2:$FD$24</definedName>
    <definedName name="Desa_Katipugal">'Data Desa'!$BE$2:$BE$24</definedName>
    <definedName name="Desa_Kayen">'Data Desa'!$CX$2:$CX$24</definedName>
    <definedName name="Desa_Kebonagung">'Data Desa'!$BF$2:$BF$24</definedName>
    <definedName name="Desa_Kebondalem">'Data Desa'!$FE$2:$FE$24</definedName>
    <definedName name="Desa_Kebonsari">'Data Desa'!$EG$2:$EG$24</definedName>
    <definedName name="Desa_Kedungbendo">'Data Desa'!$X$2:$X$24</definedName>
    <definedName name="Desa_Kembang">'Data Desa'!$CY$2:$CY$24</definedName>
    <definedName name="Desa_Kemuning">'Data Desa'!$FF$2:$FF$24</definedName>
    <definedName name="Desa_Kendal">'Data Desa'!$EH$2:$EH$24</definedName>
    <definedName name="Desa_Ketanggung">'Data Desa'!$ET$2:$ET$24</definedName>
    <definedName name="Desa_Ketepung">'Data Desa'!$BG$2:$BG$24</definedName>
    <definedName name="Desa_Ketro__Kebonagung">'Data Desa'!$BH$2:$BH$24</definedName>
    <definedName name="Desa_Ketro__Tulakan">'Data Desa'!$FS$2:$FS$24</definedName>
    <definedName name="Desa_Ketro_Harjo">'Data Desa'!$FT$2:$FT$24</definedName>
    <definedName name="Desa_Kledung">'Data Desa'!$AH$2:$AH$24</definedName>
    <definedName name="Desa_Klepu__Donorojo">'Data Desa'!$AS$2:$AS$24</definedName>
    <definedName name="Desa_Klepu__Sudimoro">'Data Desa'!$EU$2:$EU$24</definedName>
    <definedName name="Desa_Klesem">'Data Desa'!$BI$2:$BI$24</definedName>
    <definedName name="Desa_Kluwih">'Data Desa'!$FU$2:$FU$24</definedName>
    <definedName name="Desa_Losari">'Data Desa'!$FV$2:$FV$24</definedName>
    <definedName name="Desa_Mangunharjo">'Data Desa'!$Y$2:$Y$24</definedName>
    <definedName name="Desa_Mantren__Kebonagung">'Data Desa'!$BJ$2:$BJ$24</definedName>
    <definedName name="Desa_Mantren__Punung">'Data Desa'!$EI$2:$EI$24</definedName>
    <definedName name="Desa_Menadi">'Data Desa'!$CZ$2:$CZ$24</definedName>
    <definedName name="Desa_Mendolo_Kidul">'Data Desa'!$EJ$2:$EJ$24</definedName>
    <definedName name="Desa_Mendolo_Lor">'Data Desa'!$EK$2:$EK$24</definedName>
    <definedName name="Desa_Mentoro">'Data Desa'!$DA$2:$DA$24</definedName>
    <definedName name="Desa_Mlati">'Data Desa'!$Z$2:$Z$24</definedName>
    <definedName name="Desa_Mujing">'Data Desa'!$BT$2:$BT$24</definedName>
    <definedName name="Desa_Nanggungan">'Data Desa'!$DB$2:$DB$24</definedName>
    <definedName name="Desa_Nawangan">'Data Desa'!$BU$2:$BU$24</definedName>
    <definedName name="Desa_Ngadirejan">'Data Desa'!$DW$2:$DW$24</definedName>
    <definedName name="Desa_Ngadirojo">'Data Desa'!$CG$2:$CG$24</definedName>
    <definedName name="Desa_Ngile">'Data Desa'!$FW$2:$FW$24</definedName>
    <definedName name="Desa_Nglaran">'Data Desa'!$FX$2:$FX$24</definedName>
    <definedName name="Desa_Ngreco">'Data Desa'!$FG$2:$FG$24</definedName>
    <definedName name="Desa_Ngromo">'Data Desa'!$BV$2:$BV$24</definedName>
    <definedName name="Desa_Ngumbul">'Data Desa'!$FY$2:$FY$24</definedName>
    <definedName name="Desa_Ngunut">'Data Desa'!$AI$2:$AI$24</definedName>
    <definedName name="Desa_Nogosari">'Data Desa'!$CH$2:$CH$24</definedName>
    <definedName name="Desa_Padi">'Data Desa'!$FZ$2:$FZ$24</definedName>
    <definedName name="Desa_Pager_Kidul">'Data Desa'!$EV$2:$EV$24</definedName>
    <definedName name="Desa_Pager_Lor">'Data Desa'!$EW$2:$EW$24</definedName>
    <definedName name="Desa_Pagerejo">'Data Desa'!$CI$2:$CI$24</definedName>
    <definedName name="Desa_Pagutan">'Data Desa'!$AA$2:$AA$24</definedName>
    <definedName name="Desa_Pakisbaru">'Data Desa'!$BW$2:$BW$24</definedName>
    <definedName name="Desa_Pelem">'Data Desa'!$DX$2:$DX$24</definedName>
    <definedName name="Desa_Penggung">'Data Desa'!$BX$2:$BX$24</definedName>
    <definedName name="Desa_Petungsinarang">'Data Desa'!$AJ$2:$AJ$24</definedName>
    <definedName name="Desa_Piton">'Data Desa'!$EL$2:$EL$24</definedName>
    <definedName name="Desa_Ploso__Punung">'Data Desa'!$EM$2:$EM$24</definedName>
    <definedName name="Desa_Ploso__Tegalombo">'Data Desa'!$FH$2:$FH$24</definedName>
    <definedName name="Desa_Plumbungan">'Data Desa'!$BK$2:$BK$24</definedName>
    <definedName name="Desa_Poko">'Data Desa'!$DY$2:$DY$24</definedName>
    <definedName name="Desa_Ponggok">'Data Desa'!$DE$2:$DE$24</definedName>
    <definedName name="Desa_Pringkuku">'Data Desa'!$DZ$2:$DZ$24</definedName>
    <definedName name="Desa_Pucangombo">'Data Desa'!$FI$2:$FI$24</definedName>
    <definedName name="Desa_Punjung">'Data Desa'!$BL$2:$BL$24</definedName>
    <definedName name="Desa_Punung">'Data Desa'!$EN$2:$EN$24</definedName>
    <definedName name="Desa_Purwoasri">'Data Desa'!$BM$2:$BM$24</definedName>
    <definedName name="Desa_Purworejo">'Data Desa'!$DG$2:$DG$24</definedName>
    <definedName name="Desa_Sambong">'Data Desa'!$DH$2:$DH$24</definedName>
    <definedName name="Desa_Sanggrahan">'Data Desa'!$BN$2:$BN$24</definedName>
    <definedName name="Desa_Sawahan">'Data Desa'!$AT$2:$AT$24</definedName>
    <definedName name="Desa_Sedayu">'Data Desa'!$AB$2:$AB$24</definedName>
    <definedName name="Desa_Sedeng">'Data Desa'!$DI$2:$DI$24</definedName>
    <definedName name="Desa_Sekar">'Data Desa'!$AU$2:$AU$24</definedName>
    <definedName name="Desa_Semanten">'Data Desa'!$DJ$2:$DJ$24</definedName>
    <definedName name="Desa_Sembowo">'Data Desa'!$EX$2:$EX$24</definedName>
    <definedName name="Desa_Sempu">'Data Desa'!$BY$2:$BY$24</definedName>
    <definedName name="Desa_Sendang">'Data Desa'!$AV$2:$AV$24</definedName>
    <definedName name="Desa_Sidomulyo__Kebonagung">'Data Desa'!$BO$2:$BO$24</definedName>
    <definedName name="Desa_Sidomulyo__Ngadirojo">'Data Desa'!$CJ$2:$CJ$24</definedName>
    <definedName name="Desa_Sirnoboyo">'Data Desa'!$DL$2:$DL$24</definedName>
    <definedName name="Desa_Sobo">'Data Desa'!$EA$2:$EA$24</definedName>
    <definedName name="Desa_Sooka">'Data Desa'!$EO$2:$EO$24</definedName>
    <definedName name="Desa_Sudimoro">'Data Desa'!$EY$2:$EY$24</definedName>
    <definedName name="Desa_Sugihwaras">'Data Desa'!$EB$2:$EB$24</definedName>
    <definedName name="Desa_Sukodono">'Data Desa'!$AW$2:$AW$24</definedName>
    <definedName name="Desa_Sukoharjo">'Data Desa'!$DM$2:$DM$24</definedName>
    <definedName name="Desa_Sukorejo">'Data Desa'!$EZ$2:$EZ$24</definedName>
    <definedName name="Desa_Sumber_Rejo">'Data Desa'!$FA$2:$FA$24</definedName>
    <definedName name="Desa_Sumberharjo">'Data Desa'!$DN$2:$DN$24</definedName>
    <definedName name="Desa_Tahunan">'Data Desa'!$FJ$2:$FJ$24</definedName>
    <definedName name="Desa_Tahunan_Baru">'Data Desa'!$FK$2:$FK$24</definedName>
    <definedName name="Desa_Tamanasri">'Data Desa'!$EC$2:$EC$24</definedName>
    <definedName name="Desa_Tambakrejo">'Data Desa'!$DO$2:$DO$24</definedName>
    <definedName name="Desa_Tanjunglor">'Data Desa'!$CK$2:$CK$24</definedName>
    <definedName name="Desa_Tanjungpuro">'Data Desa'!$CL$2:$CL$24</definedName>
    <definedName name="Desa_Tanjungsari">'Data Desa'!$DP$2:$DP$24</definedName>
    <definedName name="Desa_Tegalombo">'Data Desa'!$FL$2:$FL$24</definedName>
    <definedName name="Desa_Temon">'Data Desa'!$AC$2:$AC$24</definedName>
    <definedName name="Desa_Tinatar">'Data Desa'!$EP$2:$EP$24</definedName>
    <definedName name="Desa_Tokawi">'Data Desa'!$BZ$2:$BZ$24</definedName>
    <definedName name="Desa_Tremas">'Data Desa'!$AD$2:$AD$24</definedName>
    <definedName name="Desa_Tulakan">'Data Desa'!$GA$2:$GA$24</definedName>
    <definedName name="Desa_Tumpuk">'Data Desa'!$AK$2:$AK$24</definedName>
    <definedName name="Desa_Wareng">'Data Desa'!$EQ$2:$EQ$24</definedName>
    <definedName name="Desa_Watu_Karung">'Data Desa'!$ED$2:$ED$24</definedName>
    <definedName name="Desa_Watupatok">'Data Desa'!$AL$2:$AL$24</definedName>
    <definedName name="Desa_Widoro__Donorojo">'Data Desa'!$AX$2:$AX$24</definedName>
    <definedName name="Desa_Widoro__Pacitan">'Data Desa'!$DQ$2:$DQ$24</definedName>
    <definedName name="Desa_Wiyoro">'Data Desa'!$CM$2:$CM$24</definedName>
    <definedName name="Desa_Wonoanti">'Data Desa'!$GB$2:$GB$24</definedName>
    <definedName name="Desa_Wonoasri">'Data Desa'!$CN$2:$CN$24</definedName>
    <definedName name="Desa_Wonodadi_Kulon">'Data Desa'!$CO$2:$CO$24</definedName>
    <definedName name="Desa_Wonodadi_Wetan">'Data Desa'!$CP$2:$CP$24</definedName>
    <definedName name="Desa_Wonogondo">'Data Desa'!$BP$2:$BP$24</definedName>
    <definedName name="Desa_Wonokarto">'Data Desa'!$CQ$2:$CQ$24</definedName>
    <definedName name="Desa_Wonosidi">'Data Desa'!$GC$2:$GC$24</definedName>
    <definedName name="Desa_Wonosobo">'Data Desa'!$CR$2:$CR$24</definedName>
    <definedName name="Desa_Worawari">'Data Desa'!$BQ$2:$BQ$24</definedName>
    <definedName name="Donorojo">'Data Desa'!$D$2:$D$13</definedName>
    <definedName name="Kebonagung">'Data Desa'!$E$2:$E$20</definedName>
    <definedName name="Kecamatan">'Data Desa'!$A$2:$A$13</definedName>
    <definedName name="Kelurahan_Baleharjo">'Data Desa'!$CT$2:$CT$24</definedName>
    <definedName name="Kelurahan_Pacitan">'Data Desa'!$DC$2:$DC$24</definedName>
    <definedName name="Kelurahan_Ploso__Pacitan">'Data Desa'!$DD$2:$DD$24</definedName>
    <definedName name="Kelurahan_Pucangsewu">'Data Desa'!$DF$2:$DF$24</definedName>
    <definedName name="Kelurahan_Sidoharjo">'Data Desa'!$DK$2:$DK$24</definedName>
    <definedName name="Kemampuan_Melaksanakan_Kegiatan">'Data Aspek'!$D$2:$D$6</definedName>
    <definedName name="Kemampuan_Melakukan_Pengendalian_dan_Pelaporan">'Data Aspek'!$E$2</definedName>
    <definedName name="Kemampuan_Mengembangkan_Kepemimpinan_Kelompok_Tani">'Data Aspek'!$F$2</definedName>
    <definedName name="Kemampuan_Mengorganisasikan">'Data Aspek'!$C$2:$C$4</definedName>
    <definedName name="Kemampuan_Merencanakan">'Data Aspek'!$B$2:$B$3</definedName>
    <definedName name="Nawangan">'Data Desa'!$F$2:$F$10</definedName>
    <definedName name="Ngadirojo">'Data Desa'!$G$2:$G$19</definedName>
    <definedName name="Pacitan">'Data Desa'!$H$2:$H$26</definedName>
    <definedName name="Pringkuku">'Data Desa'!$I$2:$I$14</definedName>
    <definedName name="Punung">'Data Desa'!$J$2:$J$14</definedName>
    <definedName name="Sudimoro">'Data Desa'!$K$2:$K$11</definedName>
    <definedName name="Tegalombo">'Data Desa'!$L$2:$L$12</definedName>
    <definedName name="Tulakan">'Data Desa'!$M$2:$M$18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4" l="1" a="1"/>
  <c r="D27" i="14" s="1"/>
  <c r="D29" i="14" a="1"/>
  <c r="D29" i="14" s="1"/>
  <c r="H61" i="14" l="1"/>
  <c r="G61" i="14"/>
  <c r="E29" i="14" s="1"/>
  <c r="A17" i="12"/>
  <c r="A18" i="12"/>
  <c r="A19" i="12"/>
  <c r="A20" i="12"/>
  <c r="A16" i="12"/>
  <c r="U327" i="11"/>
  <c r="V327" i="11" s="1"/>
  <c r="U326" i="11"/>
  <c r="V326" i="11" s="1"/>
  <c r="U325" i="11"/>
  <c r="V325" i="11" s="1"/>
  <c r="U324" i="11"/>
  <c r="V324" i="11" s="1"/>
  <c r="U323" i="11"/>
  <c r="V323" i="11" s="1"/>
  <c r="U322" i="11"/>
  <c r="V322" i="11" s="1"/>
  <c r="U321" i="11"/>
  <c r="V321" i="11" s="1"/>
  <c r="U320" i="11"/>
  <c r="V320" i="11" s="1"/>
  <c r="U319" i="11"/>
  <c r="V319" i="11" s="1"/>
  <c r="U318" i="11"/>
  <c r="V318" i="11" s="1"/>
  <c r="U317" i="11"/>
  <c r="V317" i="11" s="1"/>
  <c r="U316" i="11"/>
  <c r="V316" i="11" s="1"/>
  <c r="U315" i="11"/>
  <c r="V315" i="11" s="1"/>
  <c r="U314" i="11"/>
  <c r="V314" i="11" s="1"/>
  <c r="U313" i="11"/>
  <c r="V313" i="11" s="1"/>
  <c r="U312" i="11"/>
  <c r="V312" i="11" s="1"/>
  <c r="U311" i="11"/>
  <c r="V311" i="11" s="1"/>
  <c r="U310" i="11"/>
  <c r="V310" i="11" s="1"/>
  <c r="U309" i="11"/>
  <c r="V309" i="11" s="1"/>
  <c r="U308" i="11"/>
  <c r="V308" i="11" s="1"/>
  <c r="U307" i="11"/>
  <c r="V307" i="11" s="1"/>
  <c r="U306" i="11"/>
  <c r="V306" i="11" s="1"/>
  <c r="U305" i="11"/>
  <c r="V305" i="11" s="1"/>
  <c r="U304" i="11"/>
  <c r="V304" i="11" s="1"/>
  <c r="U303" i="11"/>
  <c r="V303" i="11" s="1"/>
  <c r="U302" i="11"/>
  <c r="V302" i="11" s="1"/>
  <c r="U301" i="11"/>
  <c r="V301" i="11" s="1"/>
  <c r="U300" i="11"/>
  <c r="V300" i="11" s="1"/>
  <c r="U299" i="11"/>
  <c r="V299" i="11" s="1"/>
  <c r="U298" i="11"/>
  <c r="V298" i="11" s="1"/>
  <c r="U297" i="11"/>
  <c r="V297" i="11" s="1"/>
  <c r="U296" i="11"/>
  <c r="V296" i="11" s="1"/>
  <c r="U295" i="11"/>
  <c r="V295" i="11" s="1"/>
  <c r="U294" i="11"/>
  <c r="V294" i="11" s="1"/>
  <c r="U293" i="11"/>
  <c r="V293" i="11" s="1"/>
  <c r="U292" i="11"/>
  <c r="V292" i="11" s="1"/>
  <c r="U291" i="11"/>
  <c r="V291" i="11" s="1"/>
  <c r="U290" i="11"/>
  <c r="V290" i="11" s="1"/>
  <c r="U289" i="11"/>
  <c r="V289" i="11" s="1"/>
  <c r="U288" i="11"/>
  <c r="V288" i="11" s="1"/>
  <c r="U287" i="11"/>
  <c r="V287" i="11" s="1"/>
  <c r="U286" i="11"/>
  <c r="V286" i="11" s="1"/>
  <c r="U285" i="11"/>
  <c r="V285" i="11" s="1"/>
  <c r="U284" i="11"/>
  <c r="V284" i="11" s="1"/>
  <c r="U283" i="11"/>
  <c r="V283" i="11" s="1"/>
  <c r="U282" i="11"/>
  <c r="V282" i="11" s="1"/>
  <c r="U281" i="11"/>
  <c r="V281" i="11" s="1"/>
  <c r="U280" i="11"/>
  <c r="V280" i="11" s="1"/>
  <c r="U279" i="11"/>
  <c r="V279" i="11" s="1"/>
  <c r="U278" i="11"/>
  <c r="V278" i="11" s="1"/>
  <c r="U277" i="11"/>
  <c r="V277" i="11" s="1"/>
  <c r="U276" i="11"/>
  <c r="V276" i="11" s="1"/>
  <c r="U275" i="11"/>
  <c r="V275" i="11" s="1"/>
  <c r="U274" i="11"/>
  <c r="V274" i="11" s="1"/>
  <c r="U273" i="11"/>
  <c r="V273" i="11" s="1"/>
  <c r="U272" i="11"/>
  <c r="V272" i="11" s="1"/>
  <c r="U271" i="11"/>
  <c r="V271" i="11" s="1"/>
  <c r="U270" i="11"/>
  <c r="V270" i="11" s="1"/>
  <c r="U269" i="11"/>
  <c r="V269" i="11" s="1"/>
  <c r="U268" i="11"/>
  <c r="V268" i="11" s="1"/>
  <c r="U267" i="11"/>
  <c r="V267" i="11" s="1"/>
  <c r="V266" i="11"/>
  <c r="U266" i="11"/>
  <c r="U265" i="11"/>
  <c r="V265" i="11" s="1"/>
  <c r="U264" i="11"/>
  <c r="V264" i="11" s="1"/>
  <c r="U263" i="11"/>
  <c r="V263" i="11" s="1"/>
  <c r="U262" i="11"/>
  <c r="V262" i="11" s="1"/>
  <c r="U261" i="11"/>
  <c r="V261" i="11" s="1"/>
  <c r="U260" i="11"/>
  <c r="V260" i="11" s="1"/>
  <c r="V259" i="11"/>
  <c r="U259" i="11"/>
  <c r="U258" i="11"/>
  <c r="V258" i="11" s="1"/>
  <c r="U257" i="11"/>
  <c r="V257" i="11" s="1"/>
  <c r="U256" i="11"/>
  <c r="V256" i="11" s="1"/>
  <c r="U255" i="11"/>
  <c r="V255" i="11" s="1"/>
  <c r="U254" i="11"/>
  <c r="V254" i="11" s="1"/>
  <c r="U253" i="11"/>
  <c r="V253" i="11" s="1"/>
  <c r="U252" i="11"/>
  <c r="V252" i="11" s="1"/>
  <c r="U251" i="11"/>
  <c r="V251" i="11" s="1"/>
  <c r="U250" i="11"/>
  <c r="V250" i="11" s="1"/>
  <c r="U249" i="11"/>
  <c r="V249" i="11" s="1"/>
  <c r="U248" i="11"/>
  <c r="V248" i="11" s="1"/>
  <c r="U247" i="11"/>
  <c r="V247" i="11" s="1"/>
  <c r="U246" i="11"/>
  <c r="V246" i="11" s="1"/>
  <c r="U245" i="11"/>
  <c r="V245" i="11" s="1"/>
  <c r="U244" i="11"/>
  <c r="V244" i="11" s="1"/>
  <c r="U243" i="11"/>
  <c r="V243" i="11" s="1"/>
  <c r="U242" i="11"/>
  <c r="V242" i="11" s="1"/>
  <c r="U241" i="11"/>
  <c r="V241" i="11" s="1"/>
  <c r="U240" i="11"/>
  <c r="V240" i="11" s="1"/>
  <c r="U239" i="11"/>
  <c r="V239" i="11" s="1"/>
  <c r="U238" i="11"/>
  <c r="V238" i="11" s="1"/>
  <c r="U237" i="11"/>
  <c r="V237" i="11" s="1"/>
  <c r="U236" i="11"/>
  <c r="V236" i="11" s="1"/>
  <c r="U235" i="11"/>
  <c r="V235" i="11" s="1"/>
  <c r="U234" i="11"/>
  <c r="V234" i="11" s="1"/>
  <c r="U233" i="11"/>
  <c r="V233" i="11" s="1"/>
  <c r="U232" i="11"/>
  <c r="V232" i="11" s="1"/>
  <c r="U231" i="11"/>
  <c r="V231" i="11" s="1"/>
  <c r="U230" i="11"/>
  <c r="V230" i="11" s="1"/>
  <c r="U229" i="11"/>
  <c r="V229" i="11" s="1"/>
  <c r="U228" i="11"/>
  <c r="V228" i="11" s="1"/>
  <c r="U227" i="11"/>
  <c r="V227" i="11" s="1"/>
  <c r="U226" i="11"/>
  <c r="V226" i="11" s="1"/>
  <c r="U225" i="11"/>
  <c r="V225" i="11" s="1"/>
  <c r="U224" i="11"/>
  <c r="V224" i="11" s="1"/>
  <c r="U223" i="11"/>
  <c r="V223" i="11" s="1"/>
  <c r="U222" i="11"/>
  <c r="V222" i="11" s="1"/>
  <c r="U221" i="11"/>
  <c r="V221" i="11" s="1"/>
  <c r="U220" i="11"/>
  <c r="V220" i="11" s="1"/>
  <c r="U219" i="11"/>
  <c r="V219" i="11" s="1"/>
  <c r="U218" i="11"/>
  <c r="V218" i="11" s="1"/>
  <c r="U217" i="11"/>
  <c r="V217" i="11" s="1"/>
  <c r="U216" i="11"/>
  <c r="F53" i="14" s="1"/>
  <c r="U215" i="11"/>
  <c r="V215" i="11" s="1"/>
  <c r="U214" i="11"/>
  <c r="V214" i="11" s="1"/>
  <c r="U213" i="11"/>
  <c r="V213" i="11" s="1"/>
  <c r="U212" i="11"/>
  <c r="V212" i="11" s="1"/>
  <c r="U211" i="11"/>
  <c r="V211" i="11" s="1"/>
  <c r="U210" i="11"/>
  <c r="V210" i="11" s="1"/>
  <c r="U209" i="11"/>
  <c r="V209" i="11" s="1"/>
  <c r="U208" i="11"/>
  <c r="V208" i="11" s="1"/>
  <c r="U207" i="11"/>
  <c r="V207" i="11" s="1"/>
  <c r="U206" i="11"/>
  <c r="V206" i="11" s="1"/>
  <c r="U205" i="11"/>
  <c r="V205" i="11" s="1"/>
  <c r="U204" i="11"/>
  <c r="V204" i="11" s="1"/>
  <c r="U203" i="11"/>
  <c r="V203" i="11" s="1"/>
  <c r="U202" i="11"/>
  <c r="V202" i="11" s="1"/>
  <c r="U201" i="11"/>
  <c r="V201" i="11" s="1"/>
  <c r="U200" i="11"/>
  <c r="V200" i="11" s="1"/>
  <c r="U199" i="11"/>
  <c r="V199" i="11" s="1"/>
  <c r="U198" i="11"/>
  <c r="V198" i="11" s="1"/>
  <c r="U197" i="11"/>
  <c r="V197" i="11" s="1"/>
  <c r="U196" i="11"/>
  <c r="V196" i="11" s="1"/>
  <c r="U195" i="11"/>
  <c r="V195" i="11" s="1"/>
  <c r="U194" i="11"/>
  <c r="V194" i="11" s="1"/>
  <c r="U193" i="11"/>
  <c r="V193" i="11" s="1"/>
  <c r="U192" i="11"/>
  <c r="V192" i="11" s="1"/>
  <c r="U191" i="11"/>
  <c r="V191" i="11" s="1"/>
  <c r="U190" i="11"/>
  <c r="V190" i="11" s="1"/>
  <c r="U189" i="11"/>
  <c r="V189" i="11" s="1"/>
  <c r="U188" i="11"/>
  <c r="V188" i="11" s="1"/>
  <c r="U187" i="11"/>
  <c r="V187" i="11" s="1"/>
  <c r="U186" i="11"/>
  <c r="V186" i="11" s="1"/>
  <c r="U185" i="11"/>
  <c r="V185" i="11" s="1"/>
  <c r="U184" i="11"/>
  <c r="V184" i="11" s="1"/>
  <c r="U183" i="11"/>
  <c r="V183" i="11" s="1"/>
  <c r="U182" i="11"/>
  <c r="V182" i="11" s="1"/>
  <c r="U181" i="11"/>
  <c r="V181" i="11" s="1"/>
  <c r="U180" i="11"/>
  <c r="V180" i="11" s="1"/>
  <c r="U179" i="11"/>
  <c r="V179" i="11" s="1"/>
  <c r="U178" i="11"/>
  <c r="V178" i="11" s="1"/>
  <c r="I178" i="11"/>
  <c r="U177" i="11"/>
  <c r="V177" i="11" s="1"/>
  <c r="I177" i="11"/>
  <c r="U176" i="11"/>
  <c r="V176" i="11" s="1"/>
  <c r="I176" i="11"/>
  <c r="U175" i="11"/>
  <c r="V175" i="11" s="1"/>
  <c r="I175" i="11"/>
  <c r="U174" i="11"/>
  <c r="V174" i="11" s="1"/>
  <c r="I174" i="11"/>
  <c r="U173" i="11"/>
  <c r="V173" i="11" s="1"/>
  <c r="I173" i="11"/>
  <c r="U172" i="11"/>
  <c r="V172" i="11" s="1"/>
  <c r="I172" i="11"/>
  <c r="U171" i="11"/>
  <c r="V171" i="11" s="1"/>
  <c r="I171" i="11"/>
  <c r="U170" i="11"/>
  <c r="V170" i="11" s="1"/>
  <c r="I170" i="11"/>
  <c r="U169" i="11"/>
  <c r="V169" i="11" s="1"/>
  <c r="I169" i="11"/>
  <c r="U168" i="11"/>
  <c r="V168" i="11" s="1"/>
  <c r="I168" i="11"/>
  <c r="U167" i="11"/>
  <c r="V167" i="11" s="1"/>
  <c r="I167" i="11"/>
  <c r="U166" i="11"/>
  <c r="V166" i="11" s="1"/>
  <c r="U165" i="11"/>
  <c r="V165" i="11" s="1"/>
  <c r="U164" i="11"/>
  <c r="V164" i="11" s="1"/>
  <c r="U163" i="11"/>
  <c r="V163" i="11" s="1"/>
  <c r="U162" i="11"/>
  <c r="V162" i="11" s="1"/>
  <c r="U161" i="11"/>
  <c r="V161" i="11" s="1"/>
  <c r="U160" i="11"/>
  <c r="V160" i="11" s="1"/>
  <c r="U159" i="11"/>
  <c r="V159" i="11" s="1"/>
  <c r="U158" i="11"/>
  <c r="V158" i="11" s="1"/>
  <c r="U157" i="11"/>
  <c r="V157" i="11" s="1"/>
  <c r="U156" i="11"/>
  <c r="V156" i="11" s="1"/>
  <c r="U155" i="11"/>
  <c r="V155" i="11" s="1"/>
  <c r="U154" i="11"/>
  <c r="V154" i="11" s="1"/>
  <c r="U153" i="11"/>
  <c r="V153" i="11" s="1"/>
  <c r="U152" i="11"/>
  <c r="V152" i="11" s="1"/>
  <c r="U151" i="11"/>
  <c r="V151" i="11" s="1"/>
  <c r="U150" i="11"/>
  <c r="V150" i="11" s="1"/>
  <c r="U149" i="11"/>
  <c r="V149" i="11" s="1"/>
  <c r="U148" i="11"/>
  <c r="V148" i="11" s="1"/>
  <c r="U147" i="11"/>
  <c r="V147" i="11" s="1"/>
  <c r="U146" i="11"/>
  <c r="V146" i="11" s="1"/>
  <c r="U145" i="11"/>
  <c r="V145" i="11" s="1"/>
  <c r="U144" i="11"/>
  <c r="V144" i="11" s="1"/>
  <c r="U143" i="11"/>
  <c r="V143" i="11" s="1"/>
  <c r="U142" i="11"/>
  <c r="V142" i="11" s="1"/>
  <c r="U141" i="11"/>
  <c r="V141" i="11" s="1"/>
  <c r="U140" i="11"/>
  <c r="V140" i="11" s="1"/>
  <c r="T139" i="11"/>
  <c r="S139" i="11"/>
  <c r="R139" i="11"/>
  <c r="Q139" i="11"/>
  <c r="P139" i="11"/>
  <c r="O139" i="11"/>
  <c r="T138" i="11"/>
  <c r="S138" i="11"/>
  <c r="R138" i="11"/>
  <c r="Q138" i="11"/>
  <c r="P138" i="11"/>
  <c r="O138" i="11"/>
  <c r="T137" i="11"/>
  <c r="S137" i="11"/>
  <c r="R137" i="11"/>
  <c r="Q137" i="11"/>
  <c r="P137" i="11"/>
  <c r="O137" i="11"/>
  <c r="T136" i="11"/>
  <c r="S136" i="11"/>
  <c r="R136" i="11"/>
  <c r="Q136" i="11"/>
  <c r="P136" i="11"/>
  <c r="O136" i="11"/>
  <c r="T135" i="11"/>
  <c r="S135" i="11"/>
  <c r="R135" i="11"/>
  <c r="Q135" i="11"/>
  <c r="P135" i="11"/>
  <c r="O135" i="11"/>
  <c r="T134" i="11"/>
  <c r="S134" i="11"/>
  <c r="R134" i="11"/>
  <c r="Q134" i="11"/>
  <c r="P134" i="11"/>
  <c r="O134" i="11"/>
  <c r="T133" i="11"/>
  <c r="S133" i="11"/>
  <c r="R133" i="11"/>
  <c r="Q133" i="11"/>
  <c r="P133" i="11"/>
  <c r="O133" i="11"/>
  <c r="T132" i="11"/>
  <c r="S132" i="11"/>
  <c r="R132" i="11"/>
  <c r="Q132" i="11"/>
  <c r="P132" i="11"/>
  <c r="O132" i="11"/>
  <c r="T131" i="11"/>
  <c r="S131" i="11"/>
  <c r="R131" i="11"/>
  <c r="Q131" i="11"/>
  <c r="P131" i="11"/>
  <c r="O131" i="11"/>
  <c r="T130" i="11"/>
  <c r="S130" i="11"/>
  <c r="R130" i="11"/>
  <c r="Q130" i="11"/>
  <c r="P130" i="11"/>
  <c r="O130" i="11"/>
  <c r="T129" i="11"/>
  <c r="S129" i="11"/>
  <c r="R129" i="11"/>
  <c r="Q129" i="11"/>
  <c r="P129" i="11"/>
  <c r="O129" i="11"/>
  <c r="T128" i="11"/>
  <c r="S128" i="11"/>
  <c r="R128" i="11"/>
  <c r="Q128" i="11"/>
  <c r="P128" i="11"/>
  <c r="O128" i="11"/>
  <c r="T127" i="11"/>
  <c r="S127" i="11"/>
  <c r="R127" i="11"/>
  <c r="Q127" i="11"/>
  <c r="P127" i="11"/>
  <c r="O127" i="11"/>
  <c r="T126" i="11"/>
  <c r="S126" i="11"/>
  <c r="R126" i="11"/>
  <c r="Q126" i="11"/>
  <c r="P126" i="11"/>
  <c r="O126" i="11"/>
  <c r="T125" i="11"/>
  <c r="S125" i="11"/>
  <c r="R125" i="11"/>
  <c r="Q125" i="11"/>
  <c r="P125" i="11"/>
  <c r="O125" i="11"/>
  <c r="T124" i="11"/>
  <c r="S124" i="11"/>
  <c r="R124" i="11"/>
  <c r="Q124" i="11"/>
  <c r="P124" i="11"/>
  <c r="O124" i="11"/>
  <c r="T123" i="11"/>
  <c r="S123" i="11"/>
  <c r="R123" i="11"/>
  <c r="Q123" i="11"/>
  <c r="P123" i="11"/>
  <c r="O123" i="11"/>
  <c r="T122" i="11"/>
  <c r="S122" i="11"/>
  <c r="R122" i="11"/>
  <c r="Q122" i="11"/>
  <c r="P122" i="11"/>
  <c r="O122" i="11"/>
  <c r="T121" i="11"/>
  <c r="S121" i="11"/>
  <c r="R121" i="11"/>
  <c r="Q121" i="11"/>
  <c r="P121" i="11"/>
  <c r="O121" i="11"/>
  <c r="T120" i="11"/>
  <c r="S120" i="11"/>
  <c r="R120" i="11"/>
  <c r="Q120" i="11"/>
  <c r="P120" i="11"/>
  <c r="O120" i="11"/>
  <c r="T119" i="11"/>
  <c r="S119" i="11"/>
  <c r="R119" i="11"/>
  <c r="Q119" i="11"/>
  <c r="P119" i="11"/>
  <c r="O119" i="11"/>
  <c r="T118" i="11"/>
  <c r="S118" i="11"/>
  <c r="R118" i="11"/>
  <c r="Q118" i="11"/>
  <c r="P118" i="11"/>
  <c r="O118" i="11"/>
  <c r="T117" i="11"/>
  <c r="S117" i="11"/>
  <c r="R117" i="11"/>
  <c r="Q117" i="11"/>
  <c r="P117" i="11"/>
  <c r="O117" i="11"/>
  <c r="T116" i="11"/>
  <c r="S116" i="11"/>
  <c r="R116" i="11"/>
  <c r="Q116" i="11"/>
  <c r="P116" i="11"/>
  <c r="O116" i="11"/>
  <c r="T115" i="11"/>
  <c r="S115" i="11"/>
  <c r="R115" i="11"/>
  <c r="Q115" i="11"/>
  <c r="P115" i="11"/>
  <c r="O115" i="11"/>
  <c r="T114" i="11"/>
  <c r="S114" i="11"/>
  <c r="R114" i="11"/>
  <c r="Q114" i="11"/>
  <c r="P114" i="11"/>
  <c r="O114" i="11"/>
  <c r="U113" i="11"/>
  <c r="V113" i="11" s="1"/>
  <c r="I113" i="11"/>
  <c r="U112" i="11"/>
  <c r="V112" i="11" s="1"/>
  <c r="I112" i="11"/>
  <c r="U111" i="11"/>
  <c r="V111" i="11" s="1"/>
  <c r="I111" i="11"/>
  <c r="U110" i="11"/>
  <c r="V110" i="11" s="1"/>
  <c r="I110" i="11"/>
  <c r="U109" i="11"/>
  <c r="V109" i="11" s="1"/>
  <c r="I109" i="11"/>
  <c r="U108" i="11"/>
  <c r="V108" i="11" s="1"/>
  <c r="I108" i="11"/>
  <c r="U107" i="11"/>
  <c r="V107" i="11" s="1"/>
  <c r="I107" i="11"/>
  <c r="U106" i="11"/>
  <c r="V106" i="11" s="1"/>
  <c r="I106" i="11"/>
  <c r="U105" i="11"/>
  <c r="V105" i="11" s="1"/>
  <c r="I105" i="11"/>
  <c r="U104" i="11"/>
  <c r="V104" i="11" s="1"/>
  <c r="I104" i="11"/>
  <c r="U103" i="11"/>
  <c r="V103" i="11" s="1"/>
  <c r="I103" i="11"/>
  <c r="U102" i="11"/>
  <c r="V102" i="11" s="1"/>
  <c r="I102" i="11"/>
  <c r="U101" i="11"/>
  <c r="V101" i="11" s="1"/>
  <c r="I101" i="11"/>
  <c r="U100" i="11"/>
  <c r="V100" i="11" s="1"/>
  <c r="I100" i="11"/>
  <c r="U99" i="11"/>
  <c r="V99" i="11" s="1"/>
  <c r="I99" i="11"/>
  <c r="U98" i="11"/>
  <c r="V98" i="11" s="1"/>
  <c r="I98" i="11"/>
  <c r="U97" i="11"/>
  <c r="V97" i="11" s="1"/>
  <c r="I97" i="11"/>
  <c r="U96" i="11"/>
  <c r="V96" i="11" s="1"/>
  <c r="I96" i="11"/>
  <c r="U95" i="11"/>
  <c r="V95" i="11" s="1"/>
  <c r="I95" i="11"/>
  <c r="U94" i="11"/>
  <c r="V94" i="11" s="1"/>
  <c r="I94" i="11"/>
  <c r="U93" i="11"/>
  <c r="V93" i="11" s="1"/>
  <c r="I93" i="11"/>
  <c r="U92" i="11"/>
  <c r="V92" i="11" s="1"/>
  <c r="I92" i="11"/>
  <c r="U91" i="11"/>
  <c r="V91" i="11" s="1"/>
  <c r="I91" i="11"/>
  <c r="U90" i="11"/>
  <c r="V90" i="11" s="1"/>
  <c r="I90" i="11"/>
  <c r="U89" i="11"/>
  <c r="V89" i="11" s="1"/>
  <c r="I89" i="11"/>
  <c r="U88" i="11"/>
  <c r="V88" i="11" s="1"/>
  <c r="I88" i="11"/>
  <c r="U87" i="11"/>
  <c r="V87" i="11" s="1"/>
  <c r="I87" i="11"/>
  <c r="U86" i="11"/>
  <c r="V86" i="11" s="1"/>
  <c r="I86" i="11"/>
  <c r="U85" i="11"/>
  <c r="V85" i="11" s="1"/>
  <c r="I85" i="11"/>
  <c r="U84" i="11"/>
  <c r="V84" i="11" s="1"/>
  <c r="I84" i="11"/>
  <c r="U83" i="11"/>
  <c r="V83" i="11" s="1"/>
  <c r="I83" i="11"/>
  <c r="U82" i="11"/>
  <c r="V82" i="11" s="1"/>
  <c r="I82" i="11"/>
  <c r="U81" i="11"/>
  <c r="V81" i="11" s="1"/>
  <c r="I81" i="11"/>
  <c r="U80" i="11"/>
  <c r="V80" i="11" s="1"/>
  <c r="I80" i="11"/>
  <c r="U79" i="11"/>
  <c r="V79" i="11" s="1"/>
  <c r="I79" i="11"/>
  <c r="U78" i="11"/>
  <c r="V78" i="11" s="1"/>
  <c r="I78" i="11"/>
  <c r="U77" i="11"/>
  <c r="V77" i="11" s="1"/>
  <c r="I77" i="11"/>
  <c r="U76" i="11"/>
  <c r="V76" i="11" s="1"/>
  <c r="I76" i="11"/>
  <c r="U75" i="11"/>
  <c r="V75" i="11" s="1"/>
  <c r="I75" i="11"/>
  <c r="U74" i="11"/>
  <c r="V74" i="11" s="1"/>
  <c r="I74" i="11"/>
  <c r="U73" i="11"/>
  <c r="V73" i="11" s="1"/>
  <c r="I73" i="11"/>
  <c r="U72" i="11"/>
  <c r="V72" i="11" s="1"/>
  <c r="I72" i="11"/>
  <c r="U71" i="11"/>
  <c r="V71" i="11" s="1"/>
  <c r="I71" i="11"/>
  <c r="U70" i="11"/>
  <c r="V70" i="11" s="1"/>
  <c r="I70" i="11"/>
  <c r="U69" i="11"/>
  <c r="V69" i="11" s="1"/>
  <c r="I69" i="11"/>
  <c r="U68" i="11"/>
  <c r="V68" i="11" s="1"/>
  <c r="I68" i="11"/>
  <c r="U67" i="11"/>
  <c r="V67" i="11" s="1"/>
  <c r="I67" i="11"/>
  <c r="U66" i="11"/>
  <c r="V66" i="11" s="1"/>
  <c r="I66" i="11"/>
  <c r="U65" i="11"/>
  <c r="V65" i="11" s="1"/>
  <c r="I65" i="11"/>
  <c r="U64" i="11"/>
  <c r="V64" i="11" s="1"/>
  <c r="I64" i="11"/>
  <c r="U63" i="11"/>
  <c r="V63" i="11" s="1"/>
  <c r="I63" i="11"/>
  <c r="U62" i="11"/>
  <c r="V62" i="11" s="1"/>
  <c r="I62" i="11"/>
  <c r="U61" i="11"/>
  <c r="V61" i="11" s="1"/>
  <c r="I61" i="11"/>
  <c r="U60" i="11"/>
  <c r="V60" i="11" s="1"/>
  <c r="I60" i="11"/>
  <c r="U59" i="11"/>
  <c r="V59" i="11" s="1"/>
  <c r="I59" i="11"/>
  <c r="U58" i="11"/>
  <c r="V58" i="11" s="1"/>
  <c r="I58" i="11"/>
  <c r="U57" i="11"/>
  <c r="V57" i="11" s="1"/>
  <c r="U56" i="11"/>
  <c r="V56" i="11" s="1"/>
  <c r="U55" i="11"/>
  <c r="V55" i="11" s="1"/>
  <c r="U54" i="11"/>
  <c r="V54" i="11" s="1"/>
  <c r="U53" i="11"/>
  <c r="V53" i="11" s="1"/>
  <c r="U52" i="11"/>
  <c r="V52" i="11" s="1"/>
  <c r="U51" i="11"/>
  <c r="V51" i="11" s="1"/>
  <c r="U50" i="11"/>
  <c r="V50" i="11" s="1"/>
  <c r="U49" i="11"/>
  <c r="V49" i="11" s="1"/>
  <c r="U48" i="11"/>
  <c r="V48" i="11" s="1"/>
  <c r="U47" i="11"/>
  <c r="V47" i="11" s="1"/>
  <c r="I47" i="11"/>
  <c r="U46" i="11"/>
  <c r="V46" i="11" s="1"/>
  <c r="I46" i="11"/>
  <c r="U45" i="11"/>
  <c r="V45" i="11" s="1"/>
  <c r="I45" i="11"/>
  <c r="U44" i="11"/>
  <c r="V44" i="11" s="1"/>
  <c r="I44" i="11"/>
  <c r="U43" i="11"/>
  <c r="V43" i="11" s="1"/>
  <c r="I43" i="11"/>
  <c r="U42" i="11"/>
  <c r="V42" i="11" s="1"/>
  <c r="I42" i="11"/>
  <c r="U41" i="11"/>
  <c r="V41" i="11" s="1"/>
  <c r="I41" i="11"/>
  <c r="U40" i="11"/>
  <c r="V40" i="11" s="1"/>
  <c r="I40" i="11"/>
  <c r="U39" i="11"/>
  <c r="V39" i="11" s="1"/>
  <c r="I39" i="11"/>
  <c r="U38" i="11"/>
  <c r="V38" i="11" s="1"/>
  <c r="I38" i="11"/>
  <c r="U37" i="11"/>
  <c r="V37" i="11" s="1"/>
  <c r="I37" i="11"/>
  <c r="U36" i="11"/>
  <c r="V36" i="11" s="1"/>
  <c r="I36" i="11"/>
  <c r="U35" i="11"/>
  <c r="V35" i="11" s="1"/>
  <c r="I35" i="11"/>
  <c r="U34" i="11"/>
  <c r="V34" i="11" s="1"/>
  <c r="I34" i="11"/>
  <c r="U33" i="11"/>
  <c r="V33" i="11" s="1"/>
  <c r="I33" i="11"/>
  <c r="U32" i="11"/>
  <c r="V32" i="11" s="1"/>
  <c r="I32" i="11"/>
  <c r="U31" i="11"/>
  <c r="V31" i="11" s="1"/>
  <c r="I31" i="11"/>
  <c r="U30" i="11"/>
  <c r="V30" i="11" s="1"/>
  <c r="I30" i="11"/>
  <c r="U29" i="11"/>
  <c r="V29" i="11" s="1"/>
  <c r="I29" i="11"/>
  <c r="U28" i="11"/>
  <c r="V28" i="11" s="1"/>
  <c r="I28" i="11"/>
  <c r="U27" i="11"/>
  <c r="V27" i="11" s="1"/>
  <c r="I27" i="11"/>
  <c r="U26" i="11"/>
  <c r="V26" i="11" s="1"/>
  <c r="I26" i="11"/>
  <c r="U25" i="11"/>
  <c r="V25" i="11" s="1"/>
  <c r="I25" i="11"/>
  <c r="U24" i="11"/>
  <c r="V24" i="11" s="1"/>
  <c r="I24" i="11"/>
  <c r="U23" i="11"/>
  <c r="V23" i="11" s="1"/>
  <c r="U22" i="11"/>
  <c r="V22" i="11" s="1"/>
  <c r="U21" i="11"/>
  <c r="V21" i="11" s="1"/>
  <c r="U20" i="11"/>
  <c r="V20" i="11" s="1"/>
  <c r="U19" i="11"/>
  <c r="V19" i="11" s="1"/>
  <c r="U18" i="11"/>
  <c r="V18" i="11" s="1"/>
  <c r="U17" i="11"/>
  <c r="V17" i="11" s="1"/>
  <c r="U16" i="11"/>
  <c r="V16" i="11" s="1"/>
  <c r="U15" i="11"/>
  <c r="V15" i="11" s="1"/>
  <c r="U14" i="11"/>
  <c r="V14" i="11" s="1"/>
  <c r="U13" i="11"/>
  <c r="V13" i="11" s="1"/>
  <c r="U12" i="11"/>
  <c r="V12" i="11" s="1"/>
  <c r="U10" i="11"/>
  <c r="V10" i="11" s="1"/>
  <c r="U9" i="11"/>
  <c r="V9" i="11" s="1"/>
  <c r="U8" i="11"/>
  <c r="V8" i="11" s="1"/>
  <c r="U7" i="11"/>
  <c r="V7" i="11" s="1"/>
  <c r="U6" i="11"/>
  <c r="V6" i="11" s="1"/>
  <c r="U5" i="11"/>
  <c r="V5" i="11" s="1"/>
  <c r="U4" i="11"/>
  <c r="V4" i="11" s="1"/>
  <c r="U3" i="11"/>
  <c r="V3" i="11" s="1"/>
  <c r="U2" i="11"/>
  <c r="V2" i="11" s="1"/>
  <c r="E29" i="10"/>
  <c r="H61" i="10"/>
  <c r="G61" i="10"/>
  <c r="F59" i="10"/>
  <c r="E59" i="10"/>
  <c r="F57" i="10"/>
  <c r="E57" i="10"/>
  <c r="F55" i="10"/>
  <c r="E55" i="10"/>
  <c r="F53" i="10"/>
  <c r="E53" i="10"/>
  <c r="F51" i="10"/>
  <c r="E51" i="10"/>
  <c r="F49" i="10"/>
  <c r="E49" i="10"/>
  <c r="F47" i="10"/>
  <c r="E47" i="10"/>
  <c r="F45" i="10"/>
  <c r="E45" i="10"/>
  <c r="F43" i="10"/>
  <c r="E43" i="10"/>
  <c r="F41" i="10"/>
  <c r="E41" i="10"/>
  <c r="F39" i="10"/>
  <c r="E39" i="10"/>
  <c r="F37" i="10"/>
  <c r="E37" i="10"/>
  <c r="U130" i="11" l="1"/>
  <c r="V130" i="11" s="1"/>
  <c r="V216" i="11"/>
  <c r="U120" i="11"/>
  <c r="V120" i="11" s="1"/>
  <c r="U139" i="11"/>
  <c r="V139" i="11" s="1"/>
  <c r="U125" i="11"/>
  <c r="V125" i="11" s="1"/>
  <c r="U133" i="11"/>
  <c r="V133" i="11" s="1"/>
  <c r="U118" i="11"/>
  <c r="V118" i="11" s="1"/>
  <c r="U121" i="11"/>
  <c r="V121" i="11" s="1"/>
  <c r="U122" i="11"/>
  <c r="V122" i="11" s="1"/>
  <c r="U134" i="11"/>
  <c r="V134" i="11" s="1"/>
  <c r="U138" i="11"/>
  <c r="V138" i="11" s="1"/>
  <c r="U129" i="11"/>
  <c r="V129" i="11" s="1"/>
  <c r="U115" i="11"/>
  <c r="V115" i="11" s="1"/>
  <c r="U117" i="11"/>
  <c r="V117" i="11" s="1"/>
  <c r="U128" i="11"/>
  <c r="V128" i="11" s="1"/>
  <c r="U137" i="11"/>
  <c r="V137" i="11" s="1"/>
  <c r="U116" i="11"/>
  <c r="V116" i="11" s="1"/>
  <c r="U119" i="11"/>
  <c r="V119" i="11" s="1"/>
  <c r="U123" i="11"/>
  <c r="V123" i="11" s="1"/>
  <c r="U136" i="11"/>
  <c r="V136" i="11" s="1"/>
  <c r="U127" i="11"/>
  <c r="V127" i="11" s="1"/>
  <c r="U131" i="11"/>
  <c r="V131" i="11" s="1"/>
  <c r="U114" i="11"/>
  <c r="V114" i="11" s="1"/>
  <c r="U124" i="11"/>
  <c r="V124" i="11" s="1"/>
  <c r="U135" i="11"/>
  <c r="V135" i="11" s="1"/>
  <c r="U126" i="11"/>
  <c r="V126" i="11" s="1"/>
  <c r="U132" i="11"/>
  <c r="V132" i="11" s="1"/>
  <c r="E55" i="14"/>
  <c r="F39" i="14"/>
  <c r="F47" i="14"/>
  <c r="F55" i="14"/>
  <c r="E39" i="14"/>
  <c r="E41" i="14"/>
  <c r="E49" i="14"/>
  <c r="E57" i="14"/>
  <c r="F41" i="14"/>
  <c r="F49" i="14"/>
  <c r="F57" i="14"/>
  <c r="E47" i="14"/>
  <c r="E43" i="14"/>
  <c r="E51" i="14"/>
  <c r="E59" i="14"/>
  <c r="F43" i="14"/>
  <c r="F51" i="14"/>
  <c r="F59" i="14"/>
  <c r="E37" i="14"/>
  <c r="E45" i="14"/>
  <c r="E53" i="14"/>
  <c r="F37" i="14"/>
  <c r="F45" i="14"/>
</calcChain>
</file>

<file path=xl/sharedStrings.xml><?xml version="1.0" encoding="utf-8"?>
<sst xmlns="http://schemas.openxmlformats.org/spreadsheetml/2006/main" count="18981" uniqueCount="6261">
  <si>
    <t>Arjosari</t>
  </si>
  <si>
    <t>Bandar</t>
  </si>
  <si>
    <t>KWT Ngudi Rejeki Lancar</t>
  </si>
  <si>
    <t>KWT Sido Lestari</t>
  </si>
  <si>
    <t>KWT Gayuh Sehat I</t>
  </si>
  <si>
    <t>KWT Tani Maju</t>
  </si>
  <si>
    <t>KWT Sumber Urip I</t>
  </si>
  <si>
    <t>KWT Dahlia</t>
  </si>
  <si>
    <t>KWT Eka Mandiri</t>
  </si>
  <si>
    <t>Sido Subur I</t>
  </si>
  <si>
    <t>KWT Mawar</t>
  </si>
  <si>
    <t>Sumber Urip I</t>
  </si>
  <si>
    <t>KWT Sido Makmur</t>
  </si>
  <si>
    <t>KWT SEKAR TANJUNG</t>
  </si>
  <si>
    <t>KWT MAWAR</t>
  </si>
  <si>
    <t>MAKMUR RUKUN I</t>
  </si>
  <si>
    <t>AKUR I</t>
  </si>
  <si>
    <t>KWT PERTIWI</t>
  </si>
  <si>
    <t>BINTANG TIMUR</t>
  </si>
  <si>
    <t>HAYATI</t>
  </si>
  <si>
    <t>Adil Makmur I</t>
  </si>
  <si>
    <t>Sido Rukun I</t>
  </si>
  <si>
    <t>KWT Gayuh Sehat II</t>
  </si>
  <si>
    <t>Sido Dadi</t>
  </si>
  <si>
    <t>KWT Sumber Urip II</t>
  </si>
  <si>
    <t>KWT Melati Putih</t>
  </si>
  <si>
    <t>Lestari I</t>
  </si>
  <si>
    <t>Sido Subur II</t>
  </si>
  <si>
    <t>Tani Maju I</t>
  </si>
  <si>
    <t>Sumber Urip II</t>
  </si>
  <si>
    <t>Rukun III</t>
  </si>
  <si>
    <t>Sido Mulyo I</t>
  </si>
  <si>
    <t>SIDO MAKMUR I</t>
  </si>
  <si>
    <t>Rukun Santosa 01</t>
  </si>
  <si>
    <t>MAKMUR RUKUN II</t>
  </si>
  <si>
    <t>AKUR II</t>
  </si>
  <si>
    <t>Guyup Rukun 01</t>
  </si>
  <si>
    <t>Mbudidoyo</t>
  </si>
  <si>
    <t>MARGO MAKMUR</t>
  </si>
  <si>
    <t>Adil Makmur II</t>
  </si>
  <si>
    <t>Sido Rukun II</t>
  </si>
  <si>
    <t>Rukun Makmur I</t>
  </si>
  <si>
    <t>Sido Makmur</t>
  </si>
  <si>
    <t>Margo Makmur I</t>
  </si>
  <si>
    <t>Lestari II</t>
  </si>
  <si>
    <t>Sido Subur III</t>
  </si>
  <si>
    <t>Tani Maju II</t>
  </si>
  <si>
    <t>Sumber Urip III</t>
  </si>
  <si>
    <t>Rukun Tani I</t>
  </si>
  <si>
    <t>Sido Mulyo IB</t>
  </si>
  <si>
    <t>SIDO MAKMUR II</t>
  </si>
  <si>
    <t>Rukun Santosa III</t>
  </si>
  <si>
    <t>MAKMUR RUKUN III</t>
  </si>
  <si>
    <t>AKUR III</t>
  </si>
  <si>
    <t>Guyup Rukun 02</t>
  </si>
  <si>
    <t>NGGRENING SATU</t>
  </si>
  <si>
    <t>WIDODO MULYO</t>
  </si>
  <si>
    <t>Adil Makmur III</t>
  </si>
  <si>
    <t>Sido Rukun III</t>
  </si>
  <si>
    <t>Rukun Makmur II</t>
  </si>
  <si>
    <t>Sido Mulyo</t>
  </si>
  <si>
    <t>Margo Makmur II</t>
  </si>
  <si>
    <t>Lestari III</t>
  </si>
  <si>
    <t>Sido Subur IV</t>
  </si>
  <si>
    <t>Tani Maju III</t>
  </si>
  <si>
    <t>Sumber Urip IV</t>
  </si>
  <si>
    <t>Rukun Tani II</t>
  </si>
  <si>
    <t>Sido Mulyo II</t>
  </si>
  <si>
    <t>SIDO MAKMUR III</t>
  </si>
  <si>
    <t>Rukun Santosa IV</t>
  </si>
  <si>
    <t>MAKMUR RUKUN IV</t>
  </si>
  <si>
    <t>AKUR IV</t>
  </si>
  <si>
    <t>Guyup Rukun 03</t>
  </si>
  <si>
    <t>PETUNG</t>
  </si>
  <si>
    <t>SARI TANI</t>
  </si>
  <si>
    <t>Adil Makmur IV</t>
  </si>
  <si>
    <t>Sri Mulyo</t>
  </si>
  <si>
    <t>Rukun Makmur III</t>
  </si>
  <si>
    <t>Margo Makmur III</t>
  </si>
  <si>
    <t>Lestari IV</t>
  </si>
  <si>
    <t>Tani Maju IV</t>
  </si>
  <si>
    <t>Sumber Urip V</t>
  </si>
  <si>
    <t>Rukun Tani IV</t>
  </si>
  <si>
    <t>Sido Mulyo III</t>
  </si>
  <si>
    <t>SIDO MAKMUR IV</t>
  </si>
  <si>
    <t>Rukun Santosa V</t>
  </si>
  <si>
    <t>MAKMUR RUKUN IX</t>
  </si>
  <si>
    <t>AKUR IX</t>
  </si>
  <si>
    <t>Guyup Rukun 04</t>
  </si>
  <si>
    <t>Kartini</t>
  </si>
  <si>
    <t>SARI REJEKI</t>
  </si>
  <si>
    <t>Subur</t>
  </si>
  <si>
    <t>Rukun Makmur IV</t>
  </si>
  <si>
    <t>Margo Makmur IV</t>
  </si>
  <si>
    <t>Tani Maju IX</t>
  </si>
  <si>
    <t>Sumber Urip VI</t>
  </si>
  <si>
    <t>Rukun Tani V</t>
  </si>
  <si>
    <t>Sido Mulyo IV</t>
  </si>
  <si>
    <t>SIDO MAKMUR IX</t>
  </si>
  <si>
    <t>Rukun Santoso II</t>
  </si>
  <si>
    <t>MAKMUR RUKUN V</t>
  </si>
  <si>
    <t>AKUR V</t>
  </si>
  <si>
    <t>Guyup Rukun 05</t>
  </si>
  <si>
    <t>EKO SAYEKTI</t>
  </si>
  <si>
    <t>DADI MAKMUR</t>
  </si>
  <si>
    <t>Rukun Makmur V</t>
  </si>
  <si>
    <t>Tani Maju V</t>
  </si>
  <si>
    <t>Rukun Tani VI</t>
  </si>
  <si>
    <t>SIDO MAKMUR V</t>
  </si>
  <si>
    <t>MAKMUR RUKUN VI</t>
  </si>
  <si>
    <t>AKUR VI</t>
  </si>
  <si>
    <t>Guyup Rukun 06</t>
  </si>
  <si>
    <t>NGUDI MULYO</t>
  </si>
  <si>
    <t>ENDAH PENI</t>
  </si>
  <si>
    <t>Rukun Makmur VI</t>
  </si>
  <si>
    <t>Tani Maju VI</t>
  </si>
  <si>
    <t>Rukun Tani VII</t>
  </si>
  <si>
    <t>SIDO MAKMUR VI</t>
  </si>
  <si>
    <t>MAKMUR RUKUN VII</t>
  </si>
  <si>
    <t>AKUR VII</t>
  </si>
  <si>
    <t>SARI MULYO</t>
  </si>
  <si>
    <t>NGUDI REJEKI</t>
  </si>
  <si>
    <t>Tani Maju VII</t>
  </si>
  <si>
    <t>SIDO MAKMUR VII</t>
  </si>
  <si>
    <t>MAKMUR RUKUN VIII</t>
  </si>
  <si>
    <t>AKUR VIII</t>
  </si>
  <si>
    <t>MAJU MAPAN</t>
  </si>
  <si>
    <t>TANI MAKMUR</t>
  </si>
  <si>
    <t>Tani Maju VIII</t>
  </si>
  <si>
    <t>SIDO MAKMUR VIII</t>
  </si>
  <si>
    <t>MAKMUR RUKUN X</t>
  </si>
  <si>
    <t>AKUR X</t>
  </si>
  <si>
    <t>GUNUNG SUBUR</t>
  </si>
  <si>
    <t>NGUDI MAKMUR</t>
  </si>
  <si>
    <t>SIDO MAKMUR X</t>
  </si>
  <si>
    <t>AKUR XI</t>
  </si>
  <si>
    <t>SIDO MAKMUR</t>
  </si>
  <si>
    <t>SARI BUMI</t>
  </si>
  <si>
    <t>SIDO MAKMUR XI</t>
  </si>
  <si>
    <t>Akur XII</t>
  </si>
  <si>
    <t>SIDO MAKMUR 4</t>
  </si>
  <si>
    <t>SETYA TANI</t>
  </si>
  <si>
    <t>AKUR XIII</t>
  </si>
  <si>
    <t>REJO MULYO</t>
  </si>
  <si>
    <t>SUMBER REJEKI</t>
  </si>
  <si>
    <t>EDI PENI</t>
  </si>
  <si>
    <t>SUMBER MULYO</t>
  </si>
  <si>
    <t>SIDO MAJU</t>
  </si>
  <si>
    <t>SUMBER URIP</t>
  </si>
  <si>
    <t>Nggrening</t>
  </si>
  <si>
    <t>BLIMBING TANI</t>
  </si>
  <si>
    <t>NGGRENING DUA</t>
  </si>
  <si>
    <t>SETYA KAWAN</t>
  </si>
  <si>
    <t>GUNUNG SUBUR I</t>
  </si>
  <si>
    <t>SIDO RUKUN</t>
  </si>
  <si>
    <t>SARI MULYO I</t>
  </si>
  <si>
    <t>UNGGUL</t>
  </si>
  <si>
    <t>MARGO UTOMO</t>
  </si>
  <si>
    <t>TANI MULYO</t>
  </si>
  <si>
    <t>Suroloyo I</t>
  </si>
  <si>
    <t>CIPTO TANI</t>
  </si>
  <si>
    <t>Suroloyo</t>
  </si>
  <si>
    <t>Kecamatan</t>
  </si>
  <si>
    <t>Donorojo</t>
  </si>
  <si>
    <t>Kebonagung</t>
  </si>
  <si>
    <t>Nawangan</t>
  </si>
  <si>
    <t>Ngadirojo</t>
  </si>
  <si>
    <t>Pacitan</t>
  </si>
  <si>
    <t>Pringkuku</t>
  </si>
  <si>
    <t>Punung</t>
  </si>
  <si>
    <t>Sudimoro</t>
  </si>
  <si>
    <t>Tegalombo</t>
  </si>
  <si>
    <t>Tulakan</t>
  </si>
  <si>
    <t>Sumber Rejo</t>
  </si>
  <si>
    <t>Desa Arjosari</t>
  </si>
  <si>
    <t>Desa Borang</t>
  </si>
  <si>
    <t>Desa Gayuhan</t>
  </si>
  <si>
    <t>Desa Gegeran</t>
  </si>
  <si>
    <t>Desa Gembong</t>
  </si>
  <si>
    <t>Desa Gunungsari</t>
  </si>
  <si>
    <t>Desa Jatimalang</t>
  </si>
  <si>
    <t>Desa Jetis Kidul</t>
  </si>
  <si>
    <t>Desa Karanggede</t>
  </si>
  <si>
    <t>Desa Karangrejo</t>
  </si>
  <si>
    <t>Desa Kedungbendo</t>
  </si>
  <si>
    <t>Desa Mangunharjo</t>
  </si>
  <si>
    <t>Desa Mlati</t>
  </si>
  <si>
    <t>Desa Pagutan</t>
  </si>
  <si>
    <t>Desa Sedayu</t>
  </si>
  <si>
    <t>Desa Temon</t>
  </si>
  <si>
    <t>Desa Tremas</t>
  </si>
  <si>
    <t>Desa Bandar</t>
  </si>
  <si>
    <t>Desa Jeruk</t>
  </si>
  <si>
    <t>Desa Kledung</t>
  </si>
  <si>
    <t>Desa Ngunut</t>
  </si>
  <si>
    <t>Desa Petungsinarang</t>
  </si>
  <si>
    <t>Desa Tumpuk</t>
  </si>
  <si>
    <t>Desa Watupatok</t>
  </si>
  <si>
    <t>Desa Belah</t>
  </si>
  <si>
    <t>Desa Cemeng</t>
  </si>
  <si>
    <t>Desa Donorojo</t>
  </si>
  <si>
    <t>Desa Gedompol</t>
  </si>
  <si>
    <t>Desa Gendaran</t>
  </si>
  <si>
    <t>Desa Kalak</t>
  </si>
  <si>
    <t>Desa Sawahan</t>
  </si>
  <si>
    <t>Desa Sekar</t>
  </si>
  <si>
    <t>Desa Sendang</t>
  </si>
  <si>
    <t>Desa Sukodono</t>
  </si>
  <si>
    <t>Desa Banjarjo</t>
  </si>
  <si>
    <t>Desa Gawang</t>
  </si>
  <si>
    <t>Desa Gembuk</t>
  </si>
  <si>
    <t>Desa Kalipelus</t>
  </si>
  <si>
    <t>Desa Karanganyar</t>
  </si>
  <si>
    <t>Desa Karangnongko</t>
  </si>
  <si>
    <t>Desa Katipugal</t>
  </si>
  <si>
    <t>Desa Kebonagung</t>
  </si>
  <si>
    <t>Desa Ketepung</t>
  </si>
  <si>
    <t>Desa Klesem</t>
  </si>
  <si>
    <t>Desa Plumbungan</t>
  </si>
  <si>
    <t>Desa Punjung</t>
  </si>
  <si>
    <t>Desa Purwoasri</t>
  </si>
  <si>
    <t>Desa Sanggrahan</t>
  </si>
  <si>
    <t>Desa Wonogondo</t>
  </si>
  <si>
    <t>Desa Worawari</t>
  </si>
  <si>
    <t>Desa Gondang</t>
  </si>
  <si>
    <t>Desa Jetislor</t>
  </si>
  <si>
    <t>Desa Mujing</t>
  </si>
  <si>
    <t>Desa Nawangan</t>
  </si>
  <si>
    <t>Desa Ngromo</t>
  </si>
  <si>
    <t>Desa Pakisbaru</t>
  </si>
  <si>
    <t>Desa Penggung</t>
  </si>
  <si>
    <t>Desa Sempu</t>
  </si>
  <si>
    <t>Desa Tokawi</t>
  </si>
  <si>
    <t>Desa Bodag</t>
  </si>
  <si>
    <t>Desa Bogoharjo</t>
  </si>
  <si>
    <t>Desa Cangkring</t>
  </si>
  <si>
    <t>Desa Cokrokembang</t>
  </si>
  <si>
    <t>Desa Hadiluwih</t>
  </si>
  <si>
    <t>Desa Hadiwarno</t>
  </si>
  <si>
    <t>Desa Ngadirojo</t>
  </si>
  <si>
    <t>Desa Nogosari</t>
  </si>
  <si>
    <t>Desa Pagerejo</t>
  </si>
  <si>
    <t>Desa Tanjunglor</t>
  </si>
  <si>
    <t>Desa Tanjungpuro</t>
  </si>
  <si>
    <t>Desa Wiyoro</t>
  </si>
  <si>
    <t>Desa Wonoasri</t>
  </si>
  <si>
    <t>Desa Wonodadi Kulon</t>
  </si>
  <si>
    <t>Desa Wonodadi Wetan</t>
  </si>
  <si>
    <t>Desa Wonokarto</t>
  </si>
  <si>
    <t>Desa Wonosobo</t>
  </si>
  <si>
    <t>Desa Arjowinangun</t>
  </si>
  <si>
    <t>Desa Banjarsari</t>
  </si>
  <si>
    <t>Desa Bolosingo</t>
  </si>
  <si>
    <t>Desa Kayen</t>
  </si>
  <si>
    <t>Desa Kembang</t>
  </si>
  <si>
    <t>Desa Menadi</t>
  </si>
  <si>
    <t>Desa Mentoro</t>
  </si>
  <si>
    <t>Desa Nanggungan</t>
  </si>
  <si>
    <t>Desa Ponggok</t>
  </si>
  <si>
    <t>Desa Purworejo</t>
  </si>
  <si>
    <t>Desa Sambong</t>
  </si>
  <si>
    <t>Desa Sedeng</t>
  </si>
  <si>
    <t>Desa Semanten</t>
  </si>
  <si>
    <t>Desa Sirnoboyo</t>
  </si>
  <si>
    <t>Desa Sukoharjo</t>
  </si>
  <si>
    <t>Desa Sumberharjo</t>
  </si>
  <si>
    <t>Desa Tambakrejo</t>
  </si>
  <si>
    <t>Desa Tanjungsari</t>
  </si>
  <si>
    <t>Desa Candi</t>
  </si>
  <si>
    <t>Desa Dadapan</t>
  </si>
  <si>
    <t>Desa Dersono</t>
  </si>
  <si>
    <t>Desa Glinggangan</t>
  </si>
  <si>
    <t>Desa Jlubang</t>
  </si>
  <si>
    <t>Desa Ngadirejan</t>
  </si>
  <si>
    <t>Desa Pelem</t>
  </si>
  <si>
    <t>Desa Poko</t>
  </si>
  <si>
    <t>Desa Pringkuku</t>
  </si>
  <si>
    <t>Desa Sobo</t>
  </si>
  <si>
    <t>Desa Sugihwaras</t>
  </si>
  <si>
    <t>Desa Tamanasri</t>
  </si>
  <si>
    <t>Desa Watu Karung</t>
  </si>
  <si>
    <t>Desa Bomo</t>
  </si>
  <si>
    <t>Desa Gondosari</t>
  </si>
  <si>
    <t>Desa Kebonsari</t>
  </si>
  <si>
    <t>Desa Kendal</t>
  </si>
  <si>
    <t>Desa Mendolo Kidul</t>
  </si>
  <si>
    <t>Desa Mendolo Lor</t>
  </si>
  <si>
    <t>Desa Piton</t>
  </si>
  <si>
    <t>Desa Punung</t>
  </si>
  <si>
    <t>Desa Sooka</t>
  </si>
  <si>
    <t>Desa Tinatar</t>
  </si>
  <si>
    <t>Desa Wareng</t>
  </si>
  <si>
    <t>Desa Gunung Rejo</t>
  </si>
  <si>
    <t>Desa Karang Mulyo</t>
  </si>
  <si>
    <t>Desa Ketanggung</t>
  </si>
  <si>
    <t>Desa Pager Kidul</t>
  </si>
  <si>
    <t>Desa Pager Lor</t>
  </si>
  <si>
    <t>Desa Sembowo</t>
  </si>
  <si>
    <t>Desa Sudimoro</t>
  </si>
  <si>
    <t>Desa Sukorejo</t>
  </si>
  <si>
    <t>Desa Sumber Rejo</t>
  </si>
  <si>
    <t>Desa Gedangan</t>
  </si>
  <si>
    <t>Desa Gemaharjo</t>
  </si>
  <si>
    <t>Desa Kasihan</t>
  </si>
  <si>
    <t>Desa Kebondalem</t>
  </si>
  <si>
    <t>Desa Kemuning</t>
  </si>
  <si>
    <t>Desa Ngreco</t>
  </si>
  <si>
    <t>Desa Pucangombo</t>
  </si>
  <si>
    <t>Desa Tahunan</t>
  </si>
  <si>
    <t>Desa Tahunan Baru</t>
  </si>
  <si>
    <t>Desa Tegalombo</t>
  </si>
  <si>
    <t>Desa Bubakan</t>
  </si>
  <si>
    <t>Desa Bungur</t>
  </si>
  <si>
    <t>Desa Gasang</t>
  </si>
  <si>
    <t>Desa Jatigunung</t>
  </si>
  <si>
    <t>Desa Jetak</t>
  </si>
  <si>
    <t>Desa Kalikuning</t>
  </si>
  <si>
    <t>Desa Ketro Harjo</t>
  </si>
  <si>
    <t>Desa Kluwih</t>
  </si>
  <si>
    <t>Desa Losari</t>
  </si>
  <si>
    <t>Desa Ngile</t>
  </si>
  <si>
    <t>Desa Nglaran</t>
  </si>
  <si>
    <t>Desa Ngumbul</t>
  </si>
  <si>
    <t>Desa Padi</t>
  </si>
  <si>
    <t>Desa Tulakan</t>
  </si>
  <si>
    <t>Desa Wonoanti</t>
  </si>
  <si>
    <t>Desa Wonosidi</t>
  </si>
  <si>
    <t>HARGO MAKMUR</t>
  </si>
  <si>
    <t>KAMBOJA</t>
  </si>
  <si>
    <t>NGUDI RUKUN</t>
  </si>
  <si>
    <t>KARYA BAKTI</t>
  </si>
  <si>
    <t>KARYA TANI</t>
  </si>
  <si>
    <t>NGUDI SUBUR III</t>
  </si>
  <si>
    <t>TANI UTOMO</t>
  </si>
  <si>
    <t>NGUDI SUBUR 02</t>
  </si>
  <si>
    <t>NGUDI SUBUR 01</t>
  </si>
  <si>
    <t>NGUDI LUHUR</t>
  </si>
  <si>
    <t>BUDI UTOMO</t>
  </si>
  <si>
    <t>WARGO RUKUN</t>
  </si>
  <si>
    <t>TANI LESTARI</t>
  </si>
  <si>
    <t>TANI SUBUR 02</t>
  </si>
  <si>
    <t>TANI SUBUR 01</t>
  </si>
  <si>
    <t>SIDO LUHUR</t>
  </si>
  <si>
    <t>BUDI LUHUR</t>
  </si>
  <si>
    <t>MAJU MAKMUR</t>
  </si>
  <si>
    <t>TUNAS MANUNGGAL</t>
  </si>
  <si>
    <t>REJO MAKMUR</t>
  </si>
  <si>
    <t>Mawar Putih</t>
  </si>
  <si>
    <t>BLOROK MADU</t>
  </si>
  <si>
    <t>SIDO URIP</t>
  </si>
  <si>
    <t>MARGO MULYO BARU</t>
  </si>
  <si>
    <t>SUMBER MAKMUR</t>
  </si>
  <si>
    <t>REJO SARI</t>
  </si>
  <si>
    <t>ENGGAL LESTARI</t>
  </si>
  <si>
    <t>SRI REJEKI</t>
  </si>
  <si>
    <t>JATI SARI</t>
  </si>
  <si>
    <t>Margo Makmur</t>
  </si>
  <si>
    <t>KARYA TUNGGAL</t>
  </si>
  <si>
    <t>PERINTIS</t>
  </si>
  <si>
    <t>TERATAI</t>
  </si>
  <si>
    <t>KWT. MELATI</t>
  </si>
  <si>
    <t>SIDO MULYO</t>
  </si>
  <si>
    <t>SETYA KARYA TIGA</t>
  </si>
  <si>
    <t>SETYA KARYA DUA</t>
  </si>
  <si>
    <t>SETYA KARYA SATU</t>
  </si>
  <si>
    <t>MAKMUR TIGA</t>
  </si>
  <si>
    <t>MAKMUR DUA</t>
  </si>
  <si>
    <t>MAKMUR SATU</t>
  </si>
  <si>
    <t>SIDO DADI DUA</t>
  </si>
  <si>
    <t>SIDO DADI SATU</t>
  </si>
  <si>
    <t>LESTARI</t>
  </si>
  <si>
    <t>SEJAHTERA DUA</t>
  </si>
  <si>
    <t>SEJAHTERA SATU</t>
  </si>
  <si>
    <t>SIDO MAKMUR 1</t>
  </si>
  <si>
    <t>SIDO MAJU 1</t>
  </si>
  <si>
    <t>SIDO DADI 1</t>
  </si>
  <si>
    <t>SIDO MULYO 1</t>
  </si>
  <si>
    <t>KENANGA II</t>
  </si>
  <si>
    <t>KENANGA I</t>
  </si>
  <si>
    <t>SIDO MUNCUL</t>
  </si>
  <si>
    <t>SIDO MUKTI</t>
  </si>
  <si>
    <t>SUKA MAJU</t>
  </si>
  <si>
    <t>SIDO DADI</t>
  </si>
  <si>
    <t>Kenanga</t>
  </si>
  <si>
    <t>MUDA TANI DUA</t>
  </si>
  <si>
    <t>MUDA TANI SATU</t>
  </si>
  <si>
    <t>MARGO MAKMUR TIGA</t>
  </si>
  <si>
    <t>MARGO MAKMUR DUA</t>
  </si>
  <si>
    <t>MARGO MAKMUR SATU</t>
  </si>
  <si>
    <t>RAHAYU</t>
  </si>
  <si>
    <t>NGUDI TANI</t>
  </si>
  <si>
    <t>RUKUN TANI</t>
  </si>
  <si>
    <t>MARGO MULYO TIGA</t>
  </si>
  <si>
    <t>MARGO MULYO DUA</t>
  </si>
  <si>
    <t>MARGO MULYO SATU</t>
  </si>
  <si>
    <t>SERBA TANI</t>
  </si>
  <si>
    <t>ANGGIAT TANI</t>
  </si>
  <si>
    <t>Sari Mulyo</t>
  </si>
  <si>
    <t>MEKAR SARI</t>
  </si>
  <si>
    <t>GUNUNG SARI DUA</t>
  </si>
  <si>
    <t>GUNUNG SARI SATU</t>
  </si>
  <si>
    <t>SEDYO RUKUN</t>
  </si>
  <si>
    <t>MEKAR DADI</t>
  </si>
  <si>
    <t>TANI RUKUN SATU</t>
  </si>
  <si>
    <t>WARGO TANI II</t>
  </si>
  <si>
    <t>MULYA TANI</t>
  </si>
  <si>
    <t>TAMAN TANI</t>
  </si>
  <si>
    <t>SEDYO MULYO</t>
  </si>
  <si>
    <t>MUGI LESTARI</t>
  </si>
  <si>
    <t>WARGO TANI SATU</t>
  </si>
  <si>
    <t>Sido Maju II</t>
  </si>
  <si>
    <t>Sido Maju I</t>
  </si>
  <si>
    <t>Ngudi Rahayu</t>
  </si>
  <si>
    <t>Ngudi Makmur II</t>
  </si>
  <si>
    <t>Ngudi Makmur I</t>
  </si>
  <si>
    <t>Wana Lestari</t>
  </si>
  <si>
    <t>Marsudi Makmur III</t>
  </si>
  <si>
    <t>Marsudi Makmur II</t>
  </si>
  <si>
    <t>Marsudi Makmur I</t>
  </si>
  <si>
    <t>Karya Tani</t>
  </si>
  <si>
    <t>Karya Manunggal II</t>
  </si>
  <si>
    <t>Karya Manunggal I</t>
  </si>
  <si>
    <t>Karya Makmur II</t>
  </si>
  <si>
    <t>Karya Makmur I</t>
  </si>
  <si>
    <t>Karya Makmur</t>
  </si>
  <si>
    <t>Karya Bima</t>
  </si>
  <si>
    <t>Hasil Tani</t>
  </si>
  <si>
    <t>Dadi Makmur</t>
  </si>
  <si>
    <t>Sri Rahayu</t>
  </si>
  <si>
    <t>Eko Makaryo</t>
  </si>
  <si>
    <t>Gotong Royong</t>
  </si>
  <si>
    <t>Margo Laras</t>
  </si>
  <si>
    <t>Sri Rejeki</t>
  </si>
  <si>
    <t>Sedyo Mulyo</t>
  </si>
  <si>
    <t>Maju Lancar</t>
  </si>
  <si>
    <t>Sido Maju</t>
  </si>
  <si>
    <t>Gawe Santoso</t>
  </si>
  <si>
    <t>Mugi Rahayu</t>
  </si>
  <si>
    <t>Ngudi Luhur</t>
  </si>
  <si>
    <t>Mardi Laras</t>
  </si>
  <si>
    <t>Edi Peni</t>
  </si>
  <si>
    <t>KWT Mekar Sari</t>
  </si>
  <si>
    <t>Sumber Rejeki</t>
  </si>
  <si>
    <t>SUMBER AGUNG</t>
  </si>
  <si>
    <t>Jati Diri</t>
  </si>
  <si>
    <t>Tani Rukun</t>
  </si>
  <si>
    <t>Padas Subur</t>
  </si>
  <si>
    <t>Setyo Tuhu</t>
  </si>
  <si>
    <t>Margo Mulyo</t>
  </si>
  <si>
    <t>Ngudi Utomo</t>
  </si>
  <si>
    <t>Ngudi Mulyo</t>
  </si>
  <si>
    <t>WANA BOGA</t>
  </si>
  <si>
    <t>Karya Bakti</t>
  </si>
  <si>
    <t>Mardi Makmur III</t>
  </si>
  <si>
    <t>Mardi Makmur II</t>
  </si>
  <si>
    <t>Tani Makmur</t>
  </si>
  <si>
    <t>Budi Lestari</t>
  </si>
  <si>
    <t>Sayuk Rukun</t>
  </si>
  <si>
    <t>Mardi Makmur I</t>
  </si>
  <si>
    <t>Padi Murni</t>
  </si>
  <si>
    <t>Ngunduh Pakarti</t>
  </si>
  <si>
    <t>Murih Widodo</t>
  </si>
  <si>
    <t>Rahayu Widodo</t>
  </si>
  <si>
    <t>KWT Karya Maju</t>
  </si>
  <si>
    <t>Tani Lestari</t>
  </si>
  <si>
    <t>Margi Laras</t>
  </si>
  <si>
    <t>Dadi Mulyo</t>
  </si>
  <si>
    <t>KWT. KELAPA SARI</t>
  </si>
  <si>
    <t>Margo Tentrem</t>
  </si>
  <si>
    <t>Barokah</t>
  </si>
  <si>
    <t>Margo Rukun</t>
  </si>
  <si>
    <t>Kelapa Sari</t>
  </si>
  <si>
    <t>Tani Mulyo</t>
  </si>
  <si>
    <t>Mekar Sari</t>
  </si>
  <si>
    <t>Tani Maju</t>
  </si>
  <si>
    <t>Rahayu</t>
  </si>
  <si>
    <t>Ngudi Rejeki</t>
  </si>
  <si>
    <t>Makmur</t>
  </si>
  <si>
    <t>Loh Jinawi</t>
  </si>
  <si>
    <t>Ngudi Karyo</t>
  </si>
  <si>
    <t>Ngudi Bogo</t>
  </si>
  <si>
    <t>Ngudi Tani</t>
  </si>
  <si>
    <t>Ngudi Santoso</t>
  </si>
  <si>
    <t>Ngudi Makmur</t>
  </si>
  <si>
    <t>Sido Mukti</t>
  </si>
  <si>
    <t>Budi Luhur</t>
  </si>
  <si>
    <t>Bakti Tani</t>
  </si>
  <si>
    <t>Rukun Makmur</t>
  </si>
  <si>
    <t>Sumber Makmur</t>
  </si>
  <si>
    <t>KWT Sekar Arum Sejahtera</t>
  </si>
  <si>
    <t>Sido Dadi II</t>
  </si>
  <si>
    <t>Sido Dadi I</t>
  </si>
  <si>
    <t>Sri Rejeki IV</t>
  </si>
  <si>
    <t>Sri Rejeki III</t>
  </si>
  <si>
    <t>Sri Rejeki II</t>
  </si>
  <si>
    <t>Sri Rejeki I</t>
  </si>
  <si>
    <t>Gebang Wonokarto</t>
  </si>
  <si>
    <t>Manunggal Bakti</t>
  </si>
  <si>
    <t>Rukun Tani</t>
  </si>
  <si>
    <t>Sedya Maju</t>
  </si>
  <si>
    <t>Giri Mulyo</t>
  </si>
  <si>
    <t>Budi Mulyo</t>
  </si>
  <si>
    <t>Dadi Subur</t>
  </si>
  <si>
    <t>Sidorejo</t>
  </si>
  <si>
    <t>Sumber Mulyo</t>
  </si>
  <si>
    <t>Assalam</t>
  </si>
  <si>
    <t>Sido Muncul</t>
  </si>
  <si>
    <t>Langen Karyo</t>
  </si>
  <si>
    <t>Sido Tani</t>
  </si>
  <si>
    <t>Sumber Agung</t>
  </si>
  <si>
    <t>Lestari</t>
  </si>
  <si>
    <t>Sumber Makmur 5</t>
  </si>
  <si>
    <t>Sumber Makmur 4</t>
  </si>
  <si>
    <t>Sumber Makmur 3</t>
  </si>
  <si>
    <t>Sumber Makmur 2</t>
  </si>
  <si>
    <t>Sumber Makmur 1</t>
  </si>
  <si>
    <t>Setyo Maju 7</t>
  </si>
  <si>
    <t>Setyo Maju 6</t>
  </si>
  <si>
    <t>Setyo Maju 5</t>
  </si>
  <si>
    <t>Setyo Maju 4</t>
  </si>
  <si>
    <t>Setyo Maju 3</t>
  </si>
  <si>
    <t>Setyo Maju Dua</t>
  </si>
  <si>
    <t>Setyo Maju 1</t>
  </si>
  <si>
    <t>TUNAS BARU</t>
  </si>
  <si>
    <t>Tri Karsa 11</t>
  </si>
  <si>
    <t>Tri Karsa 10</t>
  </si>
  <si>
    <t>Tri Karsa 9</t>
  </si>
  <si>
    <t>Tri Karsa 8</t>
  </si>
  <si>
    <t>Tri Karsa 7</t>
  </si>
  <si>
    <t>Tri Karsa 6</t>
  </si>
  <si>
    <t>Tri Karsa 5</t>
  </si>
  <si>
    <t>Tri Karsa 4</t>
  </si>
  <si>
    <t>Tri Karsa 3</t>
  </si>
  <si>
    <t>Tri Karsa 2</t>
  </si>
  <si>
    <t>Tri Karsa 1</t>
  </si>
  <si>
    <t>Tani Maju 6</t>
  </si>
  <si>
    <t>Tani Maju 5</t>
  </si>
  <si>
    <t>Tani Maju 4</t>
  </si>
  <si>
    <t>Tani Maju 3</t>
  </si>
  <si>
    <t>Tani Maju 2</t>
  </si>
  <si>
    <t>Tani Maju 1</t>
  </si>
  <si>
    <t>Gotong Royong 9</t>
  </si>
  <si>
    <t>Gotong Royong 8</t>
  </si>
  <si>
    <t>Gotong Royong 7</t>
  </si>
  <si>
    <t>Gotong Royong 6</t>
  </si>
  <si>
    <t>Gotong Royong 5</t>
  </si>
  <si>
    <t>Gotong Royong 4</t>
  </si>
  <si>
    <t>Gotong Royong 3</t>
  </si>
  <si>
    <t>Gotong Royong 2</t>
  </si>
  <si>
    <t>Gotong Royong 1</t>
  </si>
  <si>
    <t>Sedyo Makmur 9</t>
  </si>
  <si>
    <t>Sedyo Makmur 8</t>
  </si>
  <si>
    <t>Sedyo Makmur 7</t>
  </si>
  <si>
    <t>Sedyo Makmur 6</t>
  </si>
  <si>
    <t>Sedyo Makmur 5</t>
  </si>
  <si>
    <t>Sedyo Makmur 4</t>
  </si>
  <si>
    <t>Sedyo Makmur 3</t>
  </si>
  <si>
    <t>Sedyo Makmur 2</t>
  </si>
  <si>
    <t>Sedyo Makmur 1</t>
  </si>
  <si>
    <t>Pratolo Mulyo 6</t>
  </si>
  <si>
    <t>Pratolo Mulyo 5</t>
  </si>
  <si>
    <t>Pratolo Mulyo 4</t>
  </si>
  <si>
    <t>Pratolo Mulyo 3</t>
  </si>
  <si>
    <t>Pratolo Mulyo 2</t>
  </si>
  <si>
    <t>Pratolo Mulyo 1</t>
  </si>
  <si>
    <t>Mentes 3</t>
  </si>
  <si>
    <t>Mentes 2</t>
  </si>
  <si>
    <t>Mentes 1</t>
  </si>
  <si>
    <t>Sido Mekar 7</t>
  </si>
  <si>
    <t>Sido Mekar 6</t>
  </si>
  <si>
    <t>Sido Mekar 5</t>
  </si>
  <si>
    <t>Sido Mekar 4</t>
  </si>
  <si>
    <t>Sido Mekar 3</t>
  </si>
  <si>
    <t>Sido Mekar 2</t>
  </si>
  <si>
    <t>Sido Mekar 1</t>
  </si>
  <si>
    <t>Winasri</t>
  </si>
  <si>
    <t>Sido Maju 7</t>
  </si>
  <si>
    <t>Sido Maju 6</t>
  </si>
  <si>
    <t>Sido Maju 5</t>
  </si>
  <si>
    <t>Sido Maju 4</t>
  </si>
  <si>
    <t>Sido Maju 3</t>
  </si>
  <si>
    <t>Sido Maju 2</t>
  </si>
  <si>
    <t>Sido Maju 1</t>
  </si>
  <si>
    <t>Sari Tani 9</t>
  </si>
  <si>
    <t>Sari Tani 8</t>
  </si>
  <si>
    <t>Sari Tani 7</t>
  </si>
  <si>
    <t>Sari Tani 6</t>
  </si>
  <si>
    <t>Sari Tani 5</t>
  </si>
  <si>
    <t>Sari Tani 4</t>
  </si>
  <si>
    <t>Sari Tani 3</t>
  </si>
  <si>
    <t>Sari Tani 2</t>
  </si>
  <si>
    <t>Sari Tani 1</t>
  </si>
  <si>
    <t>Margo Subur 5</t>
  </si>
  <si>
    <t>Margo Subur 4</t>
  </si>
  <si>
    <t>Margo Subur 3</t>
  </si>
  <si>
    <t>Margo Subur 2</t>
  </si>
  <si>
    <t>Margo Subur 1</t>
  </si>
  <si>
    <t>Ngudi Makmur 8</t>
  </si>
  <si>
    <t>Ngudi Makmur 7</t>
  </si>
  <si>
    <t>Ngudi Makmur 6</t>
  </si>
  <si>
    <t>Ngudi Makmur 5</t>
  </si>
  <si>
    <t>Ngudi Makmur 4</t>
  </si>
  <si>
    <t>Ngudi Makmur 3</t>
  </si>
  <si>
    <t>Ngudi Makmur 2</t>
  </si>
  <si>
    <t>Ngudi Makmur 1</t>
  </si>
  <si>
    <t>Sumber Asri 7</t>
  </si>
  <si>
    <t>Sumber Asri 6</t>
  </si>
  <si>
    <t>Sumber Asri 5</t>
  </si>
  <si>
    <t>Sumber Asri 4</t>
  </si>
  <si>
    <t>Sumber Asri 3</t>
  </si>
  <si>
    <t>Sumber Asri 2</t>
  </si>
  <si>
    <t>Sumber Asri 1</t>
  </si>
  <si>
    <t>Setya Usaha VII</t>
  </si>
  <si>
    <t>Setya Usaha VI</t>
  </si>
  <si>
    <t>Setya Usaha V</t>
  </si>
  <si>
    <t>Setya Usaha IV</t>
  </si>
  <si>
    <t>Setya Usaha II</t>
  </si>
  <si>
    <t>Setya Usaha III</t>
  </si>
  <si>
    <t>Setya Usaha I</t>
  </si>
  <si>
    <t>Bumi Harum 13</t>
  </si>
  <si>
    <t>Bumi Harum 12</t>
  </si>
  <si>
    <t>Bumi Harum 11</t>
  </si>
  <si>
    <t>Bumi Harum 10</t>
  </si>
  <si>
    <t>Bumi Harum 9</t>
  </si>
  <si>
    <t>Bumi Harum 8</t>
  </si>
  <si>
    <t>Bumi Harum 7</t>
  </si>
  <si>
    <t>Bumi Harum 6</t>
  </si>
  <si>
    <t>Bumi Harum 5</t>
  </si>
  <si>
    <t>Bumi Harum 4</t>
  </si>
  <si>
    <t>Bumi Harum 3</t>
  </si>
  <si>
    <t>Bumi Harum 2</t>
  </si>
  <si>
    <t>Bumi Harum 1</t>
  </si>
  <si>
    <t>Sido Rejo 5</t>
  </si>
  <si>
    <t>Sido Rejo 4</t>
  </si>
  <si>
    <t>Sido Rejo 3</t>
  </si>
  <si>
    <t>Sido Rejo 2</t>
  </si>
  <si>
    <t>Sido Rejo 1</t>
  </si>
  <si>
    <t>Sido Makmur 1</t>
  </si>
  <si>
    <t>Sido Makmur 6</t>
  </si>
  <si>
    <t>Sido Makmur 5</t>
  </si>
  <si>
    <t>Sido Makmur 4</t>
  </si>
  <si>
    <t>Sido Makmur 3</t>
  </si>
  <si>
    <t>Sido Makmur 2</t>
  </si>
  <si>
    <t>Karya Mandiri</t>
  </si>
  <si>
    <t>Mugi Lancar</t>
  </si>
  <si>
    <t>Dewi Sinto</t>
  </si>
  <si>
    <t>Hargo Sedah</t>
  </si>
  <si>
    <t>Pelita Jaya</t>
  </si>
  <si>
    <t>Dewi Sri</t>
  </si>
  <si>
    <t>Nusa Indah</t>
  </si>
  <si>
    <t>Dono Asih</t>
  </si>
  <si>
    <t>Indah Karya I</t>
  </si>
  <si>
    <t>Setya Karya</t>
  </si>
  <si>
    <t>Sumber Sari</t>
  </si>
  <si>
    <t>Kundang Makmur</t>
  </si>
  <si>
    <t>Sumber Karya</t>
  </si>
  <si>
    <t>Margo Rahayu 2</t>
  </si>
  <si>
    <t>Melati</t>
  </si>
  <si>
    <t>Sumber Dadi</t>
  </si>
  <si>
    <t>Margo Utomo</t>
  </si>
  <si>
    <t>Tani Mulya</t>
  </si>
  <si>
    <t>Sri Mulya</t>
  </si>
  <si>
    <t>Margo Rahayu</t>
  </si>
  <si>
    <t>Nawanggono III</t>
  </si>
  <si>
    <t>Manunggal Karya</t>
  </si>
  <si>
    <t>Mawar</t>
  </si>
  <si>
    <t>Ledok Sari</t>
  </si>
  <si>
    <t>Sri Lestari</t>
  </si>
  <si>
    <t>Nawanggono II</t>
  </si>
  <si>
    <t>Sendang Mulyo</t>
  </si>
  <si>
    <t>Nawanggono</t>
  </si>
  <si>
    <t>Setya Tani</t>
  </si>
  <si>
    <t>Sri Sadono</t>
  </si>
  <si>
    <t>Arum Tani</t>
  </si>
  <si>
    <t>Sri Sedono</t>
  </si>
  <si>
    <t>Bina Tani III</t>
  </si>
  <si>
    <t>Bina Tani II</t>
  </si>
  <si>
    <t>Bina Tani I</t>
  </si>
  <si>
    <t>Ngudi Rahayu II</t>
  </si>
  <si>
    <t>Ngudi Rahayu I</t>
  </si>
  <si>
    <t>Muda Taruna Mandiri</t>
  </si>
  <si>
    <t>Seroja</t>
  </si>
  <si>
    <t>HARGO MULYO</t>
  </si>
  <si>
    <t>MITRA TANI</t>
  </si>
  <si>
    <t>SINAR HARAPAN</t>
  </si>
  <si>
    <t>BARU WUNGU</t>
  </si>
  <si>
    <t>MARGO MULYO</t>
  </si>
  <si>
    <t>Rukun Santosa</t>
  </si>
  <si>
    <t>Lestari Mulyo</t>
  </si>
  <si>
    <t>Sinar pelita</t>
  </si>
  <si>
    <t>Ngudi Boga</t>
  </si>
  <si>
    <t>Sari Mulyo II</t>
  </si>
  <si>
    <t>Sari Mulyo I</t>
  </si>
  <si>
    <t>Tunas Subur</t>
  </si>
  <si>
    <t>Sinar Pelita II</t>
  </si>
  <si>
    <t>Sinar Pelita I</t>
  </si>
  <si>
    <t>MARSUDI SUBUR</t>
  </si>
  <si>
    <t>Sri Tani</t>
  </si>
  <si>
    <t>Karya Muda</t>
  </si>
  <si>
    <t>Berkah Tani</t>
  </si>
  <si>
    <t>Maju Tani</t>
  </si>
  <si>
    <t>Srikandi</t>
  </si>
  <si>
    <t>Ngestu Tani</t>
  </si>
  <si>
    <t>Tani Sido Makmur</t>
  </si>
  <si>
    <t>Suka Tani</t>
  </si>
  <si>
    <t>Sari Bumi</t>
  </si>
  <si>
    <t>Marsudi Tani I</t>
  </si>
  <si>
    <t>Marsudi Tani</t>
  </si>
  <si>
    <t>Hidayah</t>
  </si>
  <si>
    <t>Sido Makmur II</t>
  </si>
  <si>
    <t>Gemah Ripah</t>
  </si>
  <si>
    <t>Sari Tani</t>
  </si>
  <si>
    <t>Sido Rukun</t>
  </si>
  <si>
    <t>NGUDI LUHUR V</t>
  </si>
  <si>
    <t>NGUDI LUHUR IV</t>
  </si>
  <si>
    <t>NGUDI LUHUR III</t>
  </si>
  <si>
    <t>NGUDI LUHUR II</t>
  </si>
  <si>
    <t>NGUDI LUHUR I</t>
  </si>
  <si>
    <t>KWT MARDI RAHAYU</t>
  </si>
  <si>
    <t>MARDI RAHAYU VII</t>
  </si>
  <si>
    <t>MARDI RAHAYU VI</t>
  </si>
  <si>
    <t>MARDI RAHAYU V</t>
  </si>
  <si>
    <t>MARDI RAHAYU IV</t>
  </si>
  <si>
    <t>MARDI RAHAYU III</t>
  </si>
  <si>
    <t>MARDI RAHAYU II</t>
  </si>
  <si>
    <t>MARDI RAHAYU I</t>
  </si>
  <si>
    <t>SUKODONO IV</t>
  </si>
  <si>
    <t>SUKODONO III</t>
  </si>
  <si>
    <t>SUKODONO II</t>
  </si>
  <si>
    <t>SUKODONO I</t>
  </si>
  <si>
    <t>RUKUN MAKMUR VII</t>
  </si>
  <si>
    <t>RUKUN MAKMUR VI</t>
  </si>
  <si>
    <t>RUKUN MAKMUR V</t>
  </si>
  <si>
    <t>RUKUN MAKMUR IV</t>
  </si>
  <si>
    <t>RUKUN MAKMUR III</t>
  </si>
  <si>
    <t>RUKUN MAKMUR II</t>
  </si>
  <si>
    <t>RUKUN MAKMUR I</t>
  </si>
  <si>
    <t>PENI</t>
  </si>
  <si>
    <t>PENI VIII</t>
  </si>
  <si>
    <t>PENI VII</t>
  </si>
  <si>
    <t>PENI VI</t>
  </si>
  <si>
    <t>PENI V</t>
  </si>
  <si>
    <t>PENI IV</t>
  </si>
  <si>
    <t>PENI III</t>
  </si>
  <si>
    <t>PENI II</t>
  </si>
  <si>
    <t>PENI I</t>
  </si>
  <si>
    <t>Matahari</t>
  </si>
  <si>
    <t>TUNAS HARAPAN IX</t>
  </si>
  <si>
    <t>TUNAS HARAPAN VIII</t>
  </si>
  <si>
    <t>TUNAS HARAPAN VII</t>
  </si>
  <si>
    <t>TUNAS HARAPAN VI</t>
  </si>
  <si>
    <t>TUNAS HARAPAN V</t>
  </si>
  <si>
    <t>TUNAS HARAPAN IV</t>
  </si>
  <si>
    <t>TUNAS HARAPAN III</t>
  </si>
  <si>
    <t>TUNAS HARAPAN II</t>
  </si>
  <si>
    <t>TUNAS HARAPAN I</t>
  </si>
  <si>
    <t>MEKARSARI V</t>
  </si>
  <si>
    <t>MEKARSARI IV</t>
  </si>
  <si>
    <t>MEKARSARI III</t>
  </si>
  <si>
    <t>MEKARSARI II</t>
  </si>
  <si>
    <t>MEKARSARI I</t>
  </si>
  <si>
    <t>KARYA MULYA V</t>
  </si>
  <si>
    <t>KARYA MULYA IV</t>
  </si>
  <si>
    <t>KARYA MULYA III</t>
  </si>
  <si>
    <t>KARYA MULYA II</t>
  </si>
  <si>
    <t>KARYA MULYA I</t>
  </si>
  <si>
    <t>BANGUNREJO VI</t>
  </si>
  <si>
    <t>BANGUNREJO IX</t>
  </si>
  <si>
    <t>BANGUNREJO VIII</t>
  </si>
  <si>
    <t>BANGUNREJO VII</t>
  </si>
  <si>
    <t>BANGUNREJO V</t>
  </si>
  <si>
    <t>BANGUNREJO IV</t>
  </si>
  <si>
    <t>BANGUNREJO III</t>
  </si>
  <si>
    <t>BANGUNREJO II</t>
  </si>
  <si>
    <t>BANGUNREJO I</t>
  </si>
  <si>
    <t>KWT. LESTARI MULYO</t>
  </si>
  <si>
    <t>Widyasana VII</t>
  </si>
  <si>
    <t>WIDYASANA IX</t>
  </si>
  <si>
    <t>WIDYASANA VIII</t>
  </si>
  <si>
    <t>WIDYASANA VI</t>
  </si>
  <si>
    <t>WIDYASANA V</t>
  </si>
  <si>
    <t>WIDYASANA IV</t>
  </si>
  <si>
    <t>WIDYASANA III</t>
  </si>
  <si>
    <t>WIDYASANA II</t>
  </si>
  <si>
    <t>WIDYASANA I</t>
  </si>
  <si>
    <t>MARGO RUKUN VII</t>
  </si>
  <si>
    <t>MARGO RUKUN VI</t>
  </si>
  <si>
    <t>MARGO RUKUN V</t>
  </si>
  <si>
    <t>MARGO RUKUN IV</t>
  </si>
  <si>
    <t>MARGO RUKUN III</t>
  </si>
  <si>
    <t>MARGO RUKUN II</t>
  </si>
  <si>
    <t>MARGO RUKUN I</t>
  </si>
  <si>
    <t>Seruni</t>
  </si>
  <si>
    <t>MAKMUR IV</t>
  </si>
  <si>
    <t>MAKMUR III</t>
  </si>
  <si>
    <t>MAKMUR II</t>
  </si>
  <si>
    <t>MAKMUR I</t>
  </si>
  <si>
    <t>MARDI REJO V</t>
  </si>
  <si>
    <t>MARDI REJO IV</t>
  </si>
  <si>
    <t>MARDI REJO III</t>
  </si>
  <si>
    <t>MARDI REJO II</t>
  </si>
  <si>
    <t>MARDI REJO I</t>
  </si>
  <si>
    <t>ERAS ASRI V</t>
  </si>
  <si>
    <t>ERAS ASRI IV</t>
  </si>
  <si>
    <t>ERAS ASRI III</t>
  </si>
  <si>
    <t>ERAS ASRI II</t>
  </si>
  <si>
    <t>ERAS ASRI I</t>
  </si>
  <si>
    <t>DHARMA BAKTI</t>
  </si>
  <si>
    <t>NGUDI MAKMUR VI</t>
  </si>
  <si>
    <t>NGUDI MAKMUR V</t>
  </si>
  <si>
    <t>NGUDI MAKMUR IV</t>
  </si>
  <si>
    <t>NGUDI MAKMUR III</t>
  </si>
  <si>
    <t>NGUDI MAKMUR II</t>
  </si>
  <si>
    <t>NGUDI MAKMUR I</t>
  </si>
  <si>
    <t>ERAS V</t>
  </si>
  <si>
    <t>ERAS IV</t>
  </si>
  <si>
    <t>ERAS III</t>
  </si>
  <si>
    <t>ERAS II</t>
  </si>
  <si>
    <t>ERAS I</t>
  </si>
  <si>
    <t>ERAS SOBO 5</t>
  </si>
  <si>
    <t>ERAS SOBO IV</t>
  </si>
  <si>
    <t>ERAS SOBO III</t>
  </si>
  <si>
    <t>ERAS SOBO II</t>
  </si>
  <si>
    <t>ERAS SOBO I</t>
  </si>
  <si>
    <t>Sido Asih IV</t>
  </si>
  <si>
    <t>Sido Asih III</t>
  </si>
  <si>
    <t>Sido Asih II</t>
  </si>
  <si>
    <t>Sido Asih I</t>
  </si>
  <si>
    <t>KWT Sakura III</t>
  </si>
  <si>
    <t>Eko Proyo I</t>
  </si>
  <si>
    <t>Gemah Ripah VI</t>
  </si>
  <si>
    <t>Gemah Ripah V</t>
  </si>
  <si>
    <t>Gemah Ripah IV</t>
  </si>
  <si>
    <t>Gemah Ripah III</t>
  </si>
  <si>
    <t>Gemah Ripah II</t>
  </si>
  <si>
    <t>Gemah Ripah I</t>
  </si>
  <si>
    <t>KWT Melati</t>
  </si>
  <si>
    <t>Sido Dadi III</t>
  </si>
  <si>
    <t>Utama Karya IV</t>
  </si>
  <si>
    <t>Utama Karya III</t>
  </si>
  <si>
    <t>Utama Karya II</t>
  </si>
  <si>
    <t>Utama Karya I</t>
  </si>
  <si>
    <t>KWT Karya Makmur</t>
  </si>
  <si>
    <t>KWT Sumber Rejeki</t>
  </si>
  <si>
    <t>KWT SRIKANDI</t>
  </si>
  <si>
    <t>Sedyo Tani III</t>
  </si>
  <si>
    <t>Sedyo Tani II</t>
  </si>
  <si>
    <t>Sedyo Tani I</t>
  </si>
  <si>
    <t>Sedyo Rukun VI</t>
  </si>
  <si>
    <t>Sedyo Rukun I</t>
  </si>
  <si>
    <t>KWT PADEMANGAN PUTRI</t>
  </si>
  <si>
    <t>Sedyo Rukun V</t>
  </si>
  <si>
    <t>Sedyo Rukun IV</t>
  </si>
  <si>
    <t>Sedyo Rukun III</t>
  </si>
  <si>
    <t>Sedyo Rukun II</t>
  </si>
  <si>
    <t>Manunggal II</t>
  </si>
  <si>
    <t>MANUNGGAL I</t>
  </si>
  <si>
    <t>Kelurahan Pacitan</t>
  </si>
  <si>
    <t>KWT Margo Makmur VI A</t>
  </si>
  <si>
    <t>Margo Makmur IX</t>
  </si>
  <si>
    <t>Margo Makmur VIII</t>
  </si>
  <si>
    <t>Margo Makmur VII</t>
  </si>
  <si>
    <t>Margo Makmur VI</t>
  </si>
  <si>
    <t>Margo Makmur V</t>
  </si>
  <si>
    <t>Kelurahan Pucangsewu</t>
  </si>
  <si>
    <t>KARYO TOMO II</t>
  </si>
  <si>
    <t>KARYO TOMO I</t>
  </si>
  <si>
    <t>KWT Sido Dadi</t>
  </si>
  <si>
    <t>Margo Mulyo III</t>
  </si>
  <si>
    <t>Margo Mulyo II</t>
  </si>
  <si>
    <t>Margo Mulyo I</t>
  </si>
  <si>
    <t>ARGO MULYO XII</t>
  </si>
  <si>
    <t>ARGO MULYO XI</t>
  </si>
  <si>
    <t>ARGO MULYO X</t>
  </si>
  <si>
    <t>ARGO MULYO IX</t>
  </si>
  <si>
    <t>ARGO MULYO VIII</t>
  </si>
  <si>
    <t>ARGO MULYO VII</t>
  </si>
  <si>
    <t>ARGO MULYO VI</t>
  </si>
  <si>
    <t>ARGO MULYO V</t>
  </si>
  <si>
    <t>ARGO MULYO IV</t>
  </si>
  <si>
    <t>ARGO MULYO III</t>
  </si>
  <si>
    <t>ARGO MULYO II</t>
  </si>
  <si>
    <t>ARGO MULYO I</t>
  </si>
  <si>
    <t>Mekar Sari VIII</t>
  </si>
  <si>
    <t>Mekar Sari VII</t>
  </si>
  <si>
    <t>Mekar Sari VI</t>
  </si>
  <si>
    <t>Mekar Sari V</t>
  </si>
  <si>
    <t>Mekar Sari IV</t>
  </si>
  <si>
    <t>Mekar Sari III</t>
  </si>
  <si>
    <t>Mekar Sari II</t>
  </si>
  <si>
    <t>Mekar Sari I</t>
  </si>
  <si>
    <t>Mugi Rahayu VII</t>
  </si>
  <si>
    <t>Mugi Rahayu VI</t>
  </si>
  <si>
    <t>Mugi Rahayu V</t>
  </si>
  <si>
    <t>Mugi Rahayu IV</t>
  </si>
  <si>
    <t>Mugi Rahayu III</t>
  </si>
  <si>
    <t>Mugi Rahayu II</t>
  </si>
  <si>
    <t>Mugi Rahayu I</t>
  </si>
  <si>
    <t>Sido Makmur XI</t>
  </si>
  <si>
    <t>Sido Makmur X</t>
  </si>
  <si>
    <t>Sido Makmur IX</t>
  </si>
  <si>
    <t>KWT Bina Makmur</t>
  </si>
  <si>
    <t>KWT Mekar Makmur</t>
  </si>
  <si>
    <t>Sido Makmur VIII</t>
  </si>
  <si>
    <t>Sido Makmur VII</t>
  </si>
  <si>
    <t>Sido Makmur VI</t>
  </si>
  <si>
    <t>Sido Makmur V</t>
  </si>
  <si>
    <t>Sido Makmur IV</t>
  </si>
  <si>
    <t>Sido Makmur III</t>
  </si>
  <si>
    <t>Sido Makmur I</t>
  </si>
  <si>
    <t>Kelurahan Sidoharjo</t>
  </si>
  <si>
    <t>Sido Maju V</t>
  </si>
  <si>
    <t>Sido Maju IV</t>
  </si>
  <si>
    <t>Sido Maju III</t>
  </si>
  <si>
    <t>KWT Sido Rukun</t>
  </si>
  <si>
    <t>KWT Rejo Mulyo</t>
  </si>
  <si>
    <t>Sumber Makmur III</t>
  </si>
  <si>
    <t>Sumber Makmur II</t>
  </si>
  <si>
    <t>Sumber Makmur I</t>
  </si>
  <si>
    <t>KWT Dewi Sri</t>
  </si>
  <si>
    <t>KWT Srikandi</t>
  </si>
  <si>
    <t>Karya Tani III</t>
  </si>
  <si>
    <t>Karya Tani II</t>
  </si>
  <si>
    <t>Karya Tani I</t>
  </si>
  <si>
    <t>KWT Sri Tanjung</t>
  </si>
  <si>
    <t>Karya Tunggal III</t>
  </si>
  <si>
    <t>Karya Tunggal II</t>
  </si>
  <si>
    <t>Karya Tunggal I</t>
  </si>
  <si>
    <t>KWT SIDO MAPAN</t>
  </si>
  <si>
    <t>Sidodadi III</t>
  </si>
  <si>
    <t>Sidodadi II</t>
  </si>
  <si>
    <t>Sidodadi I</t>
  </si>
  <si>
    <t>Kelurahan Baleharjo</t>
  </si>
  <si>
    <t>Nuju Makmur XVI A</t>
  </si>
  <si>
    <t>Nuju Makmur XVI</t>
  </si>
  <si>
    <t>Nuju Makmur XV</t>
  </si>
  <si>
    <t>Nuju Makmur XIV</t>
  </si>
  <si>
    <t>Nuju Makmur XIII</t>
  </si>
  <si>
    <t>Nuju Makmur XII</t>
  </si>
  <si>
    <t>Nuju Makmur XI</t>
  </si>
  <si>
    <t>Nuju Makmur X</t>
  </si>
  <si>
    <t>Nuju Makmur IX</t>
  </si>
  <si>
    <t>Nuju Makmur VIII</t>
  </si>
  <si>
    <t>Nuju Makmur VII</t>
  </si>
  <si>
    <t>Nuju Makmur VI</t>
  </si>
  <si>
    <t>Nuju Makmur V</t>
  </si>
  <si>
    <t>Nuju Makmur IV</t>
  </si>
  <si>
    <t>Nuju Makmur III</t>
  </si>
  <si>
    <t>Nuju Makmur II</t>
  </si>
  <si>
    <t>Nuju Makmur 01</t>
  </si>
  <si>
    <t>Suka Maju VI</t>
  </si>
  <si>
    <t>Suka Maju 05</t>
  </si>
  <si>
    <t>Suka Maju IV</t>
  </si>
  <si>
    <t>Suka Maju III</t>
  </si>
  <si>
    <t>Suka Maju II</t>
  </si>
  <si>
    <t>Suka Maju 01</t>
  </si>
  <si>
    <t>Sakti XIX</t>
  </si>
  <si>
    <t>Sakti XVIII</t>
  </si>
  <si>
    <t>Sakti XVII</t>
  </si>
  <si>
    <t>Sakti XVI</t>
  </si>
  <si>
    <t>Sakti XV</t>
  </si>
  <si>
    <t>Sakti XIV</t>
  </si>
  <si>
    <t>Sakti XIII</t>
  </si>
  <si>
    <t>Sakti XII</t>
  </si>
  <si>
    <t>Sakti XI</t>
  </si>
  <si>
    <t>Sakti X</t>
  </si>
  <si>
    <t>Sakti IX</t>
  </si>
  <si>
    <t>Sakti VIII</t>
  </si>
  <si>
    <t>Sakti VII</t>
  </si>
  <si>
    <t>Sakti VI</t>
  </si>
  <si>
    <t>Sakti V</t>
  </si>
  <si>
    <t>Sakti IV</t>
  </si>
  <si>
    <t>Sakti III</t>
  </si>
  <si>
    <t>Sakti II</t>
  </si>
  <si>
    <t>Sakti I</t>
  </si>
  <si>
    <t>Margo Mulyo VIII</t>
  </si>
  <si>
    <t>Margo Mulyo VII</t>
  </si>
  <si>
    <t>Margo Mulyo VI</t>
  </si>
  <si>
    <t>Margo Mulyo 05</t>
  </si>
  <si>
    <t>Margo Mulyo IV</t>
  </si>
  <si>
    <t>Margo Mulyo 01</t>
  </si>
  <si>
    <t>Selo Rejeki V</t>
  </si>
  <si>
    <t>Selo Rejeki X</t>
  </si>
  <si>
    <t>Selo Rejeki IX</t>
  </si>
  <si>
    <t>Selo Rejeki VIII</t>
  </si>
  <si>
    <t>Selo Rejeki VII</t>
  </si>
  <si>
    <t>Selo Rejeki VI</t>
  </si>
  <si>
    <t>Selo Rejeki IV</t>
  </si>
  <si>
    <t>Selo Rejeki III</t>
  </si>
  <si>
    <t>Selo Rejeki II</t>
  </si>
  <si>
    <t>Selo Rejeki I</t>
  </si>
  <si>
    <t>KWT. Rindang</t>
  </si>
  <si>
    <t>Blimbing Sari</t>
  </si>
  <si>
    <t>Sumber Rejeki IX</t>
  </si>
  <si>
    <t>Sumber Rejeki VIII</t>
  </si>
  <si>
    <t>Sumber Rejeki VII</t>
  </si>
  <si>
    <t>Sumber Rejeki VI</t>
  </si>
  <si>
    <t>Sumber Rejeki V</t>
  </si>
  <si>
    <t>Sumber Rejeki IV</t>
  </si>
  <si>
    <t>Sumber Rejeki III</t>
  </si>
  <si>
    <t>Sumber Rejeki Dua</t>
  </si>
  <si>
    <t>Sri Rejeki XIV</t>
  </si>
  <si>
    <t>Sri Rejeki XIII</t>
  </si>
  <si>
    <t>Sri Rejeki XII</t>
  </si>
  <si>
    <t>Sri Rejeki XI</t>
  </si>
  <si>
    <t>Sri Rejeki Sepuluh</t>
  </si>
  <si>
    <t>Sri Rejeki IX</t>
  </si>
  <si>
    <t>Sri Rejeki VIII</t>
  </si>
  <si>
    <t>Sri Rejeki VII</t>
  </si>
  <si>
    <t>Sri Rejeki VI</t>
  </si>
  <si>
    <t>Sri Rejeki Lima</t>
  </si>
  <si>
    <t>Lestari VIII</t>
  </si>
  <si>
    <t>Lestari VII</t>
  </si>
  <si>
    <t>Lestari VI</t>
  </si>
  <si>
    <t>Lestari V</t>
  </si>
  <si>
    <t>JANTI MAKMUR</t>
  </si>
  <si>
    <t>Sambi Rejo</t>
  </si>
  <si>
    <t>Kembang Rejo</t>
  </si>
  <si>
    <t>Wayah Makmur</t>
  </si>
  <si>
    <t>Maju Makmur</t>
  </si>
  <si>
    <t>Pindul Makmur</t>
  </si>
  <si>
    <t>Gondang Rejo VIII</t>
  </si>
  <si>
    <t>Gondang Rejo V</t>
  </si>
  <si>
    <t>Gondang Rejo II</t>
  </si>
  <si>
    <t>Gondang Rejo I</t>
  </si>
  <si>
    <t>Sido Mulyo VI</t>
  </si>
  <si>
    <t>Sido Mulyo V</t>
  </si>
  <si>
    <t>Gemah Ripah XII</t>
  </si>
  <si>
    <t>Gemah Ripah XI</t>
  </si>
  <si>
    <t>Gemah Ripah X</t>
  </si>
  <si>
    <t>Gemah Ripah IX</t>
  </si>
  <si>
    <t>Gemah Ripah VIII</t>
  </si>
  <si>
    <t>Gemah Ripah VII</t>
  </si>
  <si>
    <t>SIDO MULYO SEPULUH</t>
  </si>
  <si>
    <t>KWT. Budi Lestari</t>
  </si>
  <si>
    <t>Sido Mulyo IX</t>
  </si>
  <si>
    <t>Sido Mulyo VIII</t>
  </si>
  <si>
    <t>Sido Mulyo VII</t>
  </si>
  <si>
    <t>Sido Mulyo Nol Satu</t>
  </si>
  <si>
    <t>KWT Sido Mukti 4</t>
  </si>
  <si>
    <t>KWT Sido Mukti I</t>
  </si>
  <si>
    <t>Margo Mukti</t>
  </si>
  <si>
    <t>Sido Mukti VII</t>
  </si>
  <si>
    <t>Sido Mukti V</t>
  </si>
  <si>
    <t>Sido Mukti IV</t>
  </si>
  <si>
    <t>Sido Mukti III</t>
  </si>
  <si>
    <t>Sido Mukti II</t>
  </si>
  <si>
    <t>Sido Mukti I</t>
  </si>
  <si>
    <t>KWT Manunggal Mukti</t>
  </si>
  <si>
    <t>Ratih Tani IV</t>
  </si>
  <si>
    <t>Sedyo Rukun</t>
  </si>
  <si>
    <t>Ratih Tani III</t>
  </si>
  <si>
    <t>Ratih Tani</t>
  </si>
  <si>
    <t>Manunggal Mukti</t>
  </si>
  <si>
    <t>Margo Dadi</t>
  </si>
  <si>
    <t>Tani Widodo</t>
  </si>
  <si>
    <t>Margo Tani</t>
  </si>
  <si>
    <t>Sendang Sari</t>
  </si>
  <si>
    <t>Tambah Rejo</t>
  </si>
  <si>
    <t>Harapan</t>
  </si>
  <si>
    <t>Tani Harapan</t>
  </si>
  <si>
    <t>Tani Murni</t>
  </si>
  <si>
    <t>Rukun Mulyo 2</t>
  </si>
  <si>
    <t>Fajar Rahayu</t>
  </si>
  <si>
    <t>Handayani</t>
  </si>
  <si>
    <t>Rukun Mulyo</t>
  </si>
  <si>
    <t>Suko Makmur</t>
  </si>
  <si>
    <t>Ngudi Rukun</t>
  </si>
  <si>
    <t>Rebo Legi</t>
  </si>
  <si>
    <t>Karya Luhur I</t>
  </si>
  <si>
    <t>Rebo Kliwon I</t>
  </si>
  <si>
    <t>Rebo Kliwon II</t>
  </si>
  <si>
    <t>Margo Tresno</t>
  </si>
  <si>
    <t>Karya Luhur II</t>
  </si>
  <si>
    <t>Makaryo</t>
  </si>
  <si>
    <t>Eko Karyo</t>
  </si>
  <si>
    <t>Basuki Makmur</t>
  </si>
  <si>
    <t>Sumberejo</t>
  </si>
  <si>
    <t>Sido Luhur</t>
  </si>
  <si>
    <t>Tuhu Bakti I</t>
  </si>
  <si>
    <t>Tani Mulyo II</t>
  </si>
  <si>
    <t>Tani Mulyo I</t>
  </si>
  <si>
    <t>Tuhu Bakti II</t>
  </si>
  <si>
    <t>Margo Asih</t>
  </si>
  <si>
    <t>Amanah</t>
  </si>
  <si>
    <t>Kurnia</t>
  </si>
  <si>
    <t>Sumber Agung Muda</t>
  </si>
  <si>
    <t>Punadirpa</t>
  </si>
  <si>
    <t>Sumber Asih</t>
  </si>
  <si>
    <t>Pangupo Jiwo</t>
  </si>
  <si>
    <t>Purwodadi</t>
  </si>
  <si>
    <t>Maju Lancar I</t>
  </si>
  <si>
    <t>Subur Makmur</t>
  </si>
  <si>
    <t>Maju Lancar II</t>
  </si>
  <si>
    <t>Mardi Waluyo I</t>
  </si>
  <si>
    <t>Mardi Utomo</t>
  </si>
  <si>
    <t>Margo Gesang</t>
  </si>
  <si>
    <t>Mardi Waluyo II</t>
  </si>
  <si>
    <t>Ngudi Lestari</t>
  </si>
  <si>
    <t>Suka Maju</t>
  </si>
  <si>
    <t>Ayem Tentrem</t>
  </si>
  <si>
    <t>Rejo Mulyo</t>
  </si>
  <si>
    <t>Bakti Utomo</t>
  </si>
  <si>
    <t>Ringin Bakti</t>
  </si>
  <si>
    <t>Sido Tentrem</t>
  </si>
  <si>
    <t>Eko Budoyo</t>
  </si>
  <si>
    <t>SUMBER REJEKI 3</t>
  </si>
  <si>
    <t>SUMBER REJEKI 2</t>
  </si>
  <si>
    <t>SUMBER REJEKI 1</t>
  </si>
  <si>
    <t>MEKAR SARI 3</t>
  </si>
  <si>
    <t>MEKAR SARI 2</t>
  </si>
  <si>
    <t>MEKAR SARI 1</t>
  </si>
  <si>
    <t>TANI MAKMUR 2</t>
  </si>
  <si>
    <t>TANI MAKMUR 1</t>
  </si>
  <si>
    <t>TANI MAJU 2</t>
  </si>
  <si>
    <t>TANI MAJU 1</t>
  </si>
  <si>
    <t>KWT. SRI TANJUNG</t>
  </si>
  <si>
    <t>Subur Abadi</t>
  </si>
  <si>
    <t>Sido Dadi 2</t>
  </si>
  <si>
    <t>Sido Dadi 1</t>
  </si>
  <si>
    <t>Sumber Rejeki 2</t>
  </si>
  <si>
    <t>Sumber Rejeki 1</t>
  </si>
  <si>
    <t>Sedya Mulya 7</t>
  </si>
  <si>
    <t>Sedya Mulya 6</t>
  </si>
  <si>
    <t>Sedya Mulya 5</t>
  </si>
  <si>
    <t>Sedya Mulya 4</t>
  </si>
  <si>
    <t>Sedya Mulya 3</t>
  </si>
  <si>
    <t>Sedya Mulya 2</t>
  </si>
  <si>
    <t>Sedya Mulya 1</t>
  </si>
  <si>
    <t>MANDIRI</t>
  </si>
  <si>
    <t>MARGO MULYO 2</t>
  </si>
  <si>
    <t>BATU GUNA</t>
  </si>
  <si>
    <t>MARGO MULYO 1</t>
  </si>
  <si>
    <t>MARGO RUKUN</t>
  </si>
  <si>
    <t>SUMBER LANCAR</t>
  </si>
  <si>
    <t>TANI SUBUR</t>
  </si>
  <si>
    <t>LAJUR SEMPU 6</t>
  </si>
  <si>
    <t>LAJUR SEMPU 5</t>
  </si>
  <si>
    <t>LAJUR SEMPU 4</t>
  </si>
  <si>
    <t>LAJUR SEMPU 3</t>
  </si>
  <si>
    <t>LAJUR SEMPU 2</t>
  </si>
  <si>
    <t>LAJUR SEMPU 1</t>
  </si>
  <si>
    <t>SIDO DADI 2</t>
  </si>
  <si>
    <t>Wana Asri</t>
  </si>
  <si>
    <t>Pagergunung 2</t>
  </si>
  <si>
    <t>Pagergunung 1</t>
  </si>
  <si>
    <t>Worawari 2</t>
  </si>
  <si>
    <t>Worawari 1</t>
  </si>
  <si>
    <t>Kutilang 2</t>
  </si>
  <si>
    <t>Kutilang 1</t>
  </si>
  <si>
    <t>Tumpang Lestari</t>
  </si>
  <si>
    <t>Lumpang Bogo 2</t>
  </si>
  <si>
    <t>Lumpang Bogo 1</t>
  </si>
  <si>
    <t>SEDYO MAKMUR</t>
  </si>
  <si>
    <t>SUMBER URIP MULYO</t>
  </si>
  <si>
    <t>NGUDI MULYO 2</t>
  </si>
  <si>
    <t>NGUDI MULYO 1</t>
  </si>
  <si>
    <t>TANI MAJU 3</t>
  </si>
  <si>
    <t>TANI ASLI 2</t>
  </si>
  <si>
    <t>TANI ASLI 1</t>
  </si>
  <si>
    <t>USAHA TANI 2</t>
  </si>
  <si>
    <t>USAHA TANI 1</t>
  </si>
  <si>
    <t>Margo Mulyo 6</t>
  </si>
  <si>
    <t>Margo Mulyo 5</t>
  </si>
  <si>
    <t>Margo Mulyo 4</t>
  </si>
  <si>
    <t>Margo Mulyo 3</t>
  </si>
  <si>
    <t>Margo Mulyo 2</t>
  </si>
  <si>
    <t>Margo Rukun 4</t>
  </si>
  <si>
    <t>Margo Mulyo 1</t>
  </si>
  <si>
    <t>Margo Rukun 3</t>
  </si>
  <si>
    <t>Margo Rukun 2</t>
  </si>
  <si>
    <t>Margo Rukun 1</t>
  </si>
  <si>
    <t>KWT. SRIKANDI</t>
  </si>
  <si>
    <t>Tunas Harapan</t>
  </si>
  <si>
    <t>Ngudi Mulyo 2</t>
  </si>
  <si>
    <t>Ngudi Mulyo 1</t>
  </si>
  <si>
    <t>Mijil Pangan</t>
  </si>
  <si>
    <t>Usaha Tani</t>
  </si>
  <si>
    <t>Sumber Tani</t>
  </si>
  <si>
    <t>Sumber Pangan</t>
  </si>
  <si>
    <t>KWT Kali Rejo</t>
  </si>
  <si>
    <t>KWT Marsudi Tani</t>
  </si>
  <si>
    <t>SALAM REJO</t>
  </si>
  <si>
    <t>SEDYO MAJU</t>
  </si>
  <si>
    <t>NGUDI RAHAYU 2</t>
  </si>
  <si>
    <t>NGUDI RAHAYU 1</t>
  </si>
  <si>
    <t>SETYO TANI 2</t>
  </si>
  <si>
    <t>SETYO TANI 1</t>
  </si>
  <si>
    <t>MARSUDI TANI 2</t>
  </si>
  <si>
    <t>MARSUDI TANI 1</t>
  </si>
  <si>
    <t>SIDO LANCAR</t>
  </si>
  <si>
    <t>KWT Ngudi Rahayu</t>
  </si>
  <si>
    <t>Wana Lestari 2</t>
  </si>
  <si>
    <t>Selo Makmur 2</t>
  </si>
  <si>
    <t>Selo Makmur 1</t>
  </si>
  <si>
    <t>Ngudi Lestari 3</t>
  </si>
  <si>
    <t>Ngudi Lestari 2</t>
  </si>
  <si>
    <t>Ngudi Lestari 1</t>
  </si>
  <si>
    <t>Swadaya Mandiri 2</t>
  </si>
  <si>
    <t>Swadaya Mandiri 1</t>
  </si>
  <si>
    <t>Wana Lestari 1</t>
  </si>
  <si>
    <t>Makmur Lestari</t>
  </si>
  <si>
    <t>Duren Manis 2</t>
  </si>
  <si>
    <t>Duren Manis 1</t>
  </si>
  <si>
    <t>RUKUN TANI III</t>
  </si>
  <si>
    <t>RUKUN TANI II</t>
  </si>
  <si>
    <t>RUKUN TANI I</t>
  </si>
  <si>
    <t>KWT GEMAH LESTARI</t>
  </si>
  <si>
    <t>GEMAH RIPAH 7</t>
  </si>
  <si>
    <t>GEMAH RIPAH 6</t>
  </si>
  <si>
    <t>GEMAH RIPAH 5</t>
  </si>
  <si>
    <t>GEMAH RIPAH 4</t>
  </si>
  <si>
    <t>GEMAH RIPAH 3</t>
  </si>
  <si>
    <t>GEMAH RIPAH 2</t>
  </si>
  <si>
    <t>GEMAH RIPAH 1</t>
  </si>
  <si>
    <t>SAMPURNA ABADI</t>
  </si>
  <si>
    <t>AMONG TANI IX</t>
  </si>
  <si>
    <t>AMONG TANI VIII</t>
  </si>
  <si>
    <t>AMONG TANI VII</t>
  </si>
  <si>
    <t>AMONG TANI VI</t>
  </si>
  <si>
    <t>AMONG TANI V</t>
  </si>
  <si>
    <t>AMONG TANI IV</t>
  </si>
  <si>
    <t>AMONG TANI III</t>
  </si>
  <si>
    <t>AMONG TANI II</t>
  </si>
  <si>
    <t>AMONG TANI I</t>
  </si>
  <si>
    <t>SEDYO MAJU V</t>
  </si>
  <si>
    <t>SEDYO MAJU IV</t>
  </si>
  <si>
    <t>SEDYO MAJU III</t>
  </si>
  <si>
    <t>SEDYO MAJU II</t>
  </si>
  <si>
    <t>SEDYO MAJU I</t>
  </si>
  <si>
    <t>TOMPAK MIJIL</t>
  </si>
  <si>
    <t>PUNCAK SEWU</t>
  </si>
  <si>
    <t>SIDO RUKUN VI</t>
  </si>
  <si>
    <t>SIDO RUKUN IV</t>
  </si>
  <si>
    <t>SIDO RUKUN II</t>
  </si>
  <si>
    <t>SUMBER TANI VI</t>
  </si>
  <si>
    <t>KWT LUMBU INDAH</t>
  </si>
  <si>
    <t>SUMBER TANI V</t>
  </si>
  <si>
    <t>SUMBER TANI IV</t>
  </si>
  <si>
    <t>SUMBER TANI III</t>
  </si>
  <si>
    <t>SUMBER TANI II</t>
  </si>
  <si>
    <t>SUMBER TANI I</t>
  </si>
  <si>
    <t>RUMAH TANI MAKMUR</t>
  </si>
  <si>
    <t>TANI MULYA</t>
  </si>
  <si>
    <t>TANI SEJAHTERA</t>
  </si>
  <si>
    <t>TANI BERKAH</t>
  </si>
  <si>
    <t>KARYA MAKMUR VIII</t>
  </si>
  <si>
    <t>KWT HAYATI</t>
  </si>
  <si>
    <t>KARYA MAKMUR VII</t>
  </si>
  <si>
    <t>KARYA MAKMUR VI</t>
  </si>
  <si>
    <t>KARYA MAKMUR V</t>
  </si>
  <si>
    <t>KARYA MAKMUR IV</t>
  </si>
  <si>
    <t>KARYA MAKMUR III</t>
  </si>
  <si>
    <t>KARYA MAKMUR II</t>
  </si>
  <si>
    <t>KARYA MAKMUR I</t>
  </si>
  <si>
    <t>TANI MAJU</t>
  </si>
  <si>
    <t>RUKUN TANI 3</t>
  </si>
  <si>
    <t>SIDO TANI MAJU</t>
  </si>
  <si>
    <t>RUKUN TANI 2</t>
  </si>
  <si>
    <t>RUKUN TANI MAJU</t>
  </si>
  <si>
    <t>RUKUN TANI 4</t>
  </si>
  <si>
    <t>MANDIRI MAPAN</t>
  </si>
  <si>
    <t>SIDO DADI GROGOL</t>
  </si>
  <si>
    <t>KWT SUMBER WARAS</t>
  </si>
  <si>
    <t>BUMI RAHAYU</t>
  </si>
  <si>
    <t>MARGO MAKMUR ABADI</t>
  </si>
  <si>
    <t>KWT WANDIRA</t>
  </si>
  <si>
    <t>AL-FATTAH</t>
  </si>
  <si>
    <t>GONDO ARUM</t>
  </si>
  <si>
    <t>KWT LESTARI</t>
  </si>
  <si>
    <t>SIDO RUKUN III</t>
  </si>
  <si>
    <t>SIDO RUKUN I</t>
  </si>
  <si>
    <t>KWT.TENGGAR ASRI</t>
  </si>
  <si>
    <t>HANDAYANI VIII</t>
  </si>
  <si>
    <t>HANDAYANI VII</t>
  </si>
  <si>
    <t>HANDAYANI VI</t>
  </si>
  <si>
    <t>HANDAYANI V</t>
  </si>
  <si>
    <t>HANDAYANI IV</t>
  </si>
  <si>
    <t>HANDAYANI II</t>
  </si>
  <si>
    <t>HANDAYANI I</t>
  </si>
  <si>
    <t>RUKUN</t>
  </si>
  <si>
    <t>NGUDI BOGO VIII</t>
  </si>
  <si>
    <t>NGUDI BOGO VII</t>
  </si>
  <si>
    <t>NGUDI BOGO VI</t>
  </si>
  <si>
    <t>NGUDI BOGO V</t>
  </si>
  <si>
    <t>NGUDI BOGO IV</t>
  </si>
  <si>
    <t>NGUDI BOGO III</t>
  </si>
  <si>
    <t>NGUDI BOGO II</t>
  </si>
  <si>
    <t>NGUDI BOGO I</t>
  </si>
  <si>
    <t>KWT. BUNGUR ASRI</t>
  </si>
  <si>
    <t>KARYA TANI V</t>
  </si>
  <si>
    <t>KARYA TANI IV</t>
  </si>
  <si>
    <t>KARYA TANI III</t>
  </si>
  <si>
    <t>KARYA TANI II</t>
  </si>
  <si>
    <t>KARYA TANI I</t>
  </si>
  <si>
    <t>MARGO MAKMUR III</t>
  </si>
  <si>
    <t>MARGO MAKMUR II</t>
  </si>
  <si>
    <t>MARGO MAKMUR I</t>
  </si>
  <si>
    <t>JATI MULYO 9</t>
  </si>
  <si>
    <t>KWT JATI ASRI</t>
  </si>
  <si>
    <t>JATI MULYO 8</t>
  </si>
  <si>
    <t>JATI MULYO 7</t>
  </si>
  <si>
    <t>JATI MULYO 6</t>
  </si>
  <si>
    <t>JATI MULYO 5</t>
  </si>
  <si>
    <t>JATI MULYO 4</t>
  </si>
  <si>
    <t>JATI MULYO 3</t>
  </si>
  <si>
    <t>JATI MULYO 2</t>
  </si>
  <si>
    <t>JATI MULYO 1</t>
  </si>
  <si>
    <t>DARMA TANI VI</t>
  </si>
  <si>
    <t>DARMA TANI V</t>
  </si>
  <si>
    <t>DARMA TANI IV</t>
  </si>
  <si>
    <t>DARMA TANI III</t>
  </si>
  <si>
    <t>DARMA TANI II</t>
  </si>
  <si>
    <t>DARMA TANI I</t>
  </si>
  <si>
    <t>MARGO MULYO 7</t>
  </si>
  <si>
    <t>TRI MULYO</t>
  </si>
  <si>
    <t>KWT Sido Lancar</t>
  </si>
  <si>
    <t>Margo Mulyo 10</t>
  </si>
  <si>
    <t>MARGO MULYO 6</t>
  </si>
  <si>
    <t>MARGO MULYO 5</t>
  </si>
  <si>
    <t>MARGO MULYO 4</t>
  </si>
  <si>
    <t>MARGO MULYO 3</t>
  </si>
  <si>
    <t>SUBUR MAKMUR IX</t>
  </si>
  <si>
    <t>SUBUR MAKMUR VIII</t>
  </si>
  <si>
    <t>SUBUR MAKMUR VII</t>
  </si>
  <si>
    <t>SUBUR MAKMUR IV</t>
  </si>
  <si>
    <t>SUBUR MAKMUR 2</t>
  </si>
  <si>
    <t>SUBUR MAKMUR 1</t>
  </si>
  <si>
    <t>HARJO MAKMUR 5</t>
  </si>
  <si>
    <t>HARJO MAKMUR 3</t>
  </si>
  <si>
    <t>HARJO MAKMUR 6</t>
  </si>
  <si>
    <t>HARJO MAKMUR 1</t>
  </si>
  <si>
    <t>HARJO MAKMUR 2</t>
  </si>
  <si>
    <t>HARJO MAKMUR 4</t>
  </si>
  <si>
    <t>SETYA KARYA EMPAT</t>
  </si>
  <si>
    <t>MEKAR SARI 7</t>
  </si>
  <si>
    <t>MEKAR SARI 6</t>
  </si>
  <si>
    <t>MEKAR SARI 5</t>
  </si>
  <si>
    <t>MEKAR SARI 4</t>
  </si>
  <si>
    <t>Wanodyo Joyo</t>
  </si>
  <si>
    <t>EDI PENI V</t>
  </si>
  <si>
    <t>EDI PENI IV</t>
  </si>
  <si>
    <t>EDI PENI III</t>
  </si>
  <si>
    <t>EDI PENI II</t>
  </si>
  <si>
    <t>EDI PENI I</t>
  </si>
  <si>
    <t>KWT. JAMU SEGER MANIS</t>
  </si>
  <si>
    <t>TANI MAKMUR VI</t>
  </si>
  <si>
    <t>TANI MAKMUR V</t>
  </si>
  <si>
    <t>TANI MAKMUR IV</t>
  </si>
  <si>
    <t>TANI MAKMUR III</t>
  </si>
  <si>
    <t>TANI MAKMUR II</t>
  </si>
  <si>
    <t>WALUYO ASIH IV</t>
  </si>
  <si>
    <t>WALUYO ASIH III</t>
  </si>
  <si>
    <t>WALUYO ASIH II</t>
  </si>
  <si>
    <t>WALUYO ASIH I</t>
  </si>
  <si>
    <t>PADI WARAS 6</t>
  </si>
  <si>
    <t>PADI WARAS 5</t>
  </si>
  <si>
    <t>PADI WARAS 4</t>
  </si>
  <si>
    <t>PADI WARAS 3</t>
  </si>
  <si>
    <t>PADI WARAS 2</t>
  </si>
  <si>
    <t>PADI WARAS I</t>
  </si>
  <si>
    <t>NGUPADI HASIL 5</t>
  </si>
  <si>
    <t>NGUPADI HASIL 4</t>
  </si>
  <si>
    <t>NGUPADI HASIL 3</t>
  </si>
  <si>
    <t>NGUPADI HASIL 2</t>
  </si>
  <si>
    <t>NGUPADI HASIL 1</t>
  </si>
  <si>
    <t>KWT ALAS SUBUR</t>
  </si>
  <si>
    <t>KWT ATSIRI JAYA</t>
  </si>
  <si>
    <t>BUDI KARYA 6</t>
  </si>
  <si>
    <t>BUDI KARYA 5</t>
  </si>
  <si>
    <t>BUDI KARYA 4</t>
  </si>
  <si>
    <t>BUDI KARYA 3</t>
  </si>
  <si>
    <t>BUDI KARYA 2</t>
  </si>
  <si>
    <t>BUDI KARYA 1</t>
  </si>
  <si>
    <t>:</t>
  </si>
  <si>
    <t>Desa</t>
  </si>
  <si>
    <t>Nama Poktan</t>
  </si>
  <si>
    <t>RIWAYAT PENILAIAN KELOMPOK TANI</t>
  </si>
  <si>
    <t>Kelas Kelompok Lama</t>
  </si>
  <si>
    <t>Nilai Kelas Kelompok Lama</t>
  </si>
  <si>
    <t>PENILAIAN KELOMPOK TANI</t>
  </si>
  <si>
    <t>ASPEK PENILAIAN</t>
  </si>
  <si>
    <t>Kemampuan Merencanakan</t>
  </si>
  <si>
    <t>Desa Bangunsari (Bandar)</t>
  </si>
  <si>
    <t>Desa Klepu (Sudimoro)</t>
  </si>
  <si>
    <t>Desa Bangunsari (Pacitan)</t>
  </si>
  <si>
    <t>Desa Widoro (Donorojo)</t>
  </si>
  <si>
    <t>Desa Widoro (Pacitan)</t>
  </si>
  <si>
    <t>Desa Ketro (Kebonagung)</t>
  </si>
  <si>
    <t>Desa Ketro (Tulakan)</t>
  </si>
  <si>
    <t>Desa Mantren (Kebonagung)</t>
  </si>
  <si>
    <t>Desa Mantren (Punung)</t>
  </si>
  <si>
    <t>Desa Sidomulyo (Kebonagung)</t>
  </si>
  <si>
    <t>Desa Sidomulyo (Ngadirojo)</t>
  </si>
  <si>
    <t>Desa Ploso (Tegalombo)</t>
  </si>
  <si>
    <t>Desa Ploso (Punung)</t>
  </si>
  <si>
    <t>Pemula</t>
  </si>
  <si>
    <t>Madya</t>
  </si>
  <si>
    <t>ASPEK</t>
  </si>
  <si>
    <t>Kemampuan Mengorganisasikan</t>
  </si>
  <si>
    <t>Kemampuan Melaksanakan Kegiatan</t>
  </si>
  <si>
    <t>Kemampuan Melakukan Pengendalian dan Pelaporan</t>
  </si>
  <si>
    <t>Kemampuan Mengembangkan Kepemimpinan Kelompok Tani</t>
  </si>
  <si>
    <t>Rencana Belajar</t>
  </si>
  <si>
    <t>Struktur Organisasi</t>
  </si>
  <si>
    <t>Pertemuan Rutin</t>
  </si>
  <si>
    <t>Evaluasi usaha kelompok</t>
  </si>
  <si>
    <t>Pengembangan kapasitas dan pengkaderan pengurus</t>
  </si>
  <si>
    <t>Rencana Usaha</t>
  </si>
  <si>
    <t>Aturan dan Norma</t>
  </si>
  <si>
    <t>Pelaksanaan Belajar</t>
  </si>
  <si>
    <t>Administrasi Rutin</t>
  </si>
  <si>
    <t>Melaksanakan usaha</t>
  </si>
  <si>
    <t>Pemupukan modal</t>
  </si>
  <si>
    <t>Pelayanan informasi dan teknologi</t>
  </si>
  <si>
    <t>Indikator</t>
  </si>
  <si>
    <t>Lanjut</t>
  </si>
  <si>
    <t>Utama</t>
  </si>
  <si>
    <t>Ada rencana belajar tidak tertulis</t>
  </si>
  <si>
    <t>Ada rencana belajar tertulis, melibatkan unsur dalam poktan</t>
  </si>
  <si>
    <t>Ada rencana belajar tertulis, melibatkan petani atau poktan Lain</t>
  </si>
  <si>
    <t>Ada rencana belajar tertulis, melibatkan petani atau poktan lain dan lembaga atau instansi lain</t>
  </si>
  <si>
    <t>Ada rencana usaha, belum tertulis</t>
  </si>
  <si>
    <t>Ada rencana usaha tertulis, berorientasi pasar</t>
  </si>
  <si>
    <t>Ada rencana usaha bersama tertulis, ada jejaring</t>
  </si>
  <si>
    <t>Ada rencana usaha bersama dan bermitra (MoU)</t>
  </si>
  <si>
    <t>Sederhana (Ketua, Sekretaris, Bendahara)</t>
  </si>
  <si>
    <t>Kompleks (Ketua, Sekretaris, Bendahara dan Seksi-seksi)</t>
  </si>
  <si>
    <t>Kompleks, ada pembagian tugas</t>
  </si>
  <si>
    <t>Kompleks, ada pembagian tugas dan dijalankan dengan baik</t>
  </si>
  <si>
    <t>Ada aturan dan norma tidak tertulis</t>
  </si>
  <si>
    <t>Ada aturan dan norma tertulis, tidak dilaksanakan</t>
  </si>
  <si>
    <t>Ada aturan dan norma tertulis, dilaksanakan</t>
  </si>
  <si>
    <t>Ada aturan dan norma tertulis, dilaksanakan, ada sanksi</t>
  </si>
  <si>
    <t>Administrasi pembukuan sederhana : 5 Buku (Buku Anggota, Buku Tamu, Buku Kegiatan, Daftar Hadir, Buku Kas)</t>
  </si>
  <si>
    <t>Administrasi pembukuan lebih lengkap : 7 Buku (Buku Anggota, Buku Tamu, Buku Kegiatan, Daftar Hadir, Notulen, Buku Kas, Buku Iuran)</t>
  </si>
  <si>
    <t>Administrasi pembukuan lebih lengkap dan terisi dengan tertib meliputi : 8 Buku (Buku Anggota, Buku Tamu, Buku Kegiatan, Daftar Hadir, Notulen, Buku Kas, Buku Iuran, Buku Inventaris)</t>
  </si>
  <si>
    <t>Administrasi pembukuan lebih lengkap dan terisi dengan tertib meliputi : 9 Buku (Buku Anggota, Buku Tamu, Buku Kegiatan, Daftar Hadir, Notulen, Buku Kas, Buku Iuran, Buku Inventaris dan Buku Rencana Kegiatan)</t>
  </si>
  <si>
    <t>Pertemuan tidak rutin, pertemuan jika ada Program/masalah saja, kehadiran anggota &lt; 50%, materi utama teknis budidaya, setiap pertemuan belum tentu ada notulensi</t>
  </si>
  <si>
    <t>Pertemuan rutin setiap bulan/selapanan, rata-rata kehadiran anggota &gt; 50% anggota, materi usaha hulu-hilir, setiap pertemuan belum tentu ada notulen</t>
  </si>
  <si>
    <t>Pertemuan rutin setiap bulan/selapanan, rata-rata kehadiran anggota &gt; 75% anggota, materi usaha hulu-hilir, setiap pertemuan belum ada notulen</t>
  </si>
  <si>
    <t>Melaksanakan pertemuan setiap 2 minggu sekali, Rata-rata kehadiran &gt; 75% anggota, materi usaha hulu-hilir, setiap pertemuen</t>
  </si>
  <si>
    <t>Melaksanakan belajar</t>
  </si>
  <si>
    <t>Melaksanakan belajar dengan melibatkan unsur dari dalam poktan</t>
  </si>
  <si>
    <t>Melaksanakan belajar dengan melibatkan unsur dari dalam poktan dan petani/poktan lain</t>
  </si>
  <si>
    <t>Melaksanakan belajar dengan melibatkan unsur dari dalampoktan, petani/poktan lain, lembaga/instansi lain</t>
  </si>
  <si>
    <t>Melaksanakan usaha untuk pemenuhan kebutuhan sendiri</t>
  </si>
  <si>
    <t>Melaksanakan usaha bersama kelompok yang berorientasi pasar</t>
  </si>
  <si>
    <t>Melaksanakan usaha bersama kelompok yang berorientasi pasar, terintegrasi dan sudah menjalin kerjasama/jejaring usaha (bukan bantuan/program)</t>
  </si>
  <si>
    <t>Melaksanakan usaha bersama kelompok berorientasi pasar, menerapkan Sistem Pertanian Terpadu (SPT) yang berwawasan lingkungan, dan sudah bermitra (MoU) (bukan bantuan/program)</t>
  </si>
  <si>
    <t>Ada pemupukan modal usaha dari anggota</t>
  </si>
  <si>
    <t>Ada pemupukan modal dari anggota dan penyisihan hasil usaha kelompok</t>
  </si>
  <si>
    <t>Ada pemupukan modal dari anggota, penyisihan hasil usaha kelompok dan dari lembaga keuangan</t>
  </si>
  <si>
    <t>Ada pemupukan modal dari anggota, penyisihan hasil usaha kelompok, lembaga keuangan dan mitra usaha</t>
  </si>
  <si>
    <t>Pelayanan informasi dan teknologi bersumber dari lingkup poktan dan penyuluh untuk anggota</t>
  </si>
  <si>
    <t>Pelayanan informasi dan teknologi bersumber dari berbagai sumber untuk anggota</t>
  </si>
  <si>
    <t>Pelayanan informasi dan teknologi bersumber dari berbagai sumber berbasis IT untuk anggota</t>
  </si>
  <si>
    <t>Pelayanan informasi dan teknologi bersumber dari berbagai sumber berbasis IT untuk anggota dan masyarakat tani</t>
  </si>
  <si>
    <t>Melakukan evaluasi perencanaan dan pelaksanaan usaha tidak tertulis</t>
  </si>
  <si>
    <t>Melakukan evaluasi perencanaan dan pelaksanaan usaha secara tertulis melibatkan unsur dari dalam kelompok</t>
  </si>
  <si>
    <t>Melakukan evaluasi perencanaan dan pelaksanaan usaha secara tertulis melibatkan unsur dari dalam poktan dan petani/poktan lain</t>
  </si>
  <si>
    <t>Melakukan evaluasi perencanaan dan pelaksanaan usaha secara tertulis melibatkan unsur dari dalam poktan dan petani/poktan lain, lembaga/instansi lain</t>
  </si>
  <si>
    <t>Ada pengembangan kapasitas SDM</t>
  </si>
  <si>
    <t>Sudah dilakukan penyiapan calon pengganti pengurus</t>
  </si>
  <si>
    <t>Sudah dilakukan pemilihan dan pergantian pengurus dengan periode waktu tertentu</t>
  </si>
  <si>
    <t>Sudah dilakukan pergantian pengurus yang memiliki kemampuan manajerial, agribisnis, kewirausahaan</t>
  </si>
  <si>
    <t>Kemampuan melakukan pengendalian dan pelaporan</t>
  </si>
  <si>
    <t>Kemampuan mengembangkan kepemimpinan kelompok tani</t>
  </si>
  <si>
    <t>INDIKATOR</t>
  </si>
  <si>
    <t>NILAI LAMA</t>
  </si>
  <si>
    <t>NILAI BARU</t>
  </si>
  <si>
    <t>RANGE NILAI</t>
  </si>
  <si>
    <t>CAPAIAN NILAI KELAS KELOMPOK</t>
  </si>
  <si>
    <t>Kelurahan Ploso</t>
  </si>
  <si>
    <t>Desa Bangunsari</t>
  </si>
  <si>
    <t>Desa Widoro</t>
  </si>
  <si>
    <t>Nama Ketua Poktan</t>
  </si>
  <si>
    <t>Nama Sekretaris Poktan</t>
  </si>
  <si>
    <t>Nama Bendahara Poktan</t>
  </si>
  <si>
    <t>Tahun Pendirian Poktan</t>
  </si>
  <si>
    <t>Jumlah Anggota Laki-laki</t>
  </si>
  <si>
    <t>Jumlah Anggota Perempuan</t>
  </si>
  <si>
    <t xml:space="preserve">Komoditas Unggulan </t>
  </si>
  <si>
    <t>….........................................</t>
  </si>
  <si>
    <t>…........................</t>
  </si>
  <si>
    <t>Luas/Ekor</t>
  </si>
  <si>
    <t>KENANGA</t>
  </si>
  <si>
    <t>NO.</t>
  </si>
  <si>
    <t>Dusun</t>
  </si>
  <si>
    <t>Nama Kelompok Tani</t>
  </si>
  <si>
    <t>Tahun Berdiri</t>
  </si>
  <si>
    <t>Anggota Laki-laki</t>
  </si>
  <si>
    <t>Anggota Perempuan</t>
  </si>
  <si>
    <t>Jumlah Anggota</t>
  </si>
  <si>
    <t>Komoditas Unggulan</t>
  </si>
  <si>
    <t>Jml/ Vol/Luas</t>
  </si>
  <si>
    <t>Ketua Kelompok</t>
  </si>
  <si>
    <t>Sekretaris Kelompok</t>
  </si>
  <si>
    <t>Bendahara Kelompok</t>
  </si>
  <si>
    <t>Jumlah Skor Lama</t>
  </si>
  <si>
    <t>Skor I</t>
  </si>
  <si>
    <t>Skor II</t>
  </si>
  <si>
    <t>Skor III</t>
  </si>
  <si>
    <t>Skor IV</t>
  </si>
  <si>
    <t>Skor V</t>
  </si>
  <si>
    <t>JML Skor Baru</t>
  </si>
  <si>
    <t>Kelas Kelompok Tani Baru</t>
  </si>
  <si>
    <t>Karanganyar</t>
  </si>
  <si>
    <t>Sumber</t>
  </si>
  <si>
    <t>Padi</t>
  </si>
  <si>
    <t>Bibit</t>
  </si>
  <si>
    <t>Miskinem</t>
  </si>
  <si>
    <t>Bogini</t>
  </si>
  <si>
    <t>Pakel</t>
  </si>
  <si>
    <t>Heriyanto</t>
  </si>
  <si>
    <t>Rahmanudin</t>
  </si>
  <si>
    <t>Mujiah</t>
  </si>
  <si>
    <t>Krajan</t>
  </si>
  <si>
    <t>Bibit Misno</t>
  </si>
  <si>
    <t>Agus Prayitno</t>
  </si>
  <si>
    <t>Ekawati</t>
  </si>
  <si>
    <t>Kebon</t>
  </si>
  <si>
    <t>Eru Wibowo</t>
  </si>
  <si>
    <t>Tri Yunianto</t>
  </si>
  <si>
    <t>Yoni Rudianto</t>
  </si>
  <si>
    <t>Jurugan</t>
  </si>
  <si>
    <t>Aries Cahyono</t>
  </si>
  <si>
    <t>Suryani</t>
  </si>
  <si>
    <t>Misnatun</t>
  </si>
  <si>
    <t>Waru</t>
  </si>
  <si>
    <t>Sunarto</t>
  </si>
  <si>
    <t>Anik Lestari</t>
  </si>
  <si>
    <t xml:space="preserve">Sri Narti </t>
  </si>
  <si>
    <t>Banar</t>
  </si>
  <si>
    <t>Agus Triono</t>
  </si>
  <si>
    <t>Tugiyono</t>
  </si>
  <si>
    <t>Slamet</t>
  </si>
  <si>
    <t>Salam</t>
  </si>
  <si>
    <t>Agus Rudianto</t>
  </si>
  <si>
    <t>Riyatin</t>
  </si>
  <si>
    <t>Sugiyanto</t>
  </si>
  <si>
    <t>Pakis</t>
  </si>
  <si>
    <t xml:space="preserve">Pawit </t>
  </si>
  <si>
    <t>Tukidi</t>
  </si>
  <si>
    <t xml:space="preserve">Sukatno </t>
  </si>
  <si>
    <t>KWT Sumber Makmur</t>
  </si>
  <si>
    <t>SUWARTINI</t>
  </si>
  <si>
    <t>MADYA</t>
  </si>
  <si>
    <t>Purwoasri</t>
  </si>
  <si>
    <t>Sooka</t>
  </si>
  <si>
    <t>Suprapto</t>
  </si>
  <si>
    <t>Pujiono</t>
  </si>
  <si>
    <t>Budi H.</t>
  </si>
  <si>
    <t>Jati</t>
  </si>
  <si>
    <t>Windi</t>
  </si>
  <si>
    <t>Winarno</t>
  </si>
  <si>
    <t>Kabul</t>
  </si>
  <si>
    <t>Hari Setyo Nugroho</t>
  </si>
  <si>
    <t>Rizal Dediharmunis</t>
  </si>
  <si>
    <t>Suwarno</t>
  </si>
  <si>
    <t xml:space="preserve"> -</t>
  </si>
  <si>
    <t>Setiawan</t>
  </si>
  <si>
    <t>Tri Sinangjono</t>
  </si>
  <si>
    <t>Gunung Cilik</t>
  </si>
  <si>
    <t>Winarto</t>
  </si>
  <si>
    <t>Sutopo</t>
  </si>
  <si>
    <t>Santoso</t>
  </si>
  <si>
    <t>Wetih</t>
  </si>
  <si>
    <t>Suwito</t>
  </si>
  <si>
    <t>Sutarmin</t>
  </si>
  <si>
    <t>Zaenudin</t>
  </si>
  <si>
    <t>Sampang</t>
  </si>
  <si>
    <t>Tumardi</t>
  </si>
  <si>
    <t>Kusni</t>
  </si>
  <si>
    <t>Pawit</t>
  </si>
  <si>
    <t>Misdiyanto</t>
  </si>
  <si>
    <t>Suyono</t>
  </si>
  <si>
    <t>Miswadi</t>
  </si>
  <si>
    <t>Kedungdowo</t>
  </si>
  <si>
    <t>Suprapti</t>
  </si>
  <si>
    <t>Suyatno</t>
  </si>
  <si>
    <t>Bejan</t>
  </si>
  <si>
    <t>Syahri</t>
  </si>
  <si>
    <t>Misranto</t>
  </si>
  <si>
    <t>Tumin</t>
  </si>
  <si>
    <t>Jaten</t>
  </si>
  <si>
    <t>Triyono</t>
  </si>
  <si>
    <t>Tri Sutrisno</t>
  </si>
  <si>
    <t>Kurnia P</t>
  </si>
  <si>
    <t>Pagotan</t>
  </si>
  <si>
    <t>Yoni</t>
  </si>
  <si>
    <t>Boniran</t>
  </si>
  <si>
    <t>Suwiji</t>
  </si>
  <si>
    <t>Suryadi</t>
  </si>
  <si>
    <t>Sutarto</t>
  </si>
  <si>
    <t>Tawang</t>
  </si>
  <si>
    <t>Sudirman</t>
  </si>
  <si>
    <t>Sugeng</t>
  </si>
  <si>
    <t>Tafsir</t>
  </si>
  <si>
    <t>Ngelo</t>
  </si>
  <si>
    <t>Tumadi</t>
  </si>
  <si>
    <t>Agus Riyono</t>
  </si>
  <si>
    <t>Meseri</t>
  </si>
  <si>
    <t>Sonorejo</t>
  </si>
  <si>
    <t>Jumangat</t>
  </si>
  <si>
    <t>Fuji A</t>
  </si>
  <si>
    <t>Sriten</t>
  </si>
  <si>
    <t>Gunarto</t>
  </si>
  <si>
    <t>Edi S</t>
  </si>
  <si>
    <t>Salak</t>
  </si>
  <si>
    <t>Didik G</t>
  </si>
  <si>
    <t>Sularno</t>
  </si>
  <si>
    <t>Runanto</t>
  </si>
  <si>
    <t>Mando</t>
  </si>
  <si>
    <t>Marjuki</t>
  </si>
  <si>
    <t>Budiono</t>
  </si>
  <si>
    <t>Misgiran</t>
  </si>
  <si>
    <t>Sunanto</t>
  </si>
  <si>
    <t>Tjipto N</t>
  </si>
  <si>
    <t>Kusno</t>
  </si>
  <si>
    <t>Sukatno</t>
  </si>
  <si>
    <t>Sutikno</t>
  </si>
  <si>
    <t>Marni</t>
  </si>
  <si>
    <t>Bomin</t>
  </si>
  <si>
    <t>Marsimin</t>
  </si>
  <si>
    <t>Nanang Y</t>
  </si>
  <si>
    <t>Tukiran</t>
  </si>
  <si>
    <t>Surdoyono</t>
  </si>
  <si>
    <t>Endra G</t>
  </si>
  <si>
    <t>Tunas Baru</t>
  </si>
  <si>
    <t>Sisno</t>
  </si>
  <si>
    <t>Heru P</t>
  </si>
  <si>
    <t>Ridwan A</t>
  </si>
  <si>
    <t xml:space="preserve">Krajan </t>
  </si>
  <si>
    <t>Purwanto</t>
  </si>
  <si>
    <t>Wakidin</t>
  </si>
  <si>
    <t>Soginen</t>
  </si>
  <si>
    <t>Ketro</t>
  </si>
  <si>
    <t>Suparman</t>
  </si>
  <si>
    <t>Katuni</t>
  </si>
  <si>
    <t>Sogini</t>
  </si>
  <si>
    <t xml:space="preserve">Pagergunung </t>
  </si>
  <si>
    <t>Supar</t>
  </si>
  <si>
    <t>Sugito</t>
  </si>
  <si>
    <t>Dadapan</t>
  </si>
  <si>
    <t>Jumiran</t>
  </si>
  <si>
    <t>Bibit S</t>
  </si>
  <si>
    <t>Sutrisno</t>
  </si>
  <si>
    <t>Batulapak</t>
  </si>
  <si>
    <t>Suyadi</t>
  </si>
  <si>
    <t>Samsudin</t>
  </si>
  <si>
    <t>Teguh W</t>
  </si>
  <si>
    <t>Suwastik</t>
  </si>
  <si>
    <t>Miswanto</t>
  </si>
  <si>
    <t>Eko B</t>
  </si>
  <si>
    <t>Pugalan</t>
  </si>
  <si>
    <t>Anton Sujarwo</t>
  </si>
  <si>
    <t>Jamaludin</t>
  </si>
  <si>
    <t>Tupeni</t>
  </si>
  <si>
    <t>Bonsari</t>
  </si>
  <si>
    <t>Susanto</t>
  </si>
  <si>
    <t>Tri Wido S</t>
  </si>
  <si>
    <t>Miswandi</t>
  </si>
  <si>
    <t>Pruwo</t>
  </si>
  <si>
    <t>Supardiyanto</t>
  </si>
  <si>
    <t>Sogiman</t>
  </si>
  <si>
    <t>Mispani</t>
  </si>
  <si>
    <t>Klepu</t>
  </si>
  <si>
    <t>Edy Herwanto</t>
  </si>
  <si>
    <t>Edi Cahyono</t>
  </si>
  <si>
    <t>Purwadi</t>
  </si>
  <si>
    <t>Kluwih</t>
  </si>
  <si>
    <t>Heri Susanto</t>
  </si>
  <si>
    <t>Katenen</t>
  </si>
  <si>
    <t>Jukatni</t>
  </si>
  <si>
    <t>Bolo</t>
  </si>
  <si>
    <t>Pudiyanto</t>
  </si>
  <si>
    <t>Im. Ansori</t>
  </si>
  <si>
    <t>Suratno</t>
  </si>
  <si>
    <t>Salamrejo</t>
  </si>
  <si>
    <t>Bajuri</t>
  </si>
  <si>
    <t>Solikin</t>
  </si>
  <si>
    <t>Maryono</t>
  </si>
  <si>
    <t>Sayid Hasim</t>
  </si>
  <si>
    <t>Windiarto</t>
  </si>
  <si>
    <t>Pule</t>
  </si>
  <si>
    <t>Iswanto</t>
  </si>
  <si>
    <t>Andi</t>
  </si>
  <si>
    <t>Witono</t>
  </si>
  <si>
    <t>Supriyadi</t>
  </si>
  <si>
    <t>Slamet A</t>
  </si>
  <si>
    <t>Pelem</t>
  </si>
  <si>
    <t>Wiji Rahayu</t>
  </si>
  <si>
    <t>Atin</t>
  </si>
  <si>
    <t>Agus Triyono</t>
  </si>
  <si>
    <t>Beni Istanto</t>
  </si>
  <si>
    <t>Sujarno</t>
  </si>
  <si>
    <t>Yahudi</t>
  </si>
  <si>
    <t>Tosono</t>
  </si>
  <si>
    <t>Sumarno</t>
  </si>
  <si>
    <t>Tamrin</t>
  </si>
  <si>
    <t>Gombong</t>
  </si>
  <si>
    <t>Boiman</t>
  </si>
  <si>
    <t>Misradi</t>
  </si>
  <si>
    <t>Kasihan</t>
  </si>
  <si>
    <t>Slamet R</t>
  </si>
  <si>
    <t>Sukatman</t>
  </si>
  <si>
    <t>Gawang</t>
  </si>
  <si>
    <t>Agus Dwi Cahyono</t>
  </si>
  <si>
    <t>Basuki</t>
  </si>
  <si>
    <t>Eko Setiyono</t>
  </si>
  <si>
    <t>Nongko</t>
  </si>
  <si>
    <t>Surno</t>
  </si>
  <si>
    <t>Sutini</t>
  </si>
  <si>
    <t>Khomsatun</t>
  </si>
  <si>
    <t>Wonojoyo</t>
  </si>
  <si>
    <t>Mujiadi</t>
  </si>
  <si>
    <t>Djuwari</t>
  </si>
  <si>
    <t>Maryoto</t>
  </si>
  <si>
    <t>Marhaidi</t>
  </si>
  <si>
    <t>Djarno</t>
  </si>
  <si>
    <t>Hadi Sujarwo</t>
  </si>
  <si>
    <t>Tumarno</t>
  </si>
  <si>
    <t>Brengosan</t>
  </si>
  <si>
    <t>Katmuji</t>
  </si>
  <si>
    <t>Jeruk</t>
  </si>
  <si>
    <t>Piyatudin</t>
  </si>
  <si>
    <t>Pardi</t>
  </si>
  <si>
    <t>Sayuran</t>
  </si>
  <si>
    <t>Eny Widyastuti</t>
  </si>
  <si>
    <t>Risky Apriani</t>
  </si>
  <si>
    <t>Resti Rahayu</t>
  </si>
  <si>
    <t>Siswanto</t>
  </si>
  <si>
    <t>Nurachmad</t>
  </si>
  <si>
    <t>Wiyarni</t>
  </si>
  <si>
    <t>Ledok Lor</t>
  </si>
  <si>
    <t>Suripto</t>
  </si>
  <si>
    <t>Sukarno</t>
  </si>
  <si>
    <t>Ledok Kidul</t>
  </si>
  <si>
    <t>Jumarni</t>
  </si>
  <si>
    <t>Jujur T.</t>
  </si>
  <si>
    <t>Eko S.</t>
  </si>
  <si>
    <t>Muhammad Muhsin</t>
  </si>
  <si>
    <t>Sukemi</t>
  </si>
  <si>
    <t>Agus Eko Saputra</t>
  </si>
  <si>
    <t>Duren</t>
  </si>
  <si>
    <t>Jumiyat</t>
  </si>
  <si>
    <t>Nur Hasyim</t>
  </si>
  <si>
    <t>Blimbing</t>
  </si>
  <si>
    <t>Abu Nangin</t>
  </si>
  <si>
    <t>Sujito</t>
  </si>
  <si>
    <t>Gunawan</t>
  </si>
  <si>
    <t>Tlogo</t>
  </si>
  <si>
    <t>M Riyadi Rizal</t>
  </si>
  <si>
    <t>Moh Safi"I</t>
  </si>
  <si>
    <t>Agus Mustofa</t>
  </si>
  <si>
    <t>Kendal</t>
  </si>
  <si>
    <t>Sarno</t>
  </si>
  <si>
    <t>Muhajir</t>
  </si>
  <si>
    <t>Ajar Widayat</t>
  </si>
  <si>
    <t>Suparwan</t>
  </si>
  <si>
    <t>Kateng</t>
  </si>
  <si>
    <t>Blawong</t>
  </si>
  <si>
    <t>Eko Setiawan</t>
  </si>
  <si>
    <t>Gunanto</t>
  </si>
  <si>
    <t>Ngampungan</t>
  </si>
  <si>
    <t>Agus Supriyanto</t>
  </si>
  <si>
    <t>Bambang Setiawan</t>
  </si>
  <si>
    <t>Suroso</t>
  </si>
  <si>
    <t>Hadi Suharyanto</t>
  </si>
  <si>
    <t>Sutarno</t>
  </si>
  <si>
    <t>Mudal</t>
  </si>
  <si>
    <t>Haryono</t>
  </si>
  <si>
    <t>Suwanto</t>
  </si>
  <si>
    <t>Katirah</t>
  </si>
  <si>
    <t>Pringroto</t>
  </si>
  <si>
    <t>Sugiyono</t>
  </si>
  <si>
    <t>Purwo Yulianto</t>
  </si>
  <si>
    <t>Sukarman</t>
  </si>
  <si>
    <t>Ngunut</t>
  </si>
  <si>
    <t>Misgiman</t>
  </si>
  <si>
    <t>Tulardi</t>
  </si>
  <si>
    <t>Wonorejo</t>
  </si>
  <si>
    <t>Tugiyat</t>
  </si>
  <si>
    <t>Inarto</t>
  </si>
  <si>
    <t xml:space="preserve">Mujing </t>
  </si>
  <si>
    <t>Parwan</t>
  </si>
  <si>
    <t>Boyani</t>
  </si>
  <si>
    <t>Kradenan</t>
  </si>
  <si>
    <t>Misrianto</t>
  </si>
  <si>
    <t>Sumarni</t>
  </si>
  <si>
    <t>Erna Agustin</t>
  </si>
  <si>
    <t>Misiran</t>
  </si>
  <si>
    <t>Gisno Mn</t>
  </si>
  <si>
    <t>Karangtengah</t>
  </si>
  <si>
    <t>Sogirin</t>
  </si>
  <si>
    <t>Misrieni</t>
  </si>
  <si>
    <t>Ngaren</t>
  </si>
  <si>
    <t>Sarni</t>
  </si>
  <si>
    <t>Ady Tuginen</t>
  </si>
  <si>
    <t>Agus W</t>
  </si>
  <si>
    <t>Jetis</t>
  </si>
  <si>
    <t>M.Zainudin</t>
  </si>
  <si>
    <t>Slamet K</t>
  </si>
  <si>
    <t>Budi P</t>
  </si>
  <si>
    <t>Tanggung</t>
  </si>
  <si>
    <t>Mujono</t>
  </si>
  <si>
    <t>Paeran</t>
  </si>
  <si>
    <t>Dudik H</t>
  </si>
  <si>
    <t>Worawari</t>
  </si>
  <si>
    <t>Pringkantung</t>
  </si>
  <si>
    <t>Misnen</t>
  </si>
  <si>
    <t>Boyadi</t>
  </si>
  <si>
    <t>Suradi</t>
  </si>
  <si>
    <t>Juwarno</t>
  </si>
  <si>
    <t>Suharno</t>
  </si>
  <si>
    <t>Ngrampal</t>
  </si>
  <si>
    <t>Icuk Sugiarto</t>
  </si>
  <si>
    <t>Tumini</t>
  </si>
  <si>
    <t>Sugiarto</t>
  </si>
  <si>
    <t>Banjarjo</t>
  </si>
  <si>
    <t>Miswan</t>
  </si>
  <si>
    <t>Sokijem</t>
  </si>
  <si>
    <t>Sugiono</t>
  </si>
  <si>
    <t>Nur Habib</t>
  </si>
  <si>
    <t>Sri Yatin</t>
  </si>
  <si>
    <t>Ledok</t>
  </si>
  <si>
    <t>Aprilia Maharani</t>
  </si>
  <si>
    <t>Tumarni</t>
  </si>
  <si>
    <t>Gemiring</t>
  </si>
  <si>
    <t>Sucipto</t>
  </si>
  <si>
    <t>Suprianto</t>
  </si>
  <si>
    <t>Aliudin</t>
  </si>
  <si>
    <t>Karangsono</t>
  </si>
  <si>
    <t>Tuginen .S</t>
  </si>
  <si>
    <t>Warijo</t>
  </si>
  <si>
    <t>Towo</t>
  </si>
  <si>
    <t>Sarino</t>
  </si>
  <si>
    <t>Yusuf</t>
  </si>
  <si>
    <t>Sri Winarni</t>
  </si>
  <si>
    <t>Galit</t>
  </si>
  <si>
    <t>Ahmad Zaenudin</t>
  </si>
  <si>
    <t>Harun</t>
  </si>
  <si>
    <t>Mulyono</t>
  </si>
  <si>
    <t>Nglaos</t>
  </si>
  <si>
    <t>Wardi</t>
  </si>
  <si>
    <t>Wakhid</t>
  </si>
  <si>
    <t>Dawung</t>
  </si>
  <si>
    <t>Sutarno B</t>
  </si>
  <si>
    <t>Giyatun</t>
  </si>
  <si>
    <t>Tekil</t>
  </si>
  <si>
    <t>Istyanto</t>
  </si>
  <si>
    <t>Ponirah</t>
  </si>
  <si>
    <t>Tusilah</t>
  </si>
  <si>
    <t>Plalangan</t>
  </si>
  <si>
    <t>Tumrap</t>
  </si>
  <si>
    <t>Suyanto</t>
  </si>
  <si>
    <t>Sri Pujiatun</t>
  </si>
  <si>
    <t>Ali Subrantas</t>
  </si>
  <si>
    <t>Bayu Tri Yuliana</t>
  </si>
  <si>
    <t>Kresek</t>
  </si>
  <si>
    <t>Slamet Subagio</t>
  </si>
  <si>
    <t>Kateno</t>
  </si>
  <si>
    <t>Gentungan</t>
  </si>
  <si>
    <t>Iis Turiyati</t>
  </si>
  <si>
    <t>Eny Lestari</t>
  </si>
  <si>
    <t>Wati</t>
  </si>
  <si>
    <t>Adi Bing Slamet</t>
  </si>
  <si>
    <t>Efi Sulandari</t>
  </si>
  <si>
    <t>Sunardi</t>
  </si>
  <si>
    <t>Holtikultura</t>
  </si>
  <si>
    <t>Sri Wulan</t>
  </si>
  <si>
    <t>Eni Murniasih</t>
  </si>
  <si>
    <t>Sri Atin</t>
  </si>
  <si>
    <t>Klagen</t>
  </si>
  <si>
    <t>Rokhani</t>
  </si>
  <si>
    <t>Pamuji</t>
  </si>
  <si>
    <t>Rudi Hartono</t>
  </si>
  <si>
    <t>Juwono</t>
  </si>
  <si>
    <t>Ahmad Saiful Ashari</t>
  </si>
  <si>
    <t>Wijianto</t>
  </si>
  <si>
    <t>Pamujianto</t>
  </si>
  <si>
    <t>Katemin</t>
  </si>
  <si>
    <t>Wates</t>
  </si>
  <si>
    <t>Sri Yatun</t>
  </si>
  <si>
    <t>Kebak</t>
  </si>
  <si>
    <t>Jumawan</t>
  </si>
  <si>
    <t>Kharis</t>
  </si>
  <si>
    <t>Watuadeg</t>
  </si>
  <si>
    <t>Eko  Setiawan</t>
  </si>
  <si>
    <t>Slamet Kuncoro</t>
  </si>
  <si>
    <t>Supriadi</t>
  </si>
  <si>
    <t>Gunardi</t>
  </si>
  <si>
    <t>Tosari</t>
  </si>
  <si>
    <t>Meiyoto</t>
  </si>
  <si>
    <t>Istarni</t>
  </si>
  <si>
    <t>Pucang</t>
  </si>
  <si>
    <t>Tri Wahono</t>
  </si>
  <si>
    <t>Pujut</t>
  </si>
  <si>
    <t>Sulasno</t>
  </si>
  <si>
    <t>Toyowidi</t>
  </si>
  <si>
    <t>Sujarni</t>
  </si>
  <si>
    <t>Kandar</t>
  </si>
  <si>
    <t>Wandi</t>
  </si>
  <si>
    <t>Suyoto</t>
  </si>
  <si>
    <t>Gantoyono</t>
  </si>
  <si>
    <t>Kalitani</t>
  </si>
  <si>
    <t>Meselan</t>
  </si>
  <si>
    <t>Suwardi</t>
  </si>
  <si>
    <t>Gading</t>
  </si>
  <si>
    <t>Ali Vratomo</t>
  </si>
  <si>
    <t>Supriyanto</t>
  </si>
  <si>
    <t>Mujari</t>
  </si>
  <si>
    <t>Trianto</t>
  </si>
  <si>
    <t xml:space="preserve">Slamet </t>
  </si>
  <si>
    <t>Gebang</t>
  </si>
  <si>
    <t>1994</t>
  </si>
  <si>
    <t>Untung Widodo</t>
  </si>
  <si>
    <t>Rudy Supriyanto</t>
  </si>
  <si>
    <t>Sarwono</t>
  </si>
  <si>
    <t>Bonari</t>
  </si>
  <si>
    <t>Tenggar</t>
  </si>
  <si>
    <t>Tarjito</t>
  </si>
  <si>
    <t>Nuryudi</t>
  </si>
  <si>
    <t>Nyemono</t>
  </si>
  <si>
    <t>Nur Cahyono</t>
  </si>
  <si>
    <t>Supriyono</t>
  </si>
  <si>
    <t>Sidomulyo</t>
  </si>
  <si>
    <t>Gayam</t>
  </si>
  <si>
    <t>Padi Sawah</t>
  </si>
  <si>
    <t xml:space="preserve">Boyatin  </t>
  </si>
  <si>
    <t>Surahman</t>
  </si>
  <si>
    <t>Imam Ahroji</t>
  </si>
  <si>
    <t>Jambu</t>
  </si>
  <si>
    <t>Katbi</t>
  </si>
  <si>
    <t>Misrati</t>
  </si>
  <si>
    <t>Tumijem</t>
  </si>
  <si>
    <t>Ngandong</t>
  </si>
  <si>
    <t>Purwito</t>
  </si>
  <si>
    <t>Wahyudi</t>
  </si>
  <si>
    <t>Ngricik</t>
  </si>
  <si>
    <t>Hartanto</t>
  </si>
  <si>
    <t>Pagergunung</t>
  </si>
  <si>
    <t>Sukarni</t>
  </si>
  <si>
    <t>Tuari</t>
  </si>
  <si>
    <t>Pagersari</t>
  </si>
  <si>
    <t>Mujiono</t>
  </si>
  <si>
    <t>Sulistyono</t>
  </si>
  <si>
    <t>Kaliwaru</t>
  </si>
  <si>
    <t>Nanang</t>
  </si>
  <si>
    <t>Umiamatin</t>
  </si>
  <si>
    <t>Salim</t>
  </si>
  <si>
    <t>Caruban</t>
  </si>
  <si>
    <t>Jumangin</t>
  </si>
  <si>
    <t>Zaenuri</t>
  </si>
  <si>
    <t>Nanto Daryanto</t>
  </si>
  <si>
    <t>Eri Widodo</t>
  </si>
  <si>
    <t>Elsa Nigia D</t>
  </si>
  <si>
    <t>Besar</t>
  </si>
  <si>
    <t>Soiman</t>
  </si>
  <si>
    <t>Suyanti</t>
  </si>
  <si>
    <t>Klawe</t>
  </si>
  <si>
    <t>Mukmin</t>
  </si>
  <si>
    <t>Nurudin</t>
  </si>
  <si>
    <t>Mantenan</t>
  </si>
  <si>
    <t>Nur Hozin</t>
  </si>
  <si>
    <t>Imam Saroni</t>
  </si>
  <si>
    <t>Imam Sanusi</t>
  </si>
  <si>
    <t>Wawaran</t>
  </si>
  <si>
    <t>Suroto</t>
  </si>
  <si>
    <t>Komari</t>
  </si>
  <si>
    <t>Tenggaran</t>
  </si>
  <si>
    <t xml:space="preserve">Sunaryo </t>
  </si>
  <si>
    <t>Sujarwo</t>
  </si>
  <si>
    <t>Banyuripan</t>
  </si>
  <si>
    <t xml:space="preserve">Maryono </t>
  </si>
  <si>
    <t>Munawar</t>
  </si>
  <si>
    <t>Edi Wahyono</t>
  </si>
  <si>
    <t xml:space="preserve">Imam Sayuti </t>
  </si>
  <si>
    <t>Suranto</t>
  </si>
  <si>
    <t>Widayat</t>
  </si>
  <si>
    <t>Semo</t>
  </si>
  <si>
    <t xml:space="preserve">M. Feri Irmawan Putra </t>
  </si>
  <si>
    <t>Ampera Siswanto</t>
  </si>
  <si>
    <t>Pengolahan Pangan</t>
  </si>
  <si>
    <t>Khodriah</t>
  </si>
  <si>
    <t>Murdayati</t>
  </si>
  <si>
    <t>Siti Mutiah</t>
  </si>
  <si>
    <t>Buwun</t>
  </si>
  <si>
    <t>Muhammad. Khoirul Mustaqim</t>
  </si>
  <si>
    <t>Liyya Lailatul Arofah</t>
  </si>
  <si>
    <t>Sri Maryati</t>
  </si>
  <si>
    <t>Ketarjo</t>
  </si>
  <si>
    <t>Muhammad Burhanudin</t>
  </si>
  <si>
    <t>Eko Prasetiawan</t>
  </si>
  <si>
    <t>Dicky Bima Erfiansyah</t>
  </si>
  <si>
    <t>Misnadi</t>
  </si>
  <si>
    <t>Misno</t>
  </si>
  <si>
    <t>Sri Mulyani</t>
  </si>
  <si>
    <t>Soko</t>
  </si>
  <si>
    <t>Tusiran</t>
  </si>
  <si>
    <t>Suratin</t>
  </si>
  <si>
    <t>Abd. Chohar</t>
  </si>
  <si>
    <t>Tanjung</t>
  </si>
  <si>
    <t>Samuri</t>
  </si>
  <si>
    <t>Tugiman</t>
  </si>
  <si>
    <t>Mulyanto</t>
  </si>
  <si>
    <t>Dembo</t>
  </si>
  <si>
    <t>Azis Adi P.</t>
  </si>
  <si>
    <t>Muttaqin</t>
  </si>
  <si>
    <t>Titik Ingkawati</t>
  </si>
  <si>
    <t>Imam Maliki</t>
  </si>
  <si>
    <t>Nanda Taufik Al Halim</t>
  </si>
  <si>
    <t>Annafi Mustofa Al Karim</t>
  </si>
  <si>
    <t>Watudepo</t>
  </si>
  <si>
    <t>Sumar</t>
  </si>
  <si>
    <t>Edi Winarno</t>
  </si>
  <si>
    <t>Dewi Susilowati</t>
  </si>
  <si>
    <t>Kedungjati</t>
  </si>
  <si>
    <t>Bonajar</t>
  </si>
  <si>
    <t>Bonasir</t>
  </si>
  <si>
    <t>Edi Setyawan</t>
  </si>
  <si>
    <t>Gulang</t>
  </si>
  <si>
    <t>Sunarwan</t>
  </si>
  <si>
    <t>Mistam</t>
  </si>
  <si>
    <t>Jumiril</t>
  </si>
  <si>
    <t>KWT Sekar Tanjung</t>
  </si>
  <si>
    <t>Horti</t>
  </si>
  <si>
    <t>Siti Latifah</t>
  </si>
  <si>
    <t>Sunarti</t>
  </si>
  <si>
    <t>Siswati</t>
  </si>
  <si>
    <t>Sedayu</t>
  </si>
  <si>
    <t>Daren</t>
  </si>
  <si>
    <t>Makmur Rukun I</t>
  </si>
  <si>
    <t>Imam</t>
  </si>
  <si>
    <t>Nyono</t>
  </si>
  <si>
    <t>Makmur Rukun II</t>
  </si>
  <si>
    <t>Muhammad Purwanto Hadi</t>
  </si>
  <si>
    <t>Ayu Hidayati</t>
  </si>
  <si>
    <t>Jumari</t>
  </si>
  <si>
    <t>Kedungwaru</t>
  </si>
  <si>
    <t>Makmur Rukun III</t>
  </si>
  <si>
    <t>Akhyarul Umam</t>
  </si>
  <si>
    <t>Kedunggayam</t>
  </si>
  <si>
    <t>Makmur Rukun IV</t>
  </si>
  <si>
    <t>Kasnari</t>
  </si>
  <si>
    <t>Slamet Riyadi</t>
  </si>
  <si>
    <t>Untung</t>
  </si>
  <si>
    <t>Sabrang</t>
  </si>
  <si>
    <t>Makmur Rukun V</t>
  </si>
  <si>
    <t>Mukayat</t>
  </si>
  <si>
    <t>Mu'At</t>
  </si>
  <si>
    <t>Tambaksari</t>
  </si>
  <si>
    <t>Makmur Rukun VI</t>
  </si>
  <si>
    <t>Arif Nurhadi</t>
  </si>
  <si>
    <t>Khomarudin</t>
  </si>
  <si>
    <t>Jaet</t>
  </si>
  <si>
    <t>Sugihwaras</t>
  </si>
  <si>
    <t>Makmur Rukun VII</t>
  </si>
  <si>
    <t>Fatchuraji</t>
  </si>
  <si>
    <t>Makmur Rukun VIII</t>
  </si>
  <si>
    <t>Mursid</t>
  </si>
  <si>
    <t>Zainal N.</t>
  </si>
  <si>
    <t>Saean</t>
  </si>
  <si>
    <t>Makmur Rukun IX</t>
  </si>
  <si>
    <t>Mukiman</t>
  </si>
  <si>
    <t>Nur Kamit</t>
  </si>
  <si>
    <t>Ponirin</t>
  </si>
  <si>
    <t>Karanggondang</t>
  </si>
  <si>
    <t>Makmur Rukun X</t>
  </si>
  <si>
    <t>Aminuddin</t>
  </si>
  <si>
    <t>Samudi</t>
  </si>
  <si>
    <t>Rohman</t>
  </si>
  <si>
    <t>Krakan Kulon</t>
  </si>
  <si>
    <t>Agus Setyono</t>
  </si>
  <si>
    <t>Djasmidi</t>
  </si>
  <si>
    <t>Krajan Wetan</t>
  </si>
  <si>
    <t>Subasri  Haryono</t>
  </si>
  <si>
    <t>Fuad Budi Utomo</t>
  </si>
  <si>
    <t>Tri Suryanti</t>
  </si>
  <si>
    <t>Nanang Qosim</t>
  </si>
  <si>
    <t>Toharudin</t>
  </si>
  <si>
    <t>Shobirin</t>
  </si>
  <si>
    <t>Sinoman</t>
  </si>
  <si>
    <t>Sobirin</t>
  </si>
  <si>
    <t>Ninik Nur Hamidah</t>
  </si>
  <si>
    <t>Suparni</t>
  </si>
  <si>
    <t>Krajan Kulon</t>
  </si>
  <si>
    <t>Pangan Olahan</t>
  </si>
  <si>
    <t>Siti Munifah</t>
  </si>
  <si>
    <t>Salamah</t>
  </si>
  <si>
    <t>Rini Widayati</t>
  </si>
  <si>
    <t>Karangasem</t>
  </si>
  <si>
    <t>Mujahidin</t>
  </si>
  <si>
    <t>Fajar Azmi</t>
  </si>
  <si>
    <t>Pojok</t>
  </si>
  <si>
    <t>Imam Subarkah</t>
  </si>
  <si>
    <t>Judi</t>
  </si>
  <si>
    <t>Ibnul Mubarok</t>
  </si>
  <si>
    <t xml:space="preserve">Mohammad Qoulan </t>
  </si>
  <si>
    <t>Muhammad  Azwanudin</t>
  </si>
  <si>
    <t>Kulak</t>
  </si>
  <si>
    <t>Padi Dan Cabai</t>
  </si>
  <si>
    <t>Muhammad Nirmala</t>
  </si>
  <si>
    <t>Suhudi</t>
  </si>
  <si>
    <t>Yuyut Wiranto</t>
  </si>
  <si>
    <t>Mohammad Rosyid</t>
  </si>
  <si>
    <t>Fathuroji</t>
  </si>
  <si>
    <t>Lenjoh</t>
  </si>
  <si>
    <t>Zainuddin</t>
  </si>
  <si>
    <t>Ahmad Khunaifi</t>
  </si>
  <si>
    <t>Hamim Fadilah</t>
  </si>
  <si>
    <t>KWT Pertiwi</t>
  </si>
  <si>
    <t>Fitri Khoiriyah</t>
  </si>
  <si>
    <t>Mutiatul Haniah</t>
  </si>
  <si>
    <t>Siti Solehah</t>
  </si>
  <si>
    <t>Pagutan</t>
  </si>
  <si>
    <t>Imron</t>
  </si>
  <si>
    <t>Suryatin</t>
  </si>
  <si>
    <t xml:space="preserve">Basori </t>
  </si>
  <si>
    <t>Jatisari</t>
  </si>
  <si>
    <t>Rukun Santosa II</t>
  </si>
  <si>
    <t>Tukiyat</t>
  </si>
  <si>
    <t>Zainal Abidin</t>
  </si>
  <si>
    <t>Nguteran</t>
  </si>
  <si>
    <t>Sugiri</t>
  </si>
  <si>
    <t>Andi Kumala</t>
  </si>
  <si>
    <t>Suparji</t>
  </si>
  <si>
    <t>Karang - Pule</t>
  </si>
  <si>
    <t>Hadi Prayitno</t>
  </si>
  <si>
    <t>Nur Chamdi</t>
  </si>
  <si>
    <t>Sutarji</t>
  </si>
  <si>
    <t>Pajaran</t>
  </si>
  <si>
    <t>Suryono</t>
  </si>
  <si>
    <t>Toifur</t>
  </si>
  <si>
    <t>Sabarudin</t>
  </si>
  <si>
    <t>Hortikultura</t>
  </si>
  <si>
    <t>Tri Handayani</t>
  </si>
  <si>
    <t>Hanifah</t>
  </si>
  <si>
    <t>Mahmudin</t>
  </si>
  <si>
    <t>Hery Dwiyono</t>
  </si>
  <si>
    <t>Ngrandu</t>
  </si>
  <si>
    <t>Mukit</t>
  </si>
  <si>
    <t>Mukri</t>
  </si>
  <si>
    <t>Sri Utami</t>
  </si>
  <si>
    <t>Banaran</t>
  </si>
  <si>
    <t>Mashuri</t>
  </si>
  <si>
    <t>Salamun</t>
  </si>
  <si>
    <t>Jenggrik</t>
  </si>
  <si>
    <t>Tuyadi</t>
  </si>
  <si>
    <t>Katwati</t>
  </si>
  <si>
    <t>Nuryanto</t>
  </si>
  <si>
    <t>Wiji Lestari</t>
  </si>
  <si>
    <t>Iksanudin</t>
  </si>
  <si>
    <t>Gayuh Sehat I</t>
  </si>
  <si>
    <t>Ni Made Sudiartini</t>
  </si>
  <si>
    <t>Wiji Astuti</t>
  </si>
  <si>
    <t>Ruli Ekowati</t>
  </si>
  <si>
    <t>Gayuh Sehat II</t>
  </si>
  <si>
    <t>Sumarti</t>
  </si>
  <si>
    <t>Ruwiyati</t>
  </si>
  <si>
    <t>Karangrejo</t>
  </si>
  <si>
    <t>Urip Kamaludin</t>
  </si>
  <si>
    <t>A. Khoirudin</t>
  </si>
  <si>
    <t>Sudardi</t>
  </si>
  <si>
    <t>Trobakal</t>
  </si>
  <si>
    <t>Sri Rustiani</t>
  </si>
  <si>
    <t>Bonangim</t>
  </si>
  <si>
    <t>Wonosari</t>
  </si>
  <si>
    <t>Mohammad Tobib</t>
  </si>
  <si>
    <t>Sudarno</t>
  </si>
  <si>
    <t>Abdul Manaf</t>
  </si>
  <si>
    <t>Brungkah</t>
  </si>
  <si>
    <t>Muhammad Mujib</t>
  </si>
  <si>
    <t>Sidiq</t>
  </si>
  <si>
    <t>Fathur Rohman</t>
  </si>
  <si>
    <t>Pringapus</t>
  </si>
  <si>
    <t>Nasrobin</t>
  </si>
  <si>
    <t>Puji Mustika Sari</t>
  </si>
  <si>
    <t>Lilik Masrudah</t>
  </si>
  <si>
    <t>Ringinputih</t>
  </si>
  <si>
    <t>Sajiman</t>
  </si>
  <si>
    <t>Katijan</t>
  </si>
  <si>
    <t>Samat</t>
  </si>
  <si>
    <t>Gunungsari</t>
  </si>
  <si>
    <t>Amantoto</t>
  </si>
  <si>
    <t>Afifi Rianto</t>
  </si>
  <si>
    <t>Budiyono</t>
  </si>
  <si>
    <t>Ganang</t>
  </si>
  <si>
    <t>Syahrin</t>
  </si>
  <si>
    <t>Jumini</t>
  </si>
  <si>
    <t>Triyanto</t>
  </si>
  <si>
    <t>Tleken</t>
  </si>
  <si>
    <t>Sugeng Ariadi</t>
  </si>
  <si>
    <t>Sarti</t>
  </si>
  <si>
    <t>Padi Plwj</t>
  </si>
  <si>
    <t>Sujudi</t>
  </si>
  <si>
    <t>Widodo</t>
  </si>
  <si>
    <t>Nur Iksan</t>
  </si>
  <si>
    <t>Nanik Rahayu</t>
  </si>
  <si>
    <t>Ani Rahayu</t>
  </si>
  <si>
    <t>Zulaika</t>
  </si>
  <si>
    <t>Muji Lestari</t>
  </si>
  <si>
    <t>Suratmi</t>
  </si>
  <si>
    <t>Winarti</t>
  </si>
  <si>
    <t>Papringan</t>
  </si>
  <si>
    <t>Dhani Yulianto</t>
  </si>
  <si>
    <t>Siti Muslikah</t>
  </si>
  <si>
    <t>Totok Yulianto</t>
  </si>
  <si>
    <t>Paidi</t>
  </si>
  <si>
    <t>Teguh Wiyono</t>
  </si>
  <si>
    <t>Pronggo</t>
  </si>
  <si>
    <t>Rohmat</t>
  </si>
  <si>
    <t>Supangat</t>
  </si>
  <si>
    <t>Sukatmin</t>
  </si>
  <si>
    <t>Pinggir</t>
  </si>
  <si>
    <t>M Nurudin</t>
  </si>
  <si>
    <t>Riyanto</t>
  </si>
  <si>
    <t>Ngasem</t>
  </si>
  <si>
    <t>Ubi Kayu</t>
  </si>
  <si>
    <t>Zaenal A</t>
  </si>
  <si>
    <t>Maliki</t>
  </si>
  <si>
    <t>Polowijo</t>
  </si>
  <si>
    <t>Nuridin</t>
  </si>
  <si>
    <t>Pambudi</t>
  </si>
  <si>
    <t>Istiyah</t>
  </si>
  <si>
    <t>Murdiati</t>
  </si>
  <si>
    <t>Sumarwanti</t>
  </si>
  <si>
    <t>Endah Hidayati</t>
  </si>
  <si>
    <t>Erni Fidiya</t>
  </si>
  <si>
    <t>Sido Rukun  I</t>
  </si>
  <si>
    <t>Subagyono</t>
  </si>
  <si>
    <t>Sumarpin</t>
  </si>
  <si>
    <t>Misri</t>
  </si>
  <si>
    <t>Kampir</t>
  </si>
  <si>
    <t>Sukino</t>
  </si>
  <si>
    <t>Buyutan</t>
  </si>
  <si>
    <t>Arjo</t>
  </si>
  <si>
    <t>Weru</t>
  </si>
  <si>
    <t>Poniran</t>
  </si>
  <si>
    <t>Untung Wahono    Soeman</t>
  </si>
  <si>
    <t>Soeman</t>
  </si>
  <si>
    <t>Brangkal</t>
  </si>
  <si>
    <t>Suparno</t>
  </si>
  <si>
    <t>Sumardi</t>
  </si>
  <si>
    <t>Aminudin</t>
  </si>
  <si>
    <t>Ngaliyan</t>
  </si>
  <si>
    <t>KWT Sido lestari</t>
  </si>
  <si>
    <t>Katmiatun</t>
  </si>
  <si>
    <t>Ngesong</t>
  </si>
  <si>
    <t xml:space="preserve">Padi Plwj </t>
  </si>
  <si>
    <t>Erfin Setio Winoto</t>
  </si>
  <si>
    <t>Sogimin</t>
  </si>
  <si>
    <t>Sunar</t>
  </si>
  <si>
    <t>Pathuk</t>
  </si>
  <si>
    <t>Dicky Widianto</t>
  </si>
  <si>
    <t>Miskini</t>
  </si>
  <si>
    <t>Bungur</t>
  </si>
  <si>
    <t>Winarni</t>
  </si>
  <si>
    <t>Sugiarti</t>
  </si>
  <si>
    <t>Sunarni</t>
  </si>
  <si>
    <t>Tolu</t>
  </si>
  <si>
    <t>Pradah</t>
  </si>
  <si>
    <t>Sutari</t>
  </si>
  <si>
    <t>Sutasni</t>
  </si>
  <si>
    <t>Rukun Tani III</t>
  </si>
  <si>
    <t>Sartono</t>
  </si>
  <si>
    <t>Hartono P</t>
  </si>
  <si>
    <t>Sugianto</t>
  </si>
  <si>
    <t>Banyuanget</t>
  </si>
  <si>
    <t>Sukiman</t>
  </si>
  <si>
    <t>Karyati</t>
  </si>
  <si>
    <t>Karyomi</t>
  </si>
  <si>
    <t>Jagung</t>
  </si>
  <si>
    <t>Cahyono</t>
  </si>
  <si>
    <t>Syamsudin</t>
  </si>
  <si>
    <t>Agus Hariyanto</t>
  </si>
  <si>
    <t>Kedunggrombyang</t>
  </si>
  <si>
    <t>Isnen</t>
  </si>
  <si>
    <t>Gupit</t>
  </si>
  <si>
    <t>Rukun Tani  VII</t>
  </si>
  <si>
    <t>Jikan</t>
  </si>
  <si>
    <t>Sukadi</t>
  </si>
  <si>
    <t>Makanan Olahan</t>
  </si>
  <si>
    <t>Sumaryati</t>
  </si>
  <si>
    <t>Lilik</t>
  </si>
  <si>
    <t>Guruh K</t>
  </si>
  <si>
    <t>Dolim</t>
  </si>
  <si>
    <t>Eko Suyanto</t>
  </si>
  <si>
    <t xml:space="preserve">Madekan </t>
  </si>
  <si>
    <t>Ruslan</t>
  </si>
  <si>
    <t>Yateni</t>
  </si>
  <si>
    <t>Eko S</t>
  </si>
  <si>
    <t>Karang</t>
  </si>
  <si>
    <t xml:space="preserve">Lenny Arry </t>
  </si>
  <si>
    <t>Joko Sutikno</t>
  </si>
  <si>
    <t>Riyono</t>
  </si>
  <si>
    <t>Tompak</t>
  </si>
  <si>
    <t>Sarmidi</t>
  </si>
  <si>
    <t>Idit H</t>
  </si>
  <si>
    <t>Pesan</t>
  </si>
  <si>
    <t>Samuji</t>
  </si>
  <si>
    <t>Kukuh S</t>
  </si>
  <si>
    <t>Joko S</t>
  </si>
  <si>
    <t>Krajan Ib</t>
  </si>
  <si>
    <t>Tukimin</t>
  </si>
  <si>
    <t>Bambang</t>
  </si>
  <si>
    <t>Hadi K</t>
  </si>
  <si>
    <t>Tegal</t>
  </si>
  <si>
    <t>Aslikin</t>
  </si>
  <si>
    <t>Sepatan</t>
  </si>
  <si>
    <t>Tugimin</t>
  </si>
  <si>
    <t>Dahlia</t>
  </si>
  <si>
    <t>Maryani</t>
  </si>
  <si>
    <t>Khusnul K</t>
  </si>
  <si>
    <t>Sri    H</t>
  </si>
  <si>
    <t>Temon</t>
  </si>
  <si>
    <t>Drono</t>
  </si>
  <si>
    <t>Akur I</t>
  </si>
  <si>
    <t>Padi,Ubi, Jagung (Ladang)</t>
  </si>
  <si>
    <t>Imam Sururi</t>
  </si>
  <si>
    <t>Irmanu</t>
  </si>
  <si>
    <t>Ririn Nurkhasanah</t>
  </si>
  <si>
    <t>Akur II</t>
  </si>
  <si>
    <t>Padi,Ubi, Jagung</t>
  </si>
  <si>
    <t>Kateman</t>
  </si>
  <si>
    <t>Akur IIII</t>
  </si>
  <si>
    <t>Eddy Sunarto</t>
  </si>
  <si>
    <t>Rokib Rofi'I</t>
  </si>
  <si>
    <t>Krajan Kidul</t>
  </si>
  <si>
    <t>Akur IV</t>
  </si>
  <si>
    <t>Sri Wahyuni</t>
  </si>
  <si>
    <t>Khozin</t>
  </si>
  <si>
    <t>Maryumi</t>
  </si>
  <si>
    <t>Gunung Agung</t>
  </si>
  <si>
    <t>Akur V</t>
  </si>
  <si>
    <t>Mujiatno</t>
  </si>
  <si>
    <t>Paeno</t>
  </si>
  <si>
    <t>Krajan Lor</t>
  </si>
  <si>
    <t>Akur VI</t>
  </si>
  <si>
    <t>Samsuri</t>
  </si>
  <si>
    <t>Agus Salim</t>
  </si>
  <si>
    <t>Supri</t>
  </si>
  <si>
    <t>Akur VII</t>
  </si>
  <si>
    <t>Joko Suliswanto</t>
  </si>
  <si>
    <t>Wahyu Setiono</t>
  </si>
  <si>
    <t>Sarisno</t>
  </si>
  <si>
    <t>Akur VIII</t>
  </si>
  <si>
    <t>Sukriadi</t>
  </si>
  <si>
    <t>Sunarmi</t>
  </si>
  <si>
    <t>Eni Sriyatin</t>
  </si>
  <si>
    <t>Akur IX</t>
  </si>
  <si>
    <t>Kusno Utomo</t>
  </si>
  <si>
    <t>Sukirin</t>
  </si>
  <si>
    <t>Akur X</t>
  </si>
  <si>
    <t>Akur XI</t>
  </si>
  <si>
    <t>Suryanto</t>
  </si>
  <si>
    <t>Andi Sofwanudin</t>
  </si>
  <si>
    <t>Khoirudin</t>
  </si>
  <si>
    <t>Mujiran</t>
  </si>
  <si>
    <t>Haryanto</t>
  </si>
  <si>
    <t>Akur XIII</t>
  </si>
  <si>
    <t>Bahran</t>
  </si>
  <si>
    <t>Iis Hariyani</t>
  </si>
  <si>
    <t>Mendang</t>
  </si>
  <si>
    <t>Yoyon Tw.</t>
  </si>
  <si>
    <t>Sendang</t>
  </si>
  <si>
    <t>Slamet M.</t>
  </si>
  <si>
    <t>Nur Rohman H.</t>
  </si>
  <si>
    <t>Eko Aswanto</t>
  </si>
  <si>
    <t>Kebonsari</t>
  </si>
  <si>
    <t>Tohiron</t>
  </si>
  <si>
    <t>Edy N.</t>
  </si>
  <si>
    <t>Punarko</t>
  </si>
  <si>
    <t>Bangunrejo</t>
  </si>
  <si>
    <t>Senen</t>
  </si>
  <si>
    <t>Tukul</t>
  </si>
  <si>
    <t>Marreza F.</t>
  </si>
  <si>
    <t>Robi</t>
  </si>
  <si>
    <t>Katwadi</t>
  </si>
  <si>
    <t>S O G I</t>
  </si>
  <si>
    <t>Wiyono</t>
  </si>
  <si>
    <t>Samino</t>
  </si>
  <si>
    <t>Nasir</t>
  </si>
  <si>
    <t>Amin A.</t>
  </si>
  <si>
    <t>Mloko</t>
  </si>
  <si>
    <t>Darsin</t>
  </si>
  <si>
    <t>Bambang H.</t>
  </si>
  <si>
    <t>Eni Susilowati</t>
  </si>
  <si>
    <t>Riska Avi R.</t>
  </si>
  <si>
    <t>Jumatin</t>
  </si>
  <si>
    <t>KRAJAN</t>
  </si>
  <si>
    <t>RAHAYU WIDODO</t>
  </si>
  <si>
    <t>PADI GOGO</t>
  </si>
  <si>
    <t>54,55</t>
  </si>
  <si>
    <t>BEJO WIYONO</t>
  </si>
  <si>
    <t>EDI .P</t>
  </si>
  <si>
    <t>SUKIRAN</t>
  </si>
  <si>
    <t>KARANG KULON</t>
  </si>
  <si>
    <t>38,37</t>
  </si>
  <si>
    <t>HARTADI</t>
  </si>
  <si>
    <t>WAWAN</t>
  </si>
  <si>
    <t>HADI WIYONO</t>
  </si>
  <si>
    <t>WUNGU</t>
  </si>
  <si>
    <t>NGUNDUH  PAKARTI</t>
  </si>
  <si>
    <t>39,00</t>
  </si>
  <si>
    <t>SLAMET</t>
  </si>
  <si>
    <t>SUNARNO</t>
  </si>
  <si>
    <t>GINEN</t>
  </si>
  <si>
    <t>TIRISAN</t>
  </si>
  <si>
    <t>PADI MURNI</t>
  </si>
  <si>
    <t>25,42</t>
  </si>
  <si>
    <t>SUTOYO</t>
  </si>
  <si>
    <t>SUROSO</t>
  </si>
  <si>
    <t>KADARI</t>
  </si>
  <si>
    <t>CABE</t>
  </si>
  <si>
    <t>MARDI MAKMUR I</t>
  </si>
  <si>
    <t>54,58</t>
  </si>
  <si>
    <t>HARIYANTO</t>
  </si>
  <si>
    <t>HARMANTO</t>
  </si>
  <si>
    <t>SUKIDI</t>
  </si>
  <si>
    <t>PUCANG TUWO</t>
  </si>
  <si>
    <t>MARDI MAKMUR II</t>
  </si>
  <si>
    <t>53,5</t>
  </si>
  <si>
    <t>SUGIARNO</t>
  </si>
  <si>
    <t>SUGIYANTO</t>
  </si>
  <si>
    <t>SUNARTO</t>
  </si>
  <si>
    <t>NGORODOWO</t>
  </si>
  <si>
    <t>MARDI MAKMUR III</t>
  </si>
  <si>
    <t xml:space="preserve">30,25 </t>
  </si>
  <si>
    <t>MUJIONO</t>
  </si>
  <si>
    <t>PONIRAN</t>
  </si>
  <si>
    <t>SUKATNO</t>
  </si>
  <si>
    <t>JLAMPRANG</t>
  </si>
  <si>
    <t>SAYUK RUKUN</t>
  </si>
  <si>
    <t>50,41</t>
  </si>
  <si>
    <t>HARIADI</t>
  </si>
  <si>
    <t>SULARMAN</t>
  </si>
  <si>
    <t>JOKO WIYONO</t>
  </si>
  <si>
    <t>PUDAK</t>
  </si>
  <si>
    <t>59,01</t>
  </si>
  <si>
    <t>RUDIANTO</t>
  </si>
  <si>
    <t>TEKEN</t>
  </si>
  <si>
    <t>BUDI LESTARI</t>
  </si>
  <si>
    <t>40,31</t>
  </si>
  <si>
    <t>WIYONO</t>
  </si>
  <si>
    <t>SUCIPTO</t>
  </si>
  <si>
    <t>TEGUH W</t>
  </si>
  <si>
    <t>BEDALI</t>
  </si>
  <si>
    <t>SRI RAHAYU</t>
  </si>
  <si>
    <t>60,00</t>
  </si>
  <si>
    <t>MARYANTO</t>
  </si>
  <si>
    <t>NUR KHOLIS</t>
  </si>
  <si>
    <t>RUSWANTO</t>
  </si>
  <si>
    <t>KARANG TALUN</t>
  </si>
  <si>
    <t>55,73</t>
  </si>
  <si>
    <t>HARIYONO</t>
  </si>
  <si>
    <t>SOKIMIN T</t>
  </si>
  <si>
    <t>JLUBANG</t>
  </si>
  <si>
    <t>29,85</t>
  </si>
  <si>
    <t>BASUKI</t>
  </si>
  <si>
    <t>KATEMIN</t>
  </si>
  <si>
    <t>SOGIRAN</t>
  </si>
  <si>
    <t>Petung</t>
  </si>
  <si>
    <t>Rudi Kuswara</t>
  </si>
  <si>
    <t>Ngatno</t>
  </si>
  <si>
    <t>Nasri</t>
  </si>
  <si>
    <t>Paijan</t>
  </si>
  <si>
    <t>Klangon</t>
  </si>
  <si>
    <t>Yaini</t>
  </si>
  <si>
    <t>Giyarno</t>
  </si>
  <si>
    <t xml:space="preserve">Semanggi </t>
  </si>
  <si>
    <t>Masturi</t>
  </si>
  <si>
    <t>Suharto</t>
  </si>
  <si>
    <t>Tawari</t>
  </si>
  <si>
    <t>Solekhan</t>
  </si>
  <si>
    <t>Sunari</t>
  </si>
  <si>
    <t>Nanik Ernawati</t>
  </si>
  <si>
    <t>Siti. S</t>
  </si>
  <si>
    <t>Tumari</t>
  </si>
  <si>
    <t>Jarwati</t>
  </si>
  <si>
    <t>Sulati</t>
  </si>
  <si>
    <t>Ngobyokan</t>
  </si>
  <si>
    <t>NGUDI SANTOSO</t>
  </si>
  <si>
    <t>SURURI</t>
  </si>
  <si>
    <t>TUSINO</t>
  </si>
  <si>
    <t>PARNO</t>
  </si>
  <si>
    <t>KARANGANOM</t>
  </si>
  <si>
    <t>TARMI</t>
  </si>
  <si>
    <t>RIYANTO</t>
  </si>
  <si>
    <t>DWI AMBARSARI</t>
  </si>
  <si>
    <t>SAWAHAN KULON</t>
  </si>
  <si>
    <t>ARIFIN</t>
  </si>
  <si>
    <t>SUTRISNO</t>
  </si>
  <si>
    <t>SURADI</t>
  </si>
  <si>
    <t>SAWAHAN ETAN</t>
  </si>
  <si>
    <t>NGUDI RAHAYU</t>
  </si>
  <si>
    <t>HARMINI</t>
  </si>
  <si>
    <t>KATINI</t>
  </si>
  <si>
    <t>NANGIMAH</t>
  </si>
  <si>
    <t>DILEM</t>
  </si>
  <si>
    <t>SUMADI</t>
  </si>
  <si>
    <t>PONIMIN</t>
  </si>
  <si>
    <t>SINOMAN KIDUL</t>
  </si>
  <si>
    <t>NGUDI KARYO</t>
  </si>
  <si>
    <t>SUKINO</t>
  </si>
  <si>
    <t>SUPARDI</t>
  </si>
  <si>
    <t>SINOMAN LOR</t>
  </si>
  <si>
    <t>SUYANTO</t>
  </si>
  <si>
    <t>SUYATNO</t>
  </si>
  <si>
    <t>KLEPU LOR</t>
  </si>
  <si>
    <t>NGUDI BOGO</t>
  </si>
  <si>
    <t>TUMADI</t>
  </si>
  <si>
    <t>WAKINO</t>
  </si>
  <si>
    <t>DOYO</t>
  </si>
  <si>
    <t>KADIRAN</t>
  </si>
  <si>
    <t>SUMARNO</t>
  </si>
  <si>
    <t>TUKIRIN</t>
  </si>
  <si>
    <t>GONDANGLEGI</t>
  </si>
  <si>
    <t>KATIJAN</t>
  </si>
  <si>
    <t>RUSMINI</t>
  </si>
  <si>
    <t>PAIMAN</t>
  </si>
  <si>
    <t>BLENGAK</t>
  </si>
  <si>
    <t>SISWANDI</t>
  </si>
  <si>
    <t>SUWARDI</t>
  </si>
  <si>
    <t>MULYONO</t>
  </si>
  <si>
    <t>PELEM</t>
  </si>
  <si>
    <t>RAKIMIN</t>
  </si>
  <si>
    <t>SATIN</t>
  </si>
  <si>
    <t>NGLESEN</t>
  </si>
  <si>
    <t>MAKMUR</t>
  </si>
  <si>
    <t>SUWARNO</t>
  </si>
  <si>
    <t>TUMINI</t>
  </si>
  <si>
    <t>ADI BUDIMAS</t>
  </si>
  <si>
    <t>KEBON</t>
  </si>
  <si>
    <t>SUMBER REJO</t>
  </si>
  <si>
    <t>TUSINI</t>
  </si>
  <si>
    <t>SOKI,MIN</t>
  </si>
  <si>
    <t>PLOSO</t>
  </si>
  <si>
    <t>SARDI</t>
  </si>
  <si>
    <t>SRI MULYANI</t>
  </si>
  <si>
    <t>NANIK</t>
  </si>
  <si>
    <t>NGRICIK</t>
  </si>
  <si>
    <t>LOH JINAWI</t>
  </si>
  <si>
    <t>WIDODO</t>
  </si>
  <si>
    <t>DARNO</t>
  </si>
  <si>
    <t>NGUNI</t>
  </si>
  <si>
    <t>KUSWANTO</t>
  </si>
  <si>
    <t>JUDIANTO</t>
  </si>
  <si>
    <t>SOKIDI</t>
  </si>
  <si>
    <t>Sawahan</t>
  </si>
  <si>
    <t>PULUHAN</t>
  </si>
  <si>
    <t>SUJARWO</t>
  </si>
  <si>
    <t>MARIYO</t>
  </si>
  <si>
    <t>MESREN</t>
  </si>
  <si>
    <t>TEGALSARI</t>
  </si>
  <si>
    <t>SUKMA DWIYANTO</t>
  </si>
  <si>
    <t>WIDIANTO</t>
  </si>
  <si>
    <t>SARMADI</t>
  </si>
  <si>
    <t>SURODADI</t>
  </si>
  <si>
    <t>SAPRIANTO</t>
  </si>
  <si>
    <t>AGUS BUDI ATMOKO</t>
  </si>
  <si>
    <t>TUMPAKREJO</t>
  </si>
  <si>
    <t>SOMIRAN</t>
  </si>
  <si>
    <t>AGUS WIDODO</t>
  </si>
  <si>
    <t>SARMIN</t>
  </si>
  <si>
    <t>SURATNO</t>
  </si>
  <si>
    <t>SUHONO</t>
  </si>
  <si>
    <t>MESIEM</t>
  </si>
  <si>
    <t>BENTIS</t>
  </si>
  <si>
    <t>RUKUN MAKMUR</t>
  </si>
  <si>
    <t>TUSIRIN</t>
  </si>
  <si>
    <t>DIDIK HARIANTO</t>
  </si>
  <si>
    <t>JATIDUWUR</t>
  </si>
  <si>
    <t>RUSMONO</t>
  </si>
  <si>
    <t>SUGENG</t>
  </si>
  <si>
    <t>PINDUL</t>
  </si>
  <si>
    <t>BAKTI TANI</t>
  </si>
  <si>
    <t>TOTOK SETYATMOKO</t>
  </si>
  <si>
    <t>G. Wonokerto</t>
  </si>
  <si>
    <t>Roni</t>
  </si>
  <si>
    <t>Aris</t>
  </si>
  <si>
    <t>Dwi</t>
  </si>
  <si>
    <t>Ngejring</t>
  </si>
  <si>
    <t>Sarnen</t>
  </si>
  <si>
    <t>Jarno</t>
  </si>
  <si>
    <t>Silan</t>
  </si>
  <si>
    <t>Parnianto</t>
  </si>
  <si>
    <t>Mursutin</t>
  </si>
  <si>
    <t>Guworejo</t>
  </si>
  <si>
    <t>Kateni</t>
  </si>
  <si>
    <t>Gedangan</t>
  </si>
  <si>
    <t>Miskam</t>
  </si>
  <si>
    <t>Kaliaren</t>
  </si>
  <si>
    <t>Rahmat</t>
  </si>
  <si>
    <t>Suraji</t>
  </si>
  <si>
    <t>Kuslan</t>
  </si>
  <si>
    <t>Sambi</t>
  </si>
  <si>
    <t>Danang</t>
  </si>
  <si>
    <t>SERENAN</t>
  </si>
  <si>
    <t>SUBUR</t>
  </si>
  <si>
    <t>SUGITO</t>
  </si>
  <si>
    <t>MARDI</t>
  </si>
  <si>
    <t>SAMANI</t>
  </si>
  <si>
    <t>TENGGAR</t>
  </si>
  <si>
    <t>SARMIDI</t>
  </si>
  <si>
    <t>SRI WAHYUNI</t>
  </si>
  <si>
    <t>MUSDI</t>
  </si>
  <si>
    <t>NGULUH</t>
  </si>
  <si>
    <t>SUROTO</t>
  </si>
  <si>
    <t>SUPANI</t>
  </si>
  <si>
    <t>PARLAN</t>
  </si>
  <si>
    <t>TALUNREJO</t>
  </si>
  <si>
    <t>HARTONO</t>
  </si>
  <si>
    <t>SUPRIYANTO</t>
  </si>
  <si>
    <t>PURWANTO</t>
  </si>
  <si>
    <t>SUKOHARJO</t>
  </si>
  <si>
    <t>SIDO TANI</t>
  </si>
  <si>
    <t>SUYADI</t>
  </si>
  <si>
    <t>SUHARI</t>
  </si>
  <si>
    <t>SUYADI SPd</t>
  </si>
  <si>
    <t>GESING</t>
  </si>
  <si>
    <t>MURIDIN</t>
  </si>
  <si>
    <t>SURAMIN</t>
  </si>
  <si>
    <t>SARMAN</t>
  </si>
  <si>
    <t>WIDORO</t>
  </si>
  <si>
    <t>SAKIMIN</t>
  </si>
  <si>
    <t>HERU UTOMO</t>
  </si>
  <si>
    <t>WINARTO</t>
  </si>
  <si>
    <t>TUMPAKWATU</t>
  </si>
  <si>
    <t>SODIKIN</t>
  </si>
  <si>
    <t>PONIRIN</t>
  </si>
  <si>
    <t>ISRO</t>
  </si>
  <si>
    <t>SIDIK M</t>
  </si>
  <si>
    <t>SRIYADI</t>
  </si>
  <si>
    <t>TUMPANG</t>
  </si>
  <si>
    <t>MARDI LARAS</t>
  </si>
  <si>
    <t>SUTARNO</t>
  </si>
  <si>
    <t>MARWET L</t>
  </si>
  <si>
    <t>TUSINO HS</t>
  </si>
  <si>
    <t>SINGKIL</t>
  </si>
  <si>
    <t>SARYOTO</t>
  </si>
  <si>
    <t>SUGENG A</t>
  </si>
  <si>
    <t>LANJUT</t>
  </si>
  <si>
    <t>PANDAN</t>
  </si>
  <si>
    <t>MUGI RAHAYU</t>
  </si>
  <si>
    <t>SRI WAHYONO</t>
  </si>
  <si>
    <t>SUKADI</t>
  </si>
  <si>
    <t>SONGLIDAH</t>
  </si>
  <si>
    <t>GAWE SANTOSO</t>
  </si>
  <si>
    <t>GIRIN</t>
  </si>
  <si>
    <t>GOTONG ROYONG</t>
  </si>
  <si>
    <t>TUMIJO</t>
  </si>
  <si>
    <t>KATENO</t>
  </si>
  <si>
    <t>POJOK</t>
  </si>
  <si>
    <t>SRI MULYO</t>
  </si>
  <si>
    <t>EDI PURWANTO</t>
  </si>
  <si>
    <t>MISRIANTO</t>
  </si>
  <si>
    <t>JUMANI</t>
  </si>
  <si>
    <t>EKO MAKARYO</t>
  </si>
  <si>
    <t>SIJAS</t>
  </si>
  <si>
    <t>SUNARDI</t>
  </si>
  <si>
    <t>SARTINI</t>
  </si>
  <si>
    <t>SUKITO</t>
  </si>
  <si>
    <t>SUPRIATI</t>
  </si>
  <si>
    <t>JELOK</t>
  </si>
  <si>
    <t>MARGO LARAS</t>
  </si>
  <si>
    <t>SOKIMIN</t>
  </si>
  <si>
    <t>SLAMET R</t>
  </si>
  <si>
    <t>HARNO</t>
  </si>
  <si>
    <t>SURUH</t>
  </si>
  <si>
    <t>GEDJAN</t>
  </si>
  <si>
    <t>SURAMAN</t>
  </si>
  <si>
    <t>SUKIMIN</t>
  </si>
  <si>
    <t>KARANGSEMPU</t>
  </si>
  <si>
    <t>MAJU LANCAR</t>
  </si>
  <si>
    <t>M JUMRONI</t>
  </si>
  <si>
    <t>JIMAN</t>
  </si>
  <si>
    <t>SARNO</t>
  </si>
  <si>
    <t>JATI</t>
  </si>
  <si>
    <t>SOKIRAN</t>
  </si>
  <si>
    <t>SUPRIYONO</t>
  </si>
  <si>
    <t>MARNIANTO</t>
  </si>
  <si>
    <t>TUKUL</t>
  </si>
  <si>
    <t>SRI REJEKI I</t>
  </si>
  <si>
    <t>TUGIMAN</t>
  </si>
  <si>
    <t>MOEMAR</t>
  </si>
  <si>
    <t>GONDANG MANIS</t>
  </si>
  <si>
    <t>SRI REJEKI II</t>
  </si>
  <si>
    <t>KATENEN</t>
  </si>
  <si>
    <t>KARNEN</t>
  </si>
  <si>
    <t>TRITIS</t>
  </si>
  <si>
    <t>SRI REJEKI III</t>
  </si>
  <si>
    <t>SUTAJI</t>
  </si>
  <si>
    <t>SOBO</t>
  </si>
  <si>
    <t>SRI REJEKI IV</t>
  </si>
  <si>
    <t>MISINO</t>
  </si>
  <si>
    <t>PANJANG</t>
  </si>
  <si>
    <t>KRAJAN LOR</t>
  </si>
  <si>
    <t>TANI RUKUN</t>
  </si>
  <si>
    <t>MOCH NURHADI</t>
  </si>
  <si>
    <t>WIDI NURWANTO</t>
  </si>
  <si>
    <t>UTAMA</t>
  </si>
  <si>
    <t>KLUMPIT</t>
  </si>
  <si>
    <t>SAMSURI</t>
  </si>
  <si>
    <t>PAMUJIANTO</t>
  </si>
  <si>
    <t>KADENI</t>
  </si>
  <si>
    <t>GOLO</t>
  </si>
  <si>
    <t>SIDO DADI I</t>
  </si>
  <si>
    <t>MUGIANTO</t>
  </si>
  <si>
    <t>NGRIJANG</t>
  </si>
  <si>
    <t>SIDO DADI II</t>
  </si>
  <si>
    <t>EKO HADI PRANOTO</t>
  </si>
  <si>
    <t>TUIMAN</t>
  </si>
  <si>
    <t>KRAJAN KIDUL</t>
  </si>
  <si>
    <t>SETYOADMADI</t>
  </si>
  <si>
    <t>KWT SEKAR ARUM SEJAHTERA</t>
  </si>
  <si>
    <t>SURANI</t>
  </si>
  <si>
    <t>SUPRAPTI</t>
  </si>
  <si>
    <t>SUMIRAH</t>
  </si>
  <si>
    <t>ASSALAM</t>
  </si>
  <si>
    <t>SALAM</t>
  </si>
  <si>
    <t>NONGKO</t>
  </si>
  <si>
    <t>BUDI MULYO</t>
  </si>
  <si>
    <t>JUMINO AL PURWANTO</t>
  </si>
  <si>
    <t>ANTON W</t>
  </si>
  <si>
    <t>GEDANGAN</t>
  </si>
  <si>
    <t>SUBARI</t>
  </si>
  <si>
    <t>DADI SUBUR</t>
  </si>
  <si>
    <t>TUKINO</t>
  </si>
  <si>
    <t>SONI ARIANTO</t>
  </si>
  <si>
    <t>KATENI</t>
  </si>
  <si>
    <t>KOTLIK</t>
  </si>
  <si>
    <t>GIRI MULYO</t>
  </si>
  <si>
    <t>LANGEN KARYO</t>
  </si>
  <si>
    <t>JUMIRAN</t>
  </si>
  <si>
    <t>SUWONO</t>
  </si>
  <si>
    <t>PAGERGUNUNG</t>
  </si>
  <si>
    <t>SUPADMO</t>
  </si>
  <si>
    <t>SALAK</t>
  </si>
  <si>
    <t>SUPARLAN</t>
  </si>
  <si>
    <t>SRINI</t>
  </si>
  <si>
    <t>TUMINO</t>
  </si>
  <si>
    <t>SIDOREJO</t>
  </si>
  <si>
    <t>SUGENG BASID</t>
  </si>
  <si>
    <t>ENDANG S. L.</t>
  </si>
  <si>
    <t>AGUNG SUTOTO</t>
  </si>
  <si>
    <t>KARANG ENDEK</t>
  </si>
  <si>
    <t>TRI HARYANTO</t>
  </si>
  <si>
    <t>SUWITO</t>
  </si>
  <si>
    <t>WIJIANTO</t>
  </si>
  <si>
    <t>PADI</t>
  </si>
  <si>
    <t>SUPARNO</t>
  </si>
  <si>
    <t>SRI WIDODO</t>
  </si>
  <si>
    <t>SANTOSO</t>
  </si>
  <si>
    <t>SRI MULATSIH</t>
  </si>
  <si>
    <t>SURADI MARYONO</t>
  </si>
  <si>
    <t>IMAM MAHMOEDI</t>
  </si>
  <si>
    <t>PRAYITNO SUWITO</t>
  </si>
  <si>
    <t>NGUDI UTOMO</t>
  </si>
  <si>
    <t>DJUMAIN</t>
  </si>
  <si>
    <t>TUKIMIN</t>
  </si>
  <si>
    <t>DRUJU</t>
  </si>
  <si>
    <t>WINARNO</t>
  </si>
  <si>
    <t>SUGENG RIYANTO</t>
  </si>
  <si>
    <t>KEPEK</t>
  </si>
  <si>
    <t>SETYO TUHU</t>
  </si>
  <si>
    <t>KATMADI</t>
  </si>
  <si>
    <t>TUGINO</t>
  </si>
  <si>
    <t>SUPRAYITNO</t>
  </si>
  <si>
    <t>BATU</t>
  </si>
  <si>
    <t>SUNARYO</t>
  </si>
  <si>
    <t>SUTINO</t>
  </si>
  <si>
    <t>JOKO PURNOMO</t>
  </si>
  <si>
    <t>JAJAR</t>
  </si>
  <si>
    <t>PADAS SUBUR</t>
  </si>
  <si>
    <t>SISWANTO</t>
  </si>
  <si>
    <t>ASHARI</t>
  </si>
  <si>
    <t>NGLAMPENG</t>
  </si>
  <si>
    <t>MISRAN</t>
  </si>
  <si>
    <t>SAMINAH</t>
  </si>
  <si>
    <t>RUSDI</t>
  </si>
  <si>
    <t>EDY PURWANTO</t>
  </si>
  <si>
    <t>AKHMAD HUSNI</t>
  </si>
  <si>
    <t>TEGUH WIYONO</t>
  </si>
  <si>
    <t>NGAMBAN</t>
  </si>
  <si>
    <t>MISNI</t>
  </si>
  <si>
    <t>SUPARMAN</t>
  </si>
  <si>
    <t>TUGIYAT</t>
  </si>
  <si>
    <t>JATEN</t>
  </si>
  <si>
    <t>JATI DIRI</t>
  </si>
  <si>
    <t>SUKATMAN</t>
  </si>
  <si>
    <t>KENTENG</t>
  </si>
  <si>
    <t>TEGUH RAHARJO</t>
  </si>
  <si>
    <t>BEJO</t>
  </si>
  <si>
    <t>WAHYUDI</t>
  </si>
  <si>
    <t>HERU</t>
  </si>
  <si>
    <t>ADI WIYONO</t>
  </si>
  <si>
    <t>NGLEBENG</t>
  </si>
  <si>
    <t>MISMANTO AL TEGUH SANTOSO</t>
  </si>
  <si>
    <t>BONREJO</t>
  </si>
  <si>
    <t>HASIL TANI</t>
  </si>
  <si>
    <t>JAGUNG</t>
  </si>
  <si>
    <t>TRI HARYONO</t>
  </si>
  <si>
    <t>SUHARTONO</t>
  </si>
  <si>
    <t>KASINO</t>
  </si>
  <si>
    <t>BELAH</t>
  </si>
  <si>
    <t>KARYA BIMA</t>
  </si>
  <si>
    <t>DIDIK NURHADI</t>
  </si>
  <si>
    <t>DEDI SUPRIYATNA</t>
  </si>
  <si>
    <t>GUNUNGSARI</t>
  </si>
  <si>
    <t>KARYA MAKMUR</t>
  </si>
  <si>
    <t>AGUS WALUYO</t>
  </si>
  <si>
    <t>JATISARI</t>
  </si>
  <si>
    <t>WARSIMIN</t>
  </si>
  <si>
    <t>MURSIDI</t>
  </si>
  <si>
    <t>SUHARNO</t>
  </si>
  <si>
    <t>TUGIRIN</t>
  </si>
  <si>
    <t>HASAN</t>
  </si>
  <si>
    <t>KARYA MANUNGGAL I</t>
  </si>
  <si>
    <t>SUMINTO</t>
  </si>
  <si>
    <t>WAHYU BUDI SUSILO</t>
  </si>
  <si>
    <t>WAHYU KUSLAWIYANA</t>
  </si>
  <si>
    <t>KARYA MANUNGGAL II</t>
  </si>
  <si>
    <t>WANDI</t>
  </si>
  <si>
    <t>SUHARYADI</t>
  </si>
  <si>
    <t>ARIS SUWANTO</t>
  </si>
  <si>
    <t>JUMAN</t>
  </si>
  <si>
    <t>KLEPU</t>
  </si>
  <si>
    <t>WIYOTO</t>
  </si>
  <si>
    <t>YANTO</t>
  </si>
  <si>
    <t>SINUNG</t>
  </si>
  <si>
    <t>MARSUDI MAKMUR I</t>
  </si>
  <si>
    <t>SOEKINO</t>
  </si>
  <si>
    <t>SUPAMI</t>
  </si>
  <si>
    <t>GIRAN</t>
  </si>
  <si>
    <t>MARSUDI MAKMUR II</t>
  </si>
  <si>
    <t>SLAMET RIYANTO</t>
  </si>
  <si>
    <t>RAFIKA EDI LISNANTO</t>
  </si>
  <si>
    <t>MARSUDI MAKMUR III</t>
  </si>
  <si>
    <t>AGUS LASIMAN</t>
  </si>
  <si>
    <t>TUNGGUL</t>
  </si>
  <si>
    <t>WANA LESTARI</t>
  </si>
  <si>
    <t>GATOT NURDI SARYANTO</t>
  </si>
  <si>
    <t xml:space="preserve">GLONGGONG  </t>
  </si>
  <si>
    <t>AGUS HARYANTO</t>
  </si>
  <si>
    <t>LEMAHBANG</t>
  </si>
  <si>
    <t>SUGIANTO</t>
  </si>
  <si>
    <t>NGELO</t>
  </si>
  <si>
    <t>PAINO</t>
  </si>
  <si>
    <t>WARIDI</t>
  </si>
  <si>
    <t>YATIMAN</t>
  </si>
  <si>
    <t>MISRADI</t>
  </si>
  <si>
    <t>PUGER</t>
  </si>
  <si>
    <t>SIDO MAJU I</t>
  </si>
  <si>
    <t>SUPATMI</t>
  </si>
  <si>
    <t>SIDO MAJU II</t>
  </si>
  <si>
    <t>WAGIMIN</t>
  </si>
  <si>
    <t>ASWENDI</t>
  </si>
  <si>
    <t>TALIP NUGROHO</t>
  </si>
  <si>
    <t>PARYONO</t>
  </si>
  <si>
    <t>RUDI M</t>
  </si>
  <si>
    <t>EDI P</t>
  </si>
  <si>
    <t>TURIREJO</t>
  </si>
  <si>
    <t>SARIJAN</t>
  </si>
  <si>
    <t>DUWET</t>
  </si>
  <si>
    <t xml:space="preserve">MISKAM </t>
  </si>
  <si>
    <t>WARU</t>
  </si>
  <si>
    <t>DADI MULYO</t>
  </si>
  <si>
    <t>TUMPAK</t>
  </si>
  <si>
    <t>JINANTO</t>
  </si>
  <si>
    <t>HARYONO</t>
  </si>
  <si>
    <t>NGANTIR</t>
  </si>
  <si>
    <t>SUJITO</t>
  </si>
  <si>
    <t>PRIYATNO</t>
  </si>
  <si>
    <t>SUMIATI</t>
  </si>
  <si>
    <t>PUJI M</t>
  </si>
  <si>
    <t>SULIYATI</t>
  </si>
  <si>
    <t>Cabai Merah</t>
  </si>
  <si>
    <t>Setyo , W</t>
  </si>
  <si>
    <t>Fajar, W</t>
  </si>
  <si>
    <t>Eko Sayekti</t>
  </si>
  <si>
    <t>Kambing</t>
  </si>
  <si>
    <t>Triono</t>
  </si>
  <si>
    <t>Sirno Al Yasir</t>
  </si>
  <si>
    <t>Barimin</t>
  </si>
  <si>
    <t>Giman</t>
  </si>
  <si>
    <t>Tratas</t>
  </si>
  <si>
    <t>Imam Haris</t>
  </si>
  <si>
    <t>Hamzah</t>
  </si>
  <si>
    <t>Ngagik</t>
  </si>
  <si>
    <t>Cabai merah</t>
  </si>
  <si>
    <t>Riyanto (b)</t>
  </si>
  <si>
    <t>Gunung Subur</t>
  </si>
  <si>
    <t>Padi sawah</t>
  </si>
  <si>
    <t>Darmanto</t>
  </si>
  <si>
    <t>Imam ,S</t>
  </si>
  <si>
    <t>Setiyono</t>
  </si>
  <si>
    <t>Gunung Subur I</t>
  </si>
  <si>
    <t>Bawang merah</t>
  </si>
  <si>
    <t>Pujihadi</t>
  </si>
  <si>
    <t>Supriono</t>
  </si>
  <si>
    <t>Dasri</t>
  </si>
  <si>
    <t>Gianto</t>
  </si>
  <si>
    <t>Suroloyo   I</t>
  </si>
  <si>
    <t>Agus ,P</t>
  </si>
  <si>
    <t>Sarmun</t>
  </si>
  <si>
    <t>Seni</t>
  </si>
  <si>
    <t>Sapi</t>
  </si>
  <si>
    <t>Seto</t>
  </si>
  <si>
    <t>Sunaryo</t>
  </si>
  <si>
    <t>Sudarman</t>
  </si>
  <si>
    <t>Khoiri</t>
  </si>
  <si>
    <t>Sarifudin</t>
  </si>
  <si>
    <t>Saren</t>
  </si>
  <si>
    <t>Maju Mapan</t>
  </si>
  <si>
    <t>Kholid , M</t>
  </si>
  <si>
    <t>Kamid</t>
  </si>
  <si>
    <t>Tubitnun</t>
  </si>
  <si>
    <t>Heru , S</t>
  </si>
  <si>
    <t>Isroni</t>
  </si>
  <si>
    <t>Supeno</t>
  </si>
  <si>
    <t>Panjing</t>
  </si>
  <si>
    <t>Tumirin</t>
  </si>
  <si>
    <t>Sido Makmur  4</t>
  </si>
  <si>
    <t>Untung, S</t>
  </si>
  <si>
    <t>Suyitno</t>
  </si>
  <si>
    <t>Sidik Pramono</t>
  </si>
  <si>
    <t>Sumaryono</t>
  </si>
  <si>
    <t>Kaliwungu</t>
  </si>
  <si>
    <t>Yatiman</t>
  </si>
  <si>
    <t>Warto</t>
  </si>
  <si>
    <t>Nggrening  I</t>
  </si>
  <si>
    <t>Tumani</t>
  </si>
  <si>
    <t>Sukirman</t>
  </si>
  <si>
    <t>Budianto</t>
  </si>
  <si>
    <t>Nggrening  II</t>
  </si>
  <si>
    <t>Slamet , R</t>
  </si>
  <si>
    <t>Suweno</t>
  </si>
  <si>
    <t>KWT. Kartini</t>
  </si>
  <si>
    <t>Suparwiyati</t>
  </si>
  <si>
    <t>Marwiyah</t>
  </si>
  <si>
    <t>Sudarti</t>
  </si>
  <si>
    <t>KWT. Sido Mukti</t>
  </si>
  <si>
    <t>Ternak Kelinci</t>
  </si>
  <si>
    <t>Suyatmini</t>
  </si>
  <si>
    <t>Nikmah</t>
  </si>
  <si>
    <t>Erna</t>
  </si>
  <si>
    <t>Bintang Timur</t>
  </si>
  <si>
    <t>Horti + Ternak</t>
  </si>
  <si>
    <t>Agung W</t>
  </si>
  <si>
    <t>Tri Wahyudi</t>
  </si>
  <si>
    <t>Sunyoto</t>
  </si>
  <si>
    <t xml:space="preserve">Pemula </t>
  </si>
  <si>
    <t>Cipto Tani</t>
  </si>
  <si>
    <t>Pontjo, S.H</t>
  </si>
  <si>
    <t>Muhlodi</t>
  </si>
  <si>
    <t>Tumino</t>
  </si>
  <si>
    <t>Turaji</t>
  </si>
  <si>
    <t>Tuyono</t>
  </si>
  <si>
    <t>Muryadi</t>
  </si>
  <si>
    <t>Unggul</t>
  </si>
  <si>
    <t>Pendem</t>
  </si>
  <si>
    <t>Kuswanto</t>
  </si>
  <si>
    <t>Setya Kawan</t>
  </si>
  <si>
    <t>Biofarmaka</t>
  </si>
  <si>
    <t>Sargini</t>
  </si>
  <si>
    <t>Tumiran</t>
  </si>
  <si>
    <t>Eko Muryono</t>
  </si>
  <si>
    <t>Blimbing Tani</t>
  </si>
  <si>
    <t>Siswadi</t>
  </si>
  <si>
    <t>Sunarno</t>
  </si>
  <si>
    <t>Sumber Urip</t>
  </si>
  <si>
    <t>Kun C.</t>
  </si>
  <si>
    <t>Serianto</t>
  </si>
  <si>
    <t>sujarno</t>
  </si>
  <si>
    <t>Edi Suwito</t>
  </si>
  <si>
    <t>Eko Sudaro</t>
  </si>
  <si>
    <t>Muryono</t>
  </si>
  <si>
    <t>Hanip W</t>
  </si>
  <si>
    <t>Nurhabib</t>
  </si>
  <si>
    <t>Riskawati</t>
  </si>
  <si>
    <t>Somiran</t>
  </si>
  <si>
    <t>Sugeng, S</t>
  </si>
  <si>
    <t>Jumarin</t>
  </si>
  <si>
    <t>Yuliyanto</t>
  </si>
  <si>
    <t>Muh. Sipun</t>
  </si>
  <si>
    <t>Laminudin</t>
  </si>
  <si>
    <t>Waito</t>
  </si>
  <si>
    <t>Yanto</t>
  </si>
  <si>
    <t>Sukato</t>
  </si>
  <si>
    <t>Meswan</t>
  </si>
  <si>
    <t>Endah Peni</t>
  </si>
  <si>
    <t>Ternak Sapi</t>
  </si>
  <si>
    <t>Sakri</t>
  </si>
  <si>
    <t>E .Heriyanto</t>
  </si>
  <si>
    <t>Sendi</t>
  </si>
  <si>
    <t>Tukimun</t>
  </si>
  <si>
    <t>Sari Rejeki</t>
  </si>
  <si>
    <t>Makun</t>
  </si>
  <si>
    <t>Sepring</t>
  </si>
  <si>
    <t>Tumaji</t>
  </si>
  <si>
    <t>Sono</t>
  </si>
  <si>
    <t>Widodo Mulyo</t>
  </si>
  <si>
    <t>Jiman</t>
  </si>
  <si>
    <t>Kimun</t>
  </si>
  <si>
    <t>Sidam</t>
  </si>
  <si>
    <t>Partu</t>
  </si>
  <si>
    <t>Parmin</t>
  </si>
  <si>
    <t>Mislan</t>
  </si>
  <si>
    <t>KWT.Hayati</t>
  </si>
  <si>
    <t>Sri, N</t>
  </si>
  <si>
    <t>Sujiem</t>
  </si>
  <si>
    <t>Padi,jagung,horti,bun,nak</t>
  </si>
  <si>
    <t>Kasno</t>
  </si>
  <si>
    <t>Mursidin</t>
  </si>
  <si>
    <t>Suryoto</t>
  </si>
  <si>
    <t>Supanto</t>
  </si>
  <si>
    <t>Sahmad</t>
  </si>
  <si>
    <t>Sunadji</t>
  </si>
  <si>
    <t>Eko Hermanto</t>
  </si>
  <si>
    <t>Suharsoyo</t>
  </si>
  <si>
    <t>Ali Mustafa</t>
  </si>
  <si>
    <t>Tri Irwanto</t>
  </si>
  <si>
    <t>Watukudi</t>
  </si>
  <si>
    <t>Tani Subur 01</t>
  </si>
  <si>
    <t xml:space="preserve">Susanto </t>
  </si>
  <si>
    <t>Sutaji</t>
  </si>
  <si>
    <t>Tani Subur 02</t>
  </si>
  <si>
    <t>Saryadi</t>
  </si>
  <si>
    <t>Sumadi</t>
  </si>
  <si>
    <t>Wito</t>
  </si>
  <si>
    <t>Ahmad Juri</t>
  </si>
  <si>
    <t>Samidi</t>
  </si>
  <si>
    <t>Wargo Rukun</t>
  </si>
  <si>
    <t>Saiman</t>
  </si>
  <si>
    <t>Marmin</t>
  </si>
  <si>
    <t>Katijo</t>
  </si>
  <si>
    <t>Paimun</t>
  </si>
  <si>
    <t>Bendo</t>
  </si>
  <si>
    <t>Pangadi</t>
  </si>
  <si>
    <t>Budi Utomo</t>
  </si>
  <si>
    <t>Tukijan</t>
  </si>
  <si>
    <t>Rusmadi</t>
  </si>
  <si>
    <t>Sarbini</t>
  </si>
  <si>
    <t>Saryoto</t>
  </si>
  <si>
    <t>Paino</t>
  </si>
  <si>
    <t>Pujiman</t>
  </si>
  <si>
    <t>Ngudi Subur 01</t>
  </si>
  <si>
    <t>Hadi Warsito</t>
  </si>
  <si>
    <t>Narjito</t>
  </si>
  <si>
    <t>Ngudi Subur 02</t>
  </si>
  <si>
    <t>S. Parmin</t>
  </si>
  <si>
    <t>Supandi</t>
  </si>
  <si>
    <t>Amir</t>
  </si>
  <si>
    <t>Riyadi</t>
  </si>
  <si>
    <t>Nalangan</t>
  </si>
  <si>
    <t>Tani Utomo</t>
  </si>
  <si>
    <t>Satiran</t>
  </si>
  <si>
    <t>Rohmat Widodo</t>
  </si>
  <si>
    <t>Heru Setyono</t>
  </si>
  <si>
    <t>Rohmat Aminudin</t>
  </si>
  <si>
    <t>Heru Susanto</t>
  </si>
  <si>
    <t>Sarengat</t>
  </si>
  <si>
    <t>Sidodadi</t>
  </si>
  <si>
    <t>Supardi</t>
  </si>
  <si>
    <t>Bari</t>
  </si>
  <si>
    <t>Ponen</t>
  </si>
  <si>
    <t>Jumino</t>
  </si>
  <si>
    <t>Mariyun</t>
  </si>
  <si>
    <t>Markum</t>
  </si>
  <si>
    <t>Ngudi Subur III</t>
  </si>
  <si>
    <t>Miskat</t>
  </si>
  <si>
    <t>Mujiman</t>
  </si>
  <si>
    <t>Mulyadi</t>
  </si>
  <si>
    <t>Hargo Makmur</t>
  </si>
  <si>
    <t>Nyamin</t>
  </si>
  <si>
    <t>Edi Sumarno</t>
  </si>
  <si>
    <t>Kamboja</t>
  </si>
  <si>
    <t>Olahan Biofarmaka</t>
  </si>
  <si>
    <t>Nikmatul L</t>
  </si>
  <si>
    <t>Sumarmi</t>
  </si>
  <si>
    <t>Retno Wuryanti</t>
  </si>
  <si>
    <t>PADI,JAGUNG</t>
  </si>
  <si>
    <t>SUPRIADI</t>
  </si>
  <si>
    <t>BUDIONO</t>
  </si>
  <si>
    <t>BANYURIPAN</t>
  </si>
  <si>
    <t>Tukiman</t>
  </si>
  <si>
    <t>SOIMIN</t>
  </si>
  <si>
    <t>GIMIN</t>
  </si>
  <si>
    <t>NGRANDU</t>
  </si>
  <si>
    <t>Pauji</t>
  </si>
  <si>
    <t>Sukatni</t>
  </si>
  <si>
    <t>Maryadi</t>
  </si>
  <si>
    <t>JETIS</t>
  </si>
  <si>
    <t>Jumani</t>
  </si>
  <si>
    <t>KLANTANG</t>
  </si>
  <si>
    <t>Sulianto</t>
  </si>
  <si>
    <t>Tuimin</t>
  </si>
  <si>
    <t>Saridi</t>
  </si>
  <si>
    <t>NGERJO</t>
  </si>
  <si>
    <t>Sutardi</t>
  </si>
  <si>
    <t>Ajwan.s</t>
  </si>
  <si>
    <t>Suwandi</t>
  </si>
  <si>
    <t>Ruli Fidianto</t>
  </si>
  <si>
    <t>Surgianto</t>
  </si>
  <si>
    <t>GIMAN</t>
  </si>
  <si>
    <t>Saiful Hadi</t>
  </si>
  <si>
    <t>KWT BLOROK MADU</t>
  </si>
  <si>
    <t>WINARTI</t>
  </si>
  <si>
    <t>Manirah</t>
  </si>
  <si>
    <t>Paijem</t>
  </si>
  <si>
    <t>KWT MAWAR PUTIH</t>
  </si>
  <si>
    <t>ENDAR WAHYUNI</t>
  </si>
  <si>
    <t>SRIATUN</t>
  </si>
  <si>
    <t>Tuyatin</t>
  </si>
  <si>
    <t>HADI WINARNO</t>
  </si>
  <si>
    <t>SUDARTO</t>
  </si>
  <si>
    <t>ASWAN SUTRISNO</t>
  </si>
  <si>
    <t>WINARDI</t>
  </si>
  <si>
    <t>ANTON WIDIANTORO</t>
  </si>
  <si>
    <t>KURNIAWAN</t>
  </si>
  <si>
    <t>PEMULA</t>
  </si>
  <si>
    <t>NUR HANDOKO</t>
  </si>
  <si>
    <t>DIDIK PRIYADI</t>
  </si>
  <si>
    <t>RUDI HARYONO</t>
  </si>
  <si>
    <t>Rimpang,padi,jagung,porang</t>
  </si>
  <si>
    <t>M.IRFAN</t>
  </si>
  <si>
    <t>SAKRI</t>
  </si>
  <si>
    <t>TUGU</t>
  </si>
  <si>
    <t>Padi,Rimpang, Cabe,porang</t>
  </si>
  <si>
    <t>LASNO</t>
  </si>
  <si>
    <t>SUSANTO</t>
  </si>
  <si>
    <t>MARJI</t>
  </si>
  <si>
    <t>Padi,Rimpang,cabe, bawang merah,porang</t>
  </si>
  <si>
    <t>SUPARMONO</t>
  </si>
  <si>
    <t>BIBIT SETYO BUDI</t>
  </si>
  <si>
    <t>BUBAKAN</t>
  </si>
  <si>
    <t>Jagung,Rimpang,porang</t>
  </si>
  <si>
    <t>KATELAN</t>
  </si>
  <si>
    <t>TUMIJAN</t>
  </si>
  <si>
    <t>WADIANTO</t>
  </si>
  <si>
    <t>SUWANDI</t>
  </si>
  <si>
    <t>GINO</t>
  </si>
  <si>
    <t>NUR WAHYUDIN</t>
  </si>
  <si>
    <t>GAMPENG</t>
  </si>
  <si>
    <t>Cabe,Padi,Jagung,porang</t>
  </si>
  <si>
    <t>SOGI</t>
  </si>
  <si>
    <t>MESERI</t>
  </si>
  <si>
    <t>Padi,Rimpang,porang</t>
  </si>
  <si>
    <t>M.JAIZ</t>
  </si>
  <si>
    <t>SUYANTO SP.d</t>
  </si>
  <si>
    <t>SARDIANTO</t>
  </si>
  <si>
    <t>BOYAMIN</t>
  </si>
  <si>
    <t>KUSRIANTO</t>
  </si>
  <si>
    <t>TAWANG</t>
  </si>
  <si>
    <t>TUKIJO</t>
  </si>
  <si>
    <t>WASNO</t>
  </si>
  <si>
    <t>Padi,Rimpang,porang,cabe</t>
  </si>
  <si>
    <t>PARNI</t>
  </si>
  <si>
    <t>TUNARI</t>
  </si>
  <si>
    <t>TRIONO</t>
  </si>
  <si>
    <t>SUTEGO</t>
  </si>
  <si>
    <t>TUYAMIN</t>
  </si>
  <si>
    <t>TUKIRAN</t>
  </si>
  <si>
    <t>KRACAN</t>
  </si>
  <si>
    <t>BINI</t>
  </si>
  <si>
    <t>S.A.SYARIFUDIN</t>
  </si>
  <si>
    <t>TUIMIN</t>
  </si>
  <si>
    <t>WARNO</t>
  </si>
  <si>
    <t>SARLANTO</t>
  </si>
  <si>
    <t>MELATI</t>
  </si>
  <si>
    <t>Tempe,Jamu Instan</t>
  </si>
  <si>
    <t>SUWARNI</t>
  </si>
  <si>
    <t>RIBUT DWIATI</t>
  </si>
  <si>
    <t>SUMARSIH</t>
  </si>
  <si>
    <t>Rengginang,jamu instan</t>
  </si>
  <si>
    <t>SRI RETNO MULYANTI</t>
  </si>
  <si>
    <t>SURATMI</t>
  </si>
  <si>
    <t>APRILIANI EKA PANTRIA</t>
  </si>
  <si>
    <t>Padi,Rimpang,porang,ayam petelur</t>
  </si>
  <si>
    <t>SUPANTO</t>
  </si>
  <si>
    <t>TRI SURANTO</t>
  </si>
  <si>
    <t>Tan Pangan ,Hort,Perkebunan,rimpang</t>
  </si>
  <si>
    <t>Mujianto</t>
  </si>
  <si>
    <t>Yasir</t>
  </si>
  <si>
    <t xml:space="preserve">SIDO MULYO </t>
  </si>
  <si>
    <t>KETRO</t>
  </si>
  <si>
    <t>Wiyanto</t>
  </si>
  <si>
    <t>Tukino</t>
  </si>
  <si>
    <t>Saimun</t>
  </si>
  <si>
    <t>Ernawan</t>
  </si>
  <si>
    <t>Yunita</t>
  </si>
  <si>
    <t>Sriyanto</t>
  </si>
  <si>
    <t>NGINUMAN</t>
  </si>
  <si>
    <t xml:space="preserve">SIDO MUKTI </t>
  </si>
  <si>
    <t>Jaki</t>
  </si>
  <si>
    <t>WERUTEKLOK</t>
  </si>
  <si>
    <t>Sahroni</t>
  </si>
  <si>
    <t>Umi aslikah</t>
  </si>
  <si>
    <t>Rusminingsih</t>
  </si>
  <si>
    <t>Parnu</t>
  </si>
  <si>
    <t>Winarsih</t>
  </si>
  <si>
    <t>Sarmi</t>
  </si>
  <si>
    <t>Yatun</t>
  </si>
  <si>
    <t>Praningtyas</t>
  </si>
  <si>
    <t>Sumiati</t>
  </si>
  <si>
    <t>Sugiyati</t>
  </si>
  <si>
    <t>Damiati</t>
  </si>
  <si>
    <t>Titik suprapti</t>
  </si>
  <si>
    <t>SIDO MULYO I</t>
  </si>
  <si>
    <t>Sunarto juni</t>
  </si>
  <si>
    <t>Alwin</t>
  </si>
  <si>
    <t>Saman</t>
  </si>
  <si>
    <t>Nita  yuliana</t>
  </si>
  <si>
    <t>Soinah</t>
  </si>
  <si>
    <t>Nursuhudi</t>
  </si>
  <si>
    <t xml:space="preserve">Watini </t>
  </si>
  <si>
    <t>Suliyah</t>
  </si>
  <si>
    <t>Iwan</t>
  </si>
  <si>
    <t>Dusun Kendal</t>
  </si>
  <si>
    <t>Anggiat Tani</t>
  </si>
  <si>
    <t>Jagung,padi</t>
  </si>
  <si>
    <t>Didik.s</t>
  </si>
  <si>
    <t>Didik R.</t>
  </si>
  <si>
    <t>Serba Tani</t>
  </si>
  <si>
    <t>Sumarwan</t>
  </si>
  <si>
    <t>Tumiyo</t>
  </si>
  <si>
    <t>Dusun Ngrejo</t>
  </si>
  <si>
    <t xml:space="preserve"> Margo Mulyo Satu</t>
  </si>
  <si>
    <t>Bejo Suyanto</t>
  </si>
  <si>
    <t xml:space="preserve"> Margo Mulyo Dua</t>
  </si>
  <si>
    <t>Kijan</t>
  </si>
  <si>
    <t>Misman</t>
  </si>
  <si>
    <t>Sarnu</t>
  </si>
  <si>
    <t xml:space="preserve"> Margo Mulyo Tiga</t>
  </si>
  <si>
    <t>Srianto</t>
  </si>
  <si>
    <t>Jurianto</t>
  </si>
  <si>
    <t>Tobi Nurcahyo</t>
  </si>
  <si>
    <t>Dusun Bendo</t>
  </si>
  <si>
    <t xml:space="preserve"> Ngudi Mulyo</t>
  </si>
  <si>
    <t>Rusjanto</t>
  </si>
  <si>
    <t>Paryanto</t>
  </si>
  <si>
    <t>Toeran</t>
  </si>
  <si>
    <t>Suparlin</t>
  </si>
  <si>
    <t>Dusun Suren</t>
  </si>
  <si>
    <t xml:space="preserve"> Ngudi Tani</t>
  </si>
  <si>
    <t>Slamet Suharjo</t>
  </si>
  <si>
    <t>Harjito</t>
  </si>
  <si>
    <t>Dusun Gondang legi</t>
  </si>
  <si>
    <t>Margo Makmur Satu</t>
  </si>
  <si>
    <t>Sufrendi</t>
  </si>
  <si>
    <t>Margo Makmur Dua</t>
  </si>
  <si>
    <t>Katni</t>
  </si>
  <si>
    <t>Margo Makmur Tiga</t>
  </si>
  <si>
    <t>Imam Agus Santoso</t>
  </si>
  <si>
    <t>Agung Prasetyo Nugroho</t>
  </si>
  <si>
    <t>Sarwoto</t>
  </si>
  <si>
    <t>Dusun Jatiroto</t>
  </si>
  <si>
    <t>Muda Tani Satu</t>
  </si>
  <si>
    <t>Risky rudika</t>
  </si>
  <si>
    <t>Subandi</t>
  </si>
  <si>
    <t>Muda tani Dua</t>
  </si>
  <si>
    <t>Kwt Kenanga</t>
  </si>
  <si>
    <t>Ternak,sayuran</t>
  </si>
  <si>
    <t>Rudatiningsih</t>
  </si>
  <si>
    <t>Hendri S.</t>
  </si>
  <si>
    <t>Murtini</t>
  </si>
  <si>
    <t xml:space="preserve">MUGI LESTARI </t>
  </si>
  <si>
    <t>Padi,Jagung</t>
  </si>
  <si>
    <t>Dasmanto</t>
  </si>
  <si>
    <t>Eko Wahyudi</t>
  </si>
  <si>
    <t>Akhmadi</t>
  </si>
  <si>
    <t>Hendro CW</t>
  </si>
  <si>
    <t>Sumari</t>
  </si>
  <si>
    <t>SAMPRAN</t>
  </si>
  <si>
    <t>Agus Supriyatno</t>
  </si>
  <si>
    <t>Muhamad Fajar</t>
  </si>
  <si>
    <t>PINGGIR</t>
  </si>
  <si>
    <t>Pawianto</t>
  </si>
  <si>
    <t>Rohmad Widiyanto</t>
  </si>
  <si>
    <t>Dwi Erma Irawanto</t>
  </si>
  <si>
    <t>Gitoyo</t>
  </si>
  <si>
    <t>Agung Sri Wahyudi</t>
  </si>
  <si>
    <t>Rimun</t>
  </si>
  <si>
    <t xml:space="preserve">Supriyanto 
</t>
  </si>
  <si>
    <t>Arfendi</t>
  </si>
  <si>
    <t>Mananto</t>
  </si>
  <si>
    <t>Abu Nasir</t>
  </si>
  <si>
    <t>Aris setiawan</t>
  </si>
  <si>
    <t>Nanang Hariyadi</t>
  </si>
  <si>
    <t>BANARAN</t>
  </si>
  <si>
    <t>Tumijan</t>
  </si>
  <si>
    <t>Hariyoso</t>
  </si>
  <si>
    <t>Lamin</t>
  </si>
  <si>
    <t>Muhamad Gupron</t>
  </si>
  <si>
    <t>Marno</t>
  </si>
  <si>
    <t>PETUNGULUNG</t>
  </si>
  <si>
    <t>Lasni</t>
  </si>
  <si>
    <t>Hadi Sucipto</t>
  </si>
  <si>
    <t>Sutato</t>
  </si>
  <si>
    <t>Sudarni</t>
  </si>
  <si>
    <t>MEKAR SARI (KWT)</t>
  </si>
  <si>
    <t>Harmini</t>
  </si>
  <si>
    <t>Putri Aulia Pangesty</t>
  </si>
  <si>
    <t>Nurkayati</t>
  </si>
  <si>
    <t>SAMPIRAN</t>
  </si>
  <si>
    <t>SARI MULYO ( KWT )</t>
  </si>
  <si>
    <t>Tutik Ariani</t>
  </si>
  <si>
    <t>Dwi Winarsih</t>
  </si>
  <si>
    <t>Muji Rahayu</t>
  </si>
  <si>
    <t>KRAJANLOR</t>
  </si>
  <si>
    <t>SAKTI I</t>
  </si>
  <si>
    <t>38.44</t>
  </si>
  <si>
    <t>JEPRI WAHYUDI</t>
  </si>
  <si>
    <t>ADI PRAMONO</t>
  </si>
  <si>
    <t>EKO CAHYONO</t>
  </si>
  <si>
    <t>DLISEN</t>
  </si>
  <si>
    <t>SAKTI II</t>
  </si>
  <si>
    <t>26.01</t>
  </si>
  <si>
    <t>SUMINI</t>
  </si>
  <si>
    <t>SUTARDI</t>
  </si>
  <si>
    <t>SUHARJONO</t>
  </si>
  <si>
    <t>KRAJANKIDUL</t>
  </si>
  <si>
    <t>SAKTI III</t>
  </si>
  <si>
    <t>28.74</t>
  </si>
  <si>
    <t>LANGGENG SETIYONO</t>
  </si>
  <si>
    <t>ZENI ASIA</t>
  </si>
  <si>
    <t>SURYANI</t>
  </si>
  <si>
    <t>MARON</t>
  </si>
  <si>
    <t>SAKTI IV</t>
  </si>
  <si>
    <t>39.84</t>
  </si>
  <si>
    <t>AGUS PRIYANTO</t>
  </si>
  <si>
    <t>SULARNO</t>
  </si>
  <si>
    <t>SAYUTI</t>
  </si>
  <si>
    <t>SENGON</t>
  </si>
  <si>
    <t>SAKTI V</t>
  </si>
  <si>
    <t>29.97</t>
  </si>
  <si>
    <t>SUWONDO</t>
  </si>
  <si>
    <t>SUMARYONO</t>
  </si>
  <si>
    <t>KUEN</t>
  </si>
  <si>
    <t>SAKTI VI</t>
  </si>
  <si>
    <t>16.82</t>
  </si>
  <si>
    <t>YOKO</t>
  </si>
  <si>
    <t>JUMENI</t>
  </si>
  <si>
    <t>TATI</t>
  </si>
  <si>
    <t>SAKTI VII</t>
  </si>
  <si>
    <t>32.50</t>
  </si>
  <si>
    <t>KUSNI</t>
  </si>
  <si>
    <t>DOKPUCUNG</t>
  </si>
  <si>
    <t>SAKTI VIII</t>
  </si>
  <si>
    <t>12.97</t>
  </si>
  <si>
    <t>MESRAN</t>
  </si>
  <si>
    <t>SUNARMI</t>
  </si>
  <si>
    <t>NGASEM</t>
  </si>
  <si>
    <t>SAKTI IX</t>
  </si>
  <si>
    <t>17.79</t>
  </si>
  <si>
    <t>SUKARNO</t>
  </si>
  <si>
    <t>SUYONO</t>
  </si>
  <si>
    <t>BANGUNSARI</t>
  </si>
  <si>
    <t>SAKTI X</t>
  </si>
  <si>
    <t>15.06</t>
  </si>
  <si>
    <t>TIMBUL WIYONO</t>
  </si>
  <si>
    <t>ANDRY</t>
  </si>
  <si>
    <t>DERSONO</t>
  </si>
  <si>
    <t>SAKTI XI</t>
  </si>
  <si>
    <t>26.30</t>
  </si>
  <si>
    <t>SRI NINGSIH</t>
  </si>
  <si>
    <t>SUTINI</t>
  </si>
  <si>
    <t>DOKBALONG</t>
  </si>
  <si>
    <t>SAKTI XII</t>
  </si>
  <si>
    <t>23.70</t>
  </si>
  <si>
    <t>SUYOTO</t>
  </si>
  <si>
    <t>SUPARTI</t>
  </si>
  <si>
    <t>GITO</t>
  </si>
  <si>
    <t>BULUBESAR</t>
  </si>
  <si>
    <t>SAKTI XIII</t>
  </si>
  <si>
    <t>26.45</t>
  </si>
  <si>
    <t>SUYATNI</t>
  </si>
  <si>
    <t>SURYANTO</t>
  </si>
  <si>
    <t>PAGER</t>
  </si>
  <si>
    <t>SAKTI XIV</t>
  </si>
  <si>
    <t>23.00</t>
  </si>
  <si>
    <t>ANDI SULISTIANTO</t>
  </si>
  <si>
    <t>SRI WINARNI</t>
  </si>
  <si>
    <t>SAKTI XV</t>
  </si>
  <si>
    <t>31.09</t>
  </si>
  <si>
    <t>ANDITA EFENDI</t>
  </si>
  <si>
    <t>SUMARDI</t>
  </si>
  <si>
    <t>TUBARI</t>
  </si>
  <si>
    <t>SUMUR</t>
  </si>
  <si>
    <t>SAKTI XVII</t>
  </si>
  <si>
    <t>15.52</t>
  </si>
  <si>
    <t>MADAIM</t>
  </si>
  <si>
    <t>RAMIN</t>
  </si>
  <si>
    <t>PLIPIR</t>
  </si>
  <si>
    <t xml:space="preserve">SAKTI XVI </t>
  </si>
  <si>
    <t>13.37</t>
  </si>
  <si>
    <t>SUPENO</t>
  </si>
  <si>
    <t>SURAHMIN</t>
  </si>
  <si>
    <t>DONDONG</t>
  </si>
  <si>
    <t>SAKTI XVIII</t>
  </si>
  <si>
    <t>28.01</t>
  </si>
  <si>
    <t>SLAMET EKO SAPUTRO</t>
  </si>
  <si>
    <t>SUHADI</t>
  </si>
  <si>
    <t>DEMANGMALANG</t>
  </si>
  <si>
    <t>SAKTI XIX</t>
  </si>
  <si>
    <t>19.44</t>
  </si>
  <si>
    <t>EDI SUYANTO</t>
  </si>
  <si>
    <t>RUDI ERWANTO</t>
  </si>
  <si>
    <t>SUPRAPTO</t>
  </si>
  <si>
    <t>GONDANG</t>
  </si>
  <si>
    <t>GONDANG REJO I</t>
  </si>
  <si>
    <t>44.24</t>
  </si>
  <si>
    <t>ROMELAN</t>
  </si>
  <si>
    <t>WASIM</t>
  </si>
  <si>
    <t>KRISNAWATI</t>
  </si>
  <si>
    <t>PAGUTAN</t>
  </si>
  <si>
    <t>GONDANG REJO II</t>
  </si>
  <si>
    <t>23.82</t>
  </si>
  <si>
    <t>TUNIANTO</t>
  </si>
  <si>
    <t>SRI MARYATI</t>
  </si>
  <si>
    <t>BAKSARI</t>
  </si>
  <si>
    <t>GONDANG REJO V</t>
  </si>
  <si>
    <t>25.26</t>
  </si>
  <si>
    <t>GIYONO</t>
  </si>
  <si>
    <t>SOGIMUN</t>
  </si>
  <si>
    <t>SESO</t>
  </si>
  <si>
    <t>GONDANG REJO VIII</t>
  </si>
  <si>
    <t>17.29</t>
  </si>
  <si>
    <t>UMI UMAYAH</t>
  </si>
  <si>
    <t>PRINGKUKU</t>
  </si>
  <si>
    <t>18.70</t>
  </si>
  <si>
    <t>MURYADI</t>
  </si>
  <si>
    <t>SUKARNI</t>
  </si>
  <si>
    <t>ROSID AGUS P.</t>
  </si>
  <si>
    <t xml:space="preserve">PRINGKUKU </t>
  </si>
  <si>
    <t>14.58</t>
  </si>
  <si>
    <t>BIBIT</t>
  </si>
  <si>
    <t>MULYANTO</t>
  </si>
  <si>
    <t>21.56</t>
  </si>
  <si>
    <t>SUHARDI</t>
  </si>
  <si>
    <t>SUKAMTO</t>
  </si>
  <si>
    <t>DJUMAN S.</t>
  </si>
  <si>
    <t>JODOG</t>
  </si>
  <si>
    <t>87.28</t>
  </si>
  <si>
    <t>JEMIN</t>
  </si>
  <si>
    <t>JOKO SUSENO</t>
  </si>
  <si>
    <t>ARIF WIBOWO</t>
  </si>
  <si>
    <t>PINDUL MAKMUR</t>
  </si>
  <si>
    <t>SUPARNI</t>
  </si>
  <si>
    <t>SUYATMI</t>
  </si>
  <si>
    <t xml:space="preserve">KARYA MAKMUR </t>
  </si>
  <si>
    <t>36.92</t>
  </si>
  <si>
    <t>BIBIT SUMANTO</t>
  </si>
  <si>
    <t>AGUS</t>
  </si>
  <si>
    <t>YUNI LASMONO</t>
  </si>
  <si>
    <t>21.66</t>
  </si>
  <si>
    <t>LAMIYUN</t>
  </si>
  <si>
    <t>SUMARNI</t>
  </si>
  <si>
    <t>TRI PANCA</t>
  </si>
  <si>
    <t>WAYAHMAKMUR</t>
  </si>
  <si>
    <t>28.93</t>
  </si>
  <si>
    <t>NUR PRIONO</t>
  </si>
  <si>
    <t>RINI W.</t>
  </si>
  <si>
    <t>KEMBANG REJO</t>
  </si>
  <si>
    <t>7.43</t>
  </si>
  <si>
    <t>WATINI</t>
  </si>
  <si>
    <t>SAMBI REJO</t>
  </si>
  <si>
    <t>14.48</t>
  </si>
  <si>
    <t>TRI WAHYUNINGSIH</t>
  </si>
  <si>
    <t>SURATIN</t>
  </si>
  <si>
    <t>22.18</t>
  </si>
  <si>
    <t>HADI SOFIIN</t>
  </si>
  <si>
    <t>NANIK SUSANTI</t>
  </si>
  <si>
    <t>Sobo</t>
  </si>
  <si>
    <t>TINATAH</t>
  </si>
  <si>
    <t>4.95</t>
  </si>
  <si>
    <t>GUNAWAN</t>
  </si>
  <si>
    <t>SUWATI</t>
  </si>
  <si>
    <t>BENDO</t>
  </si>
  <si>
    <t>SIDO MULYO II</t>
  </si>
  <si>
    <t>AGUS SUPRIYANTO</t>
  </si>
  <si>
    <t>SUPINI</t>
  </si>
  <si>
    <t>GEBLAS</t>
  </si>
  <si>
    <t>SIDO MULYO III</t>
  </si>
  <si>
    <t>KATIMIN</t>
  </si>
  <si>
    <t>SIDO MULYO IV</t>
  </si>
  <si>
    <t>6.20</t>
  </si>
  <si>
    <t>BENDO SULUR</t>
  </si>
  <si>
    <t>SIDO MULYO V</t>
  </si>
  <si>
    <t>6.50</t>
  </si>
  <si>
    <t>SUBANDI</t>
  </si>
  <si>
    <t>SARNI</t>
  </si>
  <si>
    <t>TEMULAWAK</t>
  </si>
  <si>
    <t>SIDO MULYO VI</t>
  </si>
  <si>
    <t>7.40</t>
  </si>
  <si>
    <t>AGUS W.</t>
  </si>
  <si>
    <t>BUDIANTO</t>
  </si>
  <si>
    <t>JAMBU</t>
  </si>
  <si>
    <t>SUMBER REJEKI DUA</t>
  </si>
  <si>
    <t>98.93</t>
  </si>
  <si>
    <t>MUDAL</t>
  </si>
  <si>
    <t>SUMBER REJEKI III</t>
  </si>
  <si>
    <t>78.64</t>
  </si>
  <si>
    <t>ATIM</t>
  </si>
  <si>
    <t>MISENI</t>
  </si>
  <si>
    <t>SUMBER REJEKI IV</t>
  </si>
  <si>
    <t>30.35</t>
  </si>
  <si>
    <t>AGUNG SISWOKO</t>
  </si>
  <si>
    <t>BULU</t>
  </si>
  <si>
    <t>SUMBER REJEKI V</t>
  </si>
  <si>
    <t>92.10</t>
  </si>
  <si>
    <t>MISLANTO</t>
  </si>
  <si>
    <t>SUMBER</t>
  </si>
  <si>
    <t>SUMBER REJEKI VI</t>
  </si>
  <si>
    <t>104.02</t>
  </si>
  <si>
    <t>PUJO AMINUDIN</t>
  </si>
  <si>
    <t>SUMBER REJEKI VII</t>
  </si>
  <si>
    <t>65.25</t>
  </si>
  <si>
    <t>MISRANTO</t>
  </si>
  <si>
    <t>AHMAD DUKI</t>
  </si>
  <si>
    <t>GIYANTO</t>
  </si>
  <si>
    <t>BLIMBING</t>
  </si>
  <si>
    <t>SUMBER REJEKI VIII</t>
  </si>
  <si>
    <t>22.40</t>
  </si>
  <si>
    <t>LANDUNG SISNUGROHO</t>
  </si>
  <si>
    <t>BORADI</t>
  </si>
  <si>
    <t>SUMBER REJEKI IX</t>
  </si>
  <si>
    <t>45.00</t>
  </si>
  <si>
    <t>ENDRO CAHYONO</t>
  </si>
  <si>
    <t>AMAD SOLIKIN</t>
  </si>
  <si>
    <t>BLIMBING SARI</t>
  </si>
  <si>
    <t>53.85</t>
  </si>
  <si>
    <t>PUJIANTO</t>
  </si>
  <si>
    <t>SUPRIONO</t>
  </si>
  <si>
    <t>SURIPTO</t>
  </si>
  <si>
    <t>KWT RINDANG</t>
  </si>
  <si>
    <t>HORTIJULTURA</t>
  </si>
  <si>
    <t>16.00</t>
  </si>
  <si>
    <t>SARTI</t>
  </si>
  <si>
    <t>NOVI IMAH</t>
  </si>
  <si>
    <t>SUPARTIN</t>
  </si>
  <si>
    <t>GEMAH RIPAH I</t>
  </si>
  <si>
    <t>13.35</t>
  </si>
  <si>
    <t>TEMIN</t>
  </si>
  <si>
    <t>GEMAH RIPAH II</t>
  </si>
  <si>
    <t>10.60</t>
  </si>
  <si>
    <t>SUTARTO</t>
  </si>
  <si>
    <t>KLIO</t>
  </si>
  <si>
    <t>GEMAH RIPAH III</t>
  </si>
  <si>
    <t>8.16</t>
  </si>
  <si>
    <t>MUH.ISA S.</t>
  </si>
  <si>
    <t>DOK TUKUL ETAN</t>
  </si>
  <si>
    <t>GEMAH RIPAH VI</t>
  </si>
  <si>
    <t>27.26</t>
  </si>
  <si>
    <t>BAMBANG S.</t>
  </si>
  <si>
    <t xml:space="preserve">MULYANTO </t>
  </si>
  <si>
    <t>TLOGO DUWUR</t>
  </si>
  <si>
    <t>GEMAH RIPAH VII</t>
  </si>
  <si>
    <t>10.11</t>
  </si>
  <si>
    <t>SERI</t>
  </si>
  <si>
    <t>SUPONO</t>
  </si>
  <si>
    <t>GEMAH RIPAH VIII</t>
  </si>
  <si>
    <t>16.35</t>
  </si>
  <si>
    <t>NGEJRING</t>
  </si>
  <si>
    <t>GEMAH RIPAH IX</t>
  </si>
  <si>
    <t>AGUS S.</t>
  </si>
  <si>
    <t>ISTIYONO</t>
  </si>
  <si>
    <t>SUMBER RINGIN</t>
  </si>
  <si>
    <t>GEMAH RIPAH X</t>
  </si>
  <si>
    <t>31.73</t>
  </si>
  <si>
    <t>SULARTI</t>
  </si>
  <si>
    <t>NGEMPLAK</t>
  </si>
  <si>
    <t>GEMAH RIPAH XI</t>
  </si>
  <si>
    <t>14.19</t>
  </si>
  <si>
    <t>TRIYONO</t>
  </si>
  <si>
    <t>PAERAN</t>
  </si>
  <si>
    <t>GEMAH RIPAH XII</t>
  </si>
  <si>
    <t>5.98</t>
  </si>
  <si>
    <t>DOKGARUT</t>
  </si>
  <si>
    <t>SIDO MUKTI I</t>
  </si>
  <si>
    <t>46.00</t>
  </si>
  <si>
    <t>TOWARI</t>
  </si>
  <si>
    <t>NURHAYATI</t>
  </si>
  <si>
    <t>KENUL</t>
  </si>
  <si>
    <t>SIDO MUKTI II</t>
  </si>
  <si>
    <t>39.00</t>
  </si>
  <si>
    <t>SEMPON</t>
  </si>
  <si>
    <t>SIDO MUKTI III</t>
  </si>
  <si>
    <t>37.00</t>
  </si>
  <si>
    <t>JOKO SUNARYO</t>
  </si>
  <si>
    <t>SERIYANTONO</t>
  </si>
  <si>
    <t>TEKIL</t>
  </si>
  <si>
    <t>SIDO MUKTI IV</t>
  </si>
  <si>
    <t>33.00</t>
  </si>
  <si>
    <t>SISWO HADI</t>
  </si>
  <si>
    <t>SIDO MUKTI V</t>
  </si>
  <si>
    <t>34.00</t>
  </si>
  <si>
    <t>KATIRIN</t>
  </si>
  <si>
    <t>TUGIMIN</t>
  </si>
  <si>
    <t>GUMULHARJO</t>
  </si>
  <si>
    <t>SIDO MUKTI VII</t>
  </si>
  <si>
    <t>41.00</t>
  </si>
  <si>
    <t>JUMARI</t>
  </si>
  <si>
    <t>DIDIK L.</t>
  </si>
  <si>
    <t>WITO</t>
  </si>
  <si>
    <t>KARANGNONGKO</t>
  </si>
  <si>
    <t>MARGO MUKTI</t>
  </si>
  <si>
    <t>KELAPA</t>
  </si>
  <si>
    <t>49.00</t>
  </si>
  <si>
    <t>WITANTO</t>
  </si>
  <si>
    <t>DWI B.</t>
  </si>
  <si>
    <t>PURYANTO</t>
  </si>
  <si>
    <t>DOK GARUT</t>
  </si>
  <si>
    <t>KWT SIDO MUKTI I</t>
  </si>
  <si>
    <t>HORTIKULTURA</t>
  </si>
  <si>
    <t>5.00</t>
  </si>
  <si>
    <t>TRI NINGSIH</t>
  </si>
  <si>
    <t>DEWI S.</t>
  </si>
  <si>
    <t>ETIK</t>
  </si>
  <si>
    <t>KWT SIDO MUKTI 4</t>
  </si>
  <si>
    <t>4.00</t>
  </si>
  <si>
    <t>.ILA PUSPITASARI</t>
  </si>
  <si>
    <t>ATIK K.</t>
  </si>
  <si>
    <t>BONIRAH</t>
  </si>
  <si>
    <t>SUKA MAJU 01</t>
  </si>
  <si>
    <t>28.8</t>
  </si>
  <si>
    <t>SETO WIRANTO</t>
  </si>
  <si>
    <t>KUSMANTO</t>
  </si>
  <si>
    <t>BEJI</t>
  </si>
  <si>
    <t>SUKA MAJU II</t>
  </si>
  <si>
    <t>29.1</t>
  </si>
  <si>
    <t>PONIMAN</t>
  </si>
  <si>
    <t>TEGUH</t>
  </si>
  <si>
    <t>NURDIHARSO</t>
  </si>
  <si>
    <t>SAWAHAN</t>
  </si>
  <si>
    <t>SUKA MAJU III</t>
  </si>
  <si>
    <t>17.75</t>
  </si>
  <si>
    <t>SOIRAN</t>
  </si>
  <si>
    <t>SUWASNO</t>
  </si>
  <si>
    <t>LINDA PUJI L.</t>
  </si>
  <si>
    <t>SUKA MAJU IV</t>
  </si>
  <si>
    <t>51.6</t>
  </si>
  <si>
    <t>SARPONEN</t>
  </si>
  <si>
    <t>ENI SUSANTI</t>
  </si>
  <si>
    <t>SUKA MAJU 05</t>
  </si>
  <si>
    <t>6.6</t>
  </si>
  <si>
    <t>SRI NANIK</t>
  </si>
  <si>
    <t>GESINGAN</t>
  </si>
  <si>
    <t>SUKA MAJU VI</t>
  </si>
  <si>
    <t>SUPARMIN</t>
  </si>
  <si>
    <t>IMRON RABURHAN</t>
  </si>
  <si>
    <t>RUDI SANTOSO</t>
  </si>
  <si>
    <t>SRAU</t>
  </si>
  <si>
    <t>NUJU MAKMUR I</t>
  </si>
  <si>
    <t>16.15</t>
  </si>
  <si>
    <t>MESIRAN</t>
  </si>
  <si>
    <t>MISENO</t>
  </si>
  <si>
    <t>NUJU MAKMUR II</t>
  </si>
  <si>
    <t>12.50</t>
  </si>
  <si>
    <t>EDI SUWANTO</t>
  </si>
  <si>
    <t>TURINI</t>
  </si>
  <si>
    <t>NUJU MAKMUR III</t>
  </si>
  <si>
    <t>20.45</t>
  </si>
  <si>
    <t>SUGENG WIDYANTO</t>
  </si>
  <si>
    <t>YETY P.</t>
  </si>
  <si>
    <t>NGEBRAK</t>
  </si>
  <si>
    <t>NUJU MAKMUR IV</t>
  </si>
  <si>
    <t>11.50</t>
  </si>
  <si>
    <t>SARINO</t>
  </si>
  <si>
    <t>PONEN</t>
  </si>
  <si>
    <t>KIPTI</t>
  </si>
  <si>
    <t>PENGILEN</t>
  </si>
  <si>
    <t>NUJU MAKMUR V</t>
  </si>
  <si>
    <t>19.70</t>
  </si>
  <si>
    <t>RIANTO</t>
  </si>
  <si>
    <t>SURANTO</t>
  </si>
  <si>
    <t>DAWUNG KULON</t>
  </si>
  <si>
    <t>NUJU MAKMUR VI</t>
  </si>
  <si>
    <t>14.85</t>
  </si>
  <si>
    <t>SUPATNI</t>
  </si>
  <si>
    <t>SULIS</t>
  </si>
  <si>
    <t>DAWUNG ETAN</t>
  </si>
  <si>
    <t>NUJU MAKMUR VII</t>
  </si>
  <si>
    <t>14.83</t>
  </si>
  <si>
    <t>SALIM</t>
  </si>
  <si>
    <t>KATINO</t>
  </si>
  <si>
    <t>TLOGO MOYO</t>
  </si>
  <si>
    <t>NUJU MAKMUR VIII</t>
  </si>
  <si>
    <t>19.52</t>
  </si>
  <si>
    <t>SUKIMAN</t>
  </si>
  <si>
    <t>SAMINO</t>
  </si>
  <si>
    <t>KEROK ETAN</t>
  </si>
  <si>
    <t>NUJU MAKMUR IX</t>
  </si>
  <si>
    <t>31.04</t>
  </si>
  <si>
    <t>YULIANI</t>
  </si>
  <si>
    <t>NUJU MAKMUR X</t>
  </si>
  <si>
    <t>19.29</t>
  </si>
  <si>
    <t>NUJU MAKMUR XI</t>
  </si>
  <si>
    <t>29.15</t>
  </si>
  <si>
    <t>SIRUS</t>
  </si>
  <si>
    <t>NUJU MAKMUR XII</t>
  </si>
  <si>
    <t>29.26</t>
  </si>
  <si>
    <t>KEROK KULON</t>
  </si>
  <si>
    <t>NUJU MAKMUR XIII</t>
  </si>
  <si>
    <t>42.09</t>
  </si>
  <si>
    <t>SRIYANTO</t>
  </si>
  <si>
    <t>NUR HIDAYAT</t>
  </si>
  <si>
    <t>MATIN</t>
  </si>
  <si>
    <t>NUJU MAKMUR XIV</t>
  </si>
  <si>
    <t>59.08</t>
  </si>
  <si>
    <t>BOWO RIDARYANTO</t>
  </si>
  <si>
    <t>EBIET</t>
  </si>
  <si>
    <t>KETO</t>
  </si>
  <si>
    <t>NUJU MAKMUR XV</t>
  </si>
  <si>
    <t>21.72</t>
  </si>
  <si>
    <t>IMAM MAHMUDI</t>
  </si>
  <si>
    <t>TUGIRAN</t>
  </si>
  <si>
    <t>BARONG ETAN</t>
  </si>
  <si>
    <t>NUJU MAKMUR XVI</t>
  </si>
  <si>
    <t>21.27</t>
  </si>
  <si>
    <t>MOH.SLAMET</t>
  </si>
  <si>
    <t>ISTUTI</t>
  </si>
  <si>
    <t>BARONG KULON</t>
  </si>
  <si>
    <t>NUJU MAKMUR XVI A</t>
  </si>
  <si>
    <t>30.50</t>
  </si>
  <si>
    <t>BONIRAN</t>
  </si>
  <si>
    <t>RUDY R.</t>
  </si>
  <si>
    <t>SRIYONO</t>
  </si>
  <si>
    <t>WORAWARI</t>
  </si>
  <si>
    <t>SELO REJEKI I</t>
  </si>
  <si>
    <t>58.75</t>
  </si>
  <si>
    <t>HERI PURNOMO</t>
  </si>
  <si>
    <t>SARDIYANTO</t>
  </si>
  <si>
    <t>DAWUNG</t>
  </si>
  <si>
    <t>SELO REJEKI II</t>
  </si>
  <si>
    <t>59.20</t>
  </si>
  <si>
    <t>SARWANTO</t>
  </si>
  <si>
    <t>MISELAN</t>
  </si>
  <si>
    <t>EKO WINARNO</t>
  </si>
  <si>
    <t xml:space="preserve">JLUBANG </t>
  </si>
  <si>
    <t>SELO REJEKI III</t>
  </si>
  <si>
    <t>38.85</t>
  </si>
  <si>
    <t>PURWADI</t>
  </si>
  <si>
    <t>RUBIATIN</t>
  </si>
  <si>
    <t>KENASRI</t>
  </si>
  <si>
    <t>SELO REJEKI IV</t>
  </si>
  <si>
    <t>72.14</t>
  </si>
  <si>
    <t>TEGUH NURCAHYO</t>
  </si>
  <si>
    <t>TATANG S.</t>
  </si>
  <si>
    <t>HERI SETIYONO</t>
  </si>
  <si>
    <t>SELO REJEKI V</t>
  </si>
  <si>
    <t>73.75</t>
  </si>
  <si>
    <t>SUPARJO RUSTAM</t>
  </si>
  <si>
    <t>TULIYAT</t>
  </si>
  <si>
    <t xml:space="preserve">GEBANG </t>
  </si>
  <si>
    <t>SELO REJEKI VI</t>
  </si>
  <si>
    <t>67.80</t>
  </si>
  <si>
    <t>DJUMINO</t>
  </si>
  <si>
    <t>CITRO WONODADI</t>
  </si>
  <si>
    <t>SELO REJEKI VII</t>
  </si>
  <si>
    <t>66.25</t>
  </si>
  <si>
    <t>SUKRAMTO</t>
  </si>
  <si>
    <t>KATWADI</t>
  </si>
  <si>
    <t>SELO REJEKI VIII</t>
  </si>
  <si>
    <t>80.40</t>
  </si>
  <si>
    <t>ISTIYARINI</t>
  </si>
  <si>
    <t>SENEN</t>
  </si>
  <si>
    <t>DRINGO</t>
  </si>
  <si>
    <t>SELO REJEKI IX</t>
  </si>
  <si>
    <t>79.65</t>
  </si>
  <si>
    <t>TOMI WIYONO</t>
  </si>
  <si>
    <t>EKO HADI SANTOSO</t>
  </si>
  <si>
    <t>MELIKAN</t>
  </si>
  <si>
    <t>SELO REJEKI X</t>
  </si>
  <si>
    <t>54.15</t>
  </si>
  <si>
    <t>JOKO SISWANTO</t>
  </si>
  <si>
    <t>LESTARI I</t>
  </si>
  <si>
    <t>44.7</t>
  </si>
  <si>
    <t>ISWAHYUNI</t>
  </si>
  <si>
    <t>HARTUTIK</t>
  </si>
  <si>
    <t>LESTARI II</t>
  </si>
  <si>
    <t>48.77</t>
  </si>
  <si>
    <t>HERTI DWI A.</t>
  </si>
  <si>
    <t>RINDI ATIKA</t>
  </si>
  <si>
    <t>DEWI ASTUTI</t>
  </si>
  <si>
    <t>LESTARI III</t>
  </si>
  <si>
    <t>51.1</t>
  </si>
  <si>
    <t>SAMIDI</t>
  </si>
  <si>
    <t>RINI</t>
  </si>
  <si>
    <t>NOVI</t>
  </si>
  <si>
    <t>KAYATLOR</t>
  </si>
  <si>
    <t>LESTARI IV</t>
  </si>
  <si>
    <t>40.85</t>
  </si>
  <si>
    <t>HERU SUSANTO</t>
  </si>
  <si>
    <t>SUPRIHATIN</t>
  </si>
  <si>
    <t>KARANGTENGAH</t>
  </si>
  <si>
    <t>LESTARI V</t>
  </si>
  <si>
    <t>36.65</t>
  </si>
  <si>
    <t xml:space="preserve">SUMINI </t>
  </si>
  <si>
    <t>SULASMI</t>
  </si>
  <si>
    <t>KALIWUNGU</t>
  </si>
  <si>
    <t>LESTARI VI</t>
  </si>
  <si>
    <t>32.20</t>
  </si>
  <si>
    <t>WATIK</t>
  </si>
  <si>
    <t>KAYATKIDUL</t>
  </si>
  <si>
    <t>LESTARI VII</t>
  </si>
  <si>
    <t>45.3</t>
  </si>
  <si>
    <t>HABIBAH</t>
  </si>
  <si>
    <t>NAKIATUN</t>
  </si>
  <si>
    <t>PAKEL</t>
  </si>
  <si>
    <t>LESTARI VIII</t>
  </si>
  <si>
    <t>MASHURI</t>
  </si>
  <si>
    <t>KRAJAN I</t>
  </si>
  <si>
    <t>Padi Gogo</t>
  </si>
  <si>
    <t>SURAHMAN</t>
  </si>
  <si>
    <t>SUTANTO</t>
  </si>
  <si>
    <t xml:space="preserve">Utama </t>
  </si>
  <si>
    <t>KRAJAN II</t>
  </si>
  <si>
    <t>JANGLOT</t>
  </si>
  <si>
    <t>SRI REJEKI LIMA</t>
  </si>
  <si>
    <t>BITING</t>
  </si>
  <si>
    <t>SRI REJEKI VI</t>
  </si>
  <si>
    <t>JUMADI</t>
  </si>
  <si>
    <t>BERO</t>
  </si>
  <si>
    <t>SRI REJEKI VII</t>
  </si>
  <si>
    <t>AGUS SANTOSO</t>
  </si>
  <si>
    <t>SLAMET RIYADI</t>
  </si>
  <si>
    <t>BAMBANG</t>
  </si>
  <si>
    <t>SRI REJEKI VIII</t>
  </si>
  <si>
    <t>SLAMET ARI WIBOWO</t>
  </si>
  <si>
    <t>PAGERSENGON</t>
  </si>
  <si>
    <t>SRI REJEKI IX</t>
  </si>
  <si>
    <t>SEMBUNGAN</t>
  </si>
  <si>
    <t>SRI REJEKI SEPULUH</t>
  </si>
  <si>
    <t>MISWAN</t>
  </si>
  <si>
    <t>MARYONO</t>
  </si>
  <si>
    <t>SUMARWAN</t>
  </si>
  <si>
    <t>SRI REJEKI XI</t>
  </si>
  <si>
    <t>ANDI WIDODO</t>
  </si>
  <si>
    <t>SUMARLAN</t>
  </si>
  <si>
    <t>SRI REJEKI XII</t>
  </si>
  <si>
    <t>BOGIMAN</t>
  </si>
  <si>
    <t>SULARTO JR</t>
  </si>
  <si>
    <t>SRI REJEKI XIII</t>
  </si>
  <si>
    <t>AGUS RIYANTO</t>
  </si>
  <si>
    <t>SETIONO</t>
  </si>
  <si>
    <t>SRI REJEKI XIV</t>
  </si>
  <si>
    <t>MISPAN</t>
  </si>
  <si>
    <t>MARMO</t>
  </si>
  <si>
    <t>DANURI</t>
  </si>
  <si>
    <t>JALAKAN</t>
  </si>
  <si>
    <t>SARISMAN</t>
  </si>
  <si>
    <t>TUMRAPTO</t>
  </si>
  <si>
    <t>SENDANG</t>
  </si>
  <si>
    <t>TUMRAP</t>
  </si>
  <si>
    <t>SUKIRNO</t>
  </si>
  <si>
    <t>WADIYAH</t>
  </si>
  <si>
    <t>KENDAL</t>
  </si>
  <si>
    <t>UNTUNG</t>
  </si>
  <si>
    <t>SUJAT</t>
  </si>
  <si>
    <t xml:space="preserve">Madya </t>
  </si>
  <si>
    <t>SIGIT A</t>
  </si>
  <si>
    <t>TARWIJI</t>
  </si>
  <si>
    <t>PADANGAN</t>
  </si>
  <si>
    <t>SIDO MULYO VII</t>
  </si>
  <si>
    <t>JOKO P</t>
  </si>
  <si>
    <t>LEDOK</t>
  </si>
  <si>
    <t>SIDO MULYO VIII</t>
  </si>
  <si>
    <t>ISMAIL</t>
  </si>
  <si>
    <t>SOGIRIN</t>
  </si>
  <si>
    <t>SIDO MULYO IX</t>
  </si>
  <si>
    <t>SOKIMAN</t>
  </si>
  <si>
    <t>DIDIK CAHYONO</t>
  </si>
  <si>
    <t>ANDRI A.</t>
  </si>
  <si>
    <t>SUKEMI</t>
  </si>
  <si>
    <t>ETIK SUCIANA</t>
  </si>
  <si>
    <t>NOVI ANASARI</t>
  </si>
  <si>
    <t>Padi, Palawija</t>
  </si>
  <si>
    <t>Sanipan</t>
  </si>
  <si>
    <t>Ngaluran</t>
  </si>
  <si>
    <t>Tempel Lor</t>
  </si>
  <si>
    <t>Tempel Kidul</t>
  </si>
  <si>
    <t>Paina</t>
  </si>
  <si>
    <t>Dondong</t>
  </si>
  <si>
    <t>Endra Aris Setiono</t>
  </si>
  <si>
    <t>Suhato</t>
  </si>
  <si>
    <t>Giyono</t>
  </si>
  <si>
    <t>Kuncen</t>
  </si>
  <si>
    <t>Ahmad Tukino Astulatief</t>
  </si>
  <si>
    <t>Untung Subroto</t>
  </si>
  <si>
    <t>Warjono</t>
  </si>
  <si>
    <t>Pelahan</t>
  </si>
  <si>
    <t>Endartanto</t>
  </si>
  <si>
    <t>Ardiansyah</t>
  </si>
  <si>
    <t>Temu</t>
  </si>
  <si>
    <t>Bulu</t>
  </si>
  <si>
    <t>Sokiran</t>
  </si>
  <si>
    <t>Joko</t>
  </si>
  <si>
    <t>Sengon</t>
  </si>
  <si>
    <t>Muhadi</t>
  </si>
  <si>
    <t>Andung s</t>
  </si>
  <si>
    <t>Kadenen</t>
  </si>
  <si>
    <t>Crabak</t>
  </si>
  <si>
    <t>Hadi S.</t>
  </si>
  <si>
    <t>Sukiran</t>
  </si>
  <si>
    <t>Suparlan</t>
  </si>
  <si>
    <t>Mujito</t>
  </si>
  <si>
    <t>Wijiati</t>
  </si>
  <si>
    <t>Misni</t>
  </si>
  <si>
    <t>Mrican</t>
  </si>
  <si>
    <t>Saidi</t>
  </si>
  <si>
    <t>Nglegok</t>
  </si>
  <si>
    <t>Bomo</t>
  </si>
  <si>
    <t xml:space="preserve">Nglarangan </t>
  </si>
  <si>
    <t>Padi, Polowijo</t>
  </si>
  <si>
    <t>Sutono</t>
  </si>
  <si>
    <t>Parmono</t>
  </si>
  <si>
    <t>Padmono</t>
  </si>
  <si>
    <t>Pucung</t>
  </si>
  <si>
    <t xml:space="preserve">Sri Mulyo </t>
  </si>
  <si>
    <t>Katino</t>
  </si>
  <si>
    <t>Kadiran</t>
  </si>
  <si>
    <t>Nanas</t>
  </si>
  <si>
    <t>Mokali</t>
  </si>
  <si>
    <t>Mesiran</t>
  </si>
  <si>
    <t>Yamsirin</t>
  </si>
  <si>
    <t>Dokwaru</t>
  </si>
  <si>
    <t>Broto</t>
  </si>
  <si>
    <t>Warsino</t>
  </si>
  <si>
    <t>Tri Wahyu Adi Purnomo</t>
  </si>
  <si>
    <t>Hardi</t>
  </si>
  <si>
    <t>Kaserin</t>
  </si>
  <si>
    <t xml:space="preserve">Gebang </t>
  </si>
  <si>
    <t>Sarindi</t>
  </si>
  <si>
    <t>Koro</t>
  </si>
  <si>
    <t>Wartiningsih</t>
  </si>
  <si>
    <t>Suwarti</t>
  </si>
  <si>
    <t>Sinto</t>
  </si>
  <si>
    <t>Suwarni</t>
  </si>
  <si>
    <t>Suharti</t>
  </si>
  <si>
    <t>TROSOBO</t>
  </si>
  <si>
    <t>SRI H</t>
  </si>
  <si>
    <t>HARAPAN</t>
  </si>
  <si>
    <t>AUNI NASIROH</t>
  </si>
  <si>
    <t>KAYEN</t>
  </si>
  <si>
    <t>EDI</t>
  </si>
  <si>
    <t>SARIMO</t>
  </si>
  <si>
    <t>SUGINEN</t>
  </si>
  <si>
    <t>KEBONAGUNG</t>
  </si>
  <si>
    <t>BROTOSENO</t>
  </si>
  <si>
    <t>KARNI</t>
  </si>
  <si>
    <t>KUTUKAN</t>
  </si>
  <si>
    <t>REBO KLIWON I</t>
  </si>
  <si>
    <t>PADI, PALAWIJA</t>
  </si>
  <si>
    <t>AGUS PRIANTO</t>
  </si>
  <si>
    <t>EKO NURCAHYONO</t>
  </si>
  <si>
    <t>AGUNG SETYAWAN</t>
  </si>
  <si>
    <t>REBO KLIWON II</t>
  </si>
  <si>
    <t>TUMAJI</t>
  </si>
  <si>
    <t>MISWANTO</t>
  </si>
  <si>
    <t>AGUS LESTIONO</t>
  </si>
  <si>
    <t>EKO PURWANTO</t>
  </si>
  <si>
    <t>EKO SUPRIYANTO</t>
  </si>
  <si>
    <t>MESWAN</t>
  </si>
  <si>
    <t>REBO LEGI</t>
  </si>
  <si>
    <t>SUKARDI</t>
  </si>
  <si>
    <t>GUMONO</t>
  </si>
  <si>
    <t>BUDIYANTO</t>
  </si>
  <si>
    <t>BUDI SANTOSO</t>
  </si>
  <si>
    <t>NAMPOL</t>
  </si>
  <si>
    <t>KARYA LUHUR I</t>
  </si>
  <si>
    <t>JUMINO</t>
  </si>
  <si>
    <t>WAHYU PRIYAMBODO</t>
  </si>
  <si>
    <t>HENDRATMOKO KURNIAWAN</t>
  </si>
  <si>
    <t>NGREJO</t>
  </si>
  <si>
    <t>KARYA LUHUR II</t>
  </si>
  <si>
    <t>ISTIONO</t>
  </si>
  <si>
    <t>CAMBAHAN</t>
  </si>
  <si>
    <t>MARGO TRESNO</t>
  </si>
  <si>
    <t>TEGUH SANTOSO</t>
  </si>
  <si>
    <t>PAGERJO</t>
  </si>
  <si>
    <t>EKO KARYO</t>
  </si>
  <si>
    <t>SURAKAT H</t>
  </si>
  <si>
    <t>WARSITO</t>
  </si>
  <si>
    <t>PANGKAH</t>
  </si>
  <si>
    <t>DONI PRADIPTO</t>
  </si>
  <si>
    <t>MISWADI</t>
  </si>
  <si>
    <t>NGAGLIK</t>
  </si>
  <si>
    <t>AGUS SUYADI</t>
  </si>
  <si>
    <t>BAMBANG KURNIADI</t>
  </si>
  <si>
    <t>KADIMAN</t>
  </si>
  <si>
    <t>KEMBANG</t>
  </si>
  <si>
    <t>JOKO PRIYONO</t>
  </si>
  <si>
    <t>DUKUN</t>
  </si>
  <si>
    <t>HANDAYANI</t>
  </si>
  <si>
    <t>JOKO SUSILO</t>
  </si>
  <si>
    <t>SUJONO</t>
  </si>
  <si>
    <t>NGEPOH</t>
  </si>
  <si>
    <t>SUGENG WALUYO</t>
  </si>
  <si>
    <t>HARYANTO</t>
  </si>
  <si>
    <t>BASUKI MAKMUR</t>
  </si>
  <si>
    <t>IRWAN PAMBUDI</t>
  </si>
  <si>
    <t>RUSDIANA ISA ANSORI</t>
  </si>
  <si>
    <t>BUDI HARTONO</t>
  </si>
  <si>
    <t>MAKARYO</t>
  </si>
  <si>
    <t>S ENDRO WIBOWO</t>
  </si>
  <si>
    <t>AYEM TENTREM</t>
  </si>
  <si>
    <t>MUJIANTO</t>
  </si>
  <si>
    <t>SARTU</t>
  </si>
  <si>
    <t>BAKTI UTOMO</t>
  </si>
  <si>
    <t>KUSNAN</t>
  </si>
  <si>
    <t>GINARTO</t>
  </si>
  <si>
    <t>RUDI H</t>
  </si>
  <si>
    <t>SAMUJI</t>
  </si>
  <si>
    <t>DWI SANTOSO</t>
  </si>
  <si>
    <t>TUGIMAT</t>
  </si>
  <si>
    <t>SUNAR</t>
  </si>
  <si>
    <t>PAKIS</t>
  </si>
  <si>
    <t>RINGIN BAKTI</t>
  </si>
  <si>
    <t>JUMIO</t>
  </si>
  <si>
    <t>AGUS SETIAWAN</t>
  </si>
  <si>
    <t>BUYUTAN</t>
  </si>
  <si>
    <t>JAMAL</t>
  </si>
  <si>
    <t>Padi,Palawija</t>
  </si>
  <si>
    <t>Suyatni</t>
  </si>
  <si>
    <t>Kerni</t>
  </si>
  <si>
    <t>Teguh</t>
  </si>
  <si>
    <t>Minanto</t>
  </si>
  <si>
    <t>Margorejo</t>
  </si>
  <si>
    <t>Edi Susanto</t>
  </si>
  <si>
    <t>Alfian NN</t>
  </si>
  <si>
    <t>Mojo</t>
  </si>
  <si>
    <t>Budi Santoso</t>
  </si>
  <si>
    <t>Eru Wahyono</t>
  </si>
  <si>
    <t>Diki Suyitno</t>
  </si>
  <si>
    <t>M Hariyanto</t>
  </si>
  <si>
    <t>Kalipucung</t>
  </si>
  <si>
    <t>Mughni</t>
  </si>
  <si>
    <t>Krajan Tengah</t>
  </si>
  <si>
    <t>Ahmadi</t>
  </si>
  <si>
    <t>Bojo</t>
  </si>
  <si>
    <t>Sayid  A. Yani</t>
  </si>
  <si>
    <t>Fajar S</t>
  </si>
  <si>
    <t>Sarmo</t>
  </si>
  <si>
    <t>Sahudi</t>
  </si>
  <si>
    <t>Edi Wiyono</t>
  </si>
  <si>
    <t>Hartono</t>
  </si>
  <si>
    <t>Aditya</t>
  </si>
  <si>
    <t>Bagus H</t>
  </si>
  <si>
    <t>Irvan A K</t>
  </si>
  <si>
    <t>Sokiman</t>
  </si>
  <si>
    <t>Toesino</t>
  </si>
  <si>
    <t>GUNUNG SEMUT</t>
  </si>
  <si>
    <t>TANI HARAPAN</t>
  </si>
  <si>
    <t>Karnen</t>
  </si>
  <si>
    <t>NGARITAN</t>
  </si>
  <si>
    <t>TANI MURNI</t>
  </si>
  <si>
    <t>Satiman</t>
  </si>
  <si>
    <t>Joko.S</t>
  </si>
  <si>
    <t>97.31</t>
  </si>
  <si>
    <t>Sukidi</t>
  </si>
  <si>
    <t>Piyus P</t>
  </si>
  <si>
    <t>Tusirin</t>
  </si>
  <si>
    <t>Wareng Lor</t>
  </si>
  <si>
    <t>Ahmad R.</t>
  </si>
  <si>
    <t>Sarwanto</t>
  </si>
  <si>
    <t>Wareng Kidul</t>
  </si>
  <si>
    <t>Sumaryo</t>
  </si>
  <si>
    <t>Miskiran</t>
  </si>
  <si>
    <t>Mega</t>
  </si>
  <si>
    <t>Kasino</t>
  </si>
  <si>
    <t>Joko B</t>
  </si>
  <si>
    <t>Songgempol</t>
  </si>
  <si>
    <t xml:space="preserve">Lestari </t>
  </si>
  <si>
    <t>Mesirah</t>
  </si>
  <si>
    <t>Eni Dwi H</t>
  </si>
  <si>
    <t>Tabuhan</t>
  </si>
  <si>
    <t>Amir B</t>
  </si>
  <si>
    <t>Maryanto</t>
  </si>
  <si>
    <t>Sanusi</t>
  </si>
  <si>
    <t>Sokidi</t>
  </si>
  <si>
    <t>Tusiman</t>
  </si>
  <si>
    <t>Bugel</t>
  </si>
  <si>
    <t>Wahyu D S</t>
  </si>
  <si>
    <t>Budi S.</t>
  </si>
  <si>
    <t>Sutarman</t>
  </si>
  <si>
    <t>Jarum</t>
  </si>
  <si>
    <t>Sukini</t>
  </si>
  <si>
    <t>Heri E</t>
  </si>
  <si>
    <t>Fendi K</t>
  </si>
  <si>
    <t>Winardi</t>
  </si>
  <si>
    <t>Sunartin</t>
  </si>
  <si>
    <t>Ruswanti</t>
  </si>
  <si>
    <t>Nglarangan</t>
  </si>
  <si>
    <t>Supriyani</t>
  </si>
  <si>
    <t>Giyatno</t>
  </si>
  <si>
    <t>Suruhan</t>
  </si>
  <si>
    <t>Budi Prastyo</t>
  </si>
  <si>
    <t>Rukun Mulyo Dua</t>
  </si>
  <si>
    <t xml:space="preserve">Suwito </t>
  </si>
  <si>
    <t>Teguh S</t>
  </si>
  <si>
    <t>34,38</t>
  </si>
  <si>
    <t xml:space="preserve">Surianto </t>
  </si>
  <si>
    <t>Hadi S</t>
  </si>
  <si>
    <t>Budi S</t>
  </si>
  <si>
    <t>JERUK</t>
  </si>
  <si>
    <t>TAMBAH REJO</t>
  </si>
  <si>
    <t>KC TANAH</t>
  </si>
  <si>
    <t>62,50</t>
  </si>
  <si>
    <t xml:space="preserve">Sugeng S </t>
  </si>
  <si>
    <t xml:space="preserve">Sumadi </t>
  </si>
  <si>
    <t xml:space="preserve">Tumiran </t>
  </si>
  <si>
    <t>Doni K</t>
  </si>
  <si>
    <t>Suhendro</t>
  </si>
  <si>
    <t>Herwi W</t>
  </si>
  <si>
    <t>BUNGUR</t>
  </si>
  <si>
    <t>44,79</t>
  </si>
  <si>
    <t xml:space="preserve">Ismail </t>
  </si>
  <si>
    <t>Ruli G</t>
  </si>
  <si>
    <t xml:space="preserve">Suyono </t>
  </si>
  <si>
    <t>PLUMBUNGAN</t>
  </si>
  <si>
    <t>MARGO TANI</t>
  </si>
  <si>
    <t>64,80</t>
  </si>
  <si>
    <t xml:space="preserve">Tumadi </t>
  </si>
  <si>
    <t xml:space="preserve">Soimin </t>
  </si>
  <si>
    <t>PUGUH</t>
  </si>
  <si>
    <t>SENDANG SARI</t>
  </si>
  <si>
    <t>185,02</t>
  </si>
  <si>
    <t xml:space="preserve">Misno </t>
  </si>
  <si>
    <t xml:space="preserve">Katiwon </t>
  </si>
  <si>
    <t xml:space="preserve">Soiran </t>
  </si>
  <si>
    <t>KALIMOJO</t>
  </si>
  <si>
    <t>TANI WIDODO</t>
  </si>
  <si>
    <t>161,06</t>
  </si>
  <si>
    <t xml:space="preserve">Suprapto </t>
  </si>
  <si>
    <t xml:space="preserve">Suratno </t>
  </si>
  <si>
    <t xml:space="preserve">Sunarto </t>
  </si>
  <si>
    <t>WERU</t>
  </si>
  <si>
    <t>127,90</t>
  </si>
  <si>
    <t xml:space="preserve">Sucipto </t>
  </si>
  <si>
    <t xml:space="preserve">Sukamto </t>
  </si>
  <si>
    <t xml:space="preserve">Tukiman </t>
  </si>
  <si>
    <t>KLASEN</t>
  </si>
  <si>
    <t>107,98</t>
  </si>
  <si>
    <t xml:space="preserve">Maarsyahid </t>
  </si>
  <si>
    <t xml:space="preserve">Sulaiman </t>
  </si>
  <si>
    <t>MARGO DADI</t>
  </si>
  <si>
    <t>Suratman</t>
  </si>
  <si>
    <t>Ploso</t>
  </si>
  <si>
    <t>MRAYUN</t>
  </si>
  <si>
    <t>Priono</t>
  </si>
  <si>
    <t>Samadi</t>
  </si>
  <si>
    <t>PUNDUNG</t>
  </si>
  <si>
    <t>Saris Widodo</t>
  </si>
  <si>
    <t>Wahidin</t>
  </si>
  <si>
    <t>SULANG</t>
  </si>
  <si>
    <t>HIDAYAH</t>
  </si>
  <si>
    <t>Wagino</t>
  </si>
  <si>
    <t>Aris Setyawan</t>
  </si>
  <si>
    <t>KURNIA</t>
  </si>
  <si>
    <t>Sari'an</t>
  </si>
  <si>
    <t>KALITELU</t>
  </si>
  <si>
    <t>MARGO ASIH</t>
  </si>
  <si>
    <t>82.16</t>
  </si>
  <si>
    <t>Jartu</t>
  </si>
  <si>
    <t>89,07</t>
  </si>
  <si>
    <t>Sutoyo</t>
  </si>
  <si>
    <t>Tusimin</t>
  </si>
  <si>
    <t>PACING</t>
  </si>
  <si>
    <t>73,77</t>
  </si>
  <si>
    <t>Tukirin</t>
  </si>
  <si>
    <t>74,09</t>
  </si>
  <si>
    <t>Sajuri</t>
  </si>
  <si>
    <t>Windi Melani</t>
  </si>
  <si>
    <t>BANDULAN</t>
  </si>
  <si>
    <t>84,54</t>
  </si>
  <si>
    <t>Wahyudianto</t>
  </si>
  <si>
    <t>Sularman</t>
  </si>
  <si>
    <t>80,29</t>
  </si>
  <si>
    <t>Wanto</t>
  </si>
  <si>
    <t>Sutino</t>
  </si>
  <si>
    <t>KEPUH</t>
  </si>
  <si>
    <t>AMANAH</t>
  </si>
  <si>
    <t>72,24</t>
  </si>
  <si>
    <t>Tuyatno</t>
  </si>
  <si>
    <t>Katmadi</t>
  </si>
  <si>
    <t>Nur Rosyid</t>
  </si>
  <si>
    <t>84,92</t>
  </si>
  <si>
    <t>Moh.Anshori</t>
  </si>
  <si>
    <t>Kamali</t>
  </si>
  <si>
    <t>Mardi Waloyo I</t>
  </si>
  <si>
    <t>Suwondo</t>
  </si>
  <si>
    <t>Malingmati</t>
  </si>
  <si>
    <t>Muliawati</t>
  </si>
  <si>
    <t>Ruswantp</t>
  </si>
  <si>
    <t>Margono</t>
  </si>
  <si>
    <t>Wahyuni</t>
  </si>
  <si>
    <t>Irwan Siswantoro</t>
  </si>
  <si>
    <t>Subagyo</t>
  </si>
  <si>
    <t>Kedungmenjangan</t>
  </si>
  <si>
    <t>Taqiudin</t>
  </si>
  <si>
    <t>Hendri</t>
  </si>
  <si>
    <t>Rely SS</t>
  </si>
  <si>
    <t>Ngrijangan</t>
  </si>
  <si>
    <t>Minangsih</t>
  </si>
  <si>
    <t>Hari Widodo</t>
  </si>
  <si>
    <t>Songkuren</t>
  </si>
  <si>
    <t>Bangun Priyono</t>
  </si>
  <si>
    <t>Janglot</t>
  </si>
  <si>
    <t>Nurini</t>
  </si>
  <si>
    <t>Ngrijang</t>
  </si>
  <si>
    <t>Kladen</t>
  </si>
  <si>
    <t>Danang Wijonarko</t>
  </si>
  <si>
    <t>Ari Susanto</t>
  </si>
  <si>
    <t>Ponari</t>
  </si>
  <si>
    <t>Mardi Waloyo II</t>
  </si>
  <si>
    <t>Fajar Dwi Hantoro</t>
  </si>
  <si>
    <t>Banjarejo</t>
  </si>
  <si>
    <t>Jarot Rahmanto</t>
  </si>
  <si>
    <t>Margodadi</t>
  </si>
  <si>
    <t>Parjan</t>
  </si>
  <si>
    <t>Suseno</t>
  </si>
  <si>
    <t>Sunasir</t>
  </si>
  <si>
    <t>Slamet Riyanto</t>
  </si>
  <si>
    <t>Boyamin</t>
  </si>
  <si>
    <t>Batu Guna</t>
  </si>
  <si>
    <t>Budi Suryanto</t>
  </si>
  <si>
    <t>Mekar Indah</t>
  </si>
  <si>
    <t>Lajur sempu 1</t>
  </si>
  <si>
    <t>Karjuni</t>
  </si>
  <si>
    <t>Katimin</t>
  </si>
  <si>
    <t>Lajur Sempu 2</t>
  </si>
  <si>
    <t>Sawiji</t>
  </si>
  <si>
    <t>Katirin</t>
  </si>
  <si>
    <t>Wadah</t>
  </si>
  <si>
    <t>Lajur Sempu 3</t>
  </si>
  <si>
    <t>Koimin</t>
  </si>
  <si>
    <t>Katmin</t>
  </si>
  <si>
    <t>Mekar sari</t>
  </si>
  <si>
    <t>Lajur Sempu 4</t>
  </si>
  <si>
    <t>Makin</t>
  </si>
  <si>
    <t>Jalito</t>
  </si>
  <si>
    <t>Rokijo</t>
  </si>
  <si>
    <t>Lajur Sempu 5</t>
  </si>
  <si>
    <t>Suyudi</t>
  </si>
  <si>
    <t>Boimin</t>
  </si>
  <si>
    <t>Lajur Sempu 6</t>
  </si>
  <si>
    <t>Kaman</t>
  </si>
  <si>
    <t>Tani Subur</t>
  </si>
  <si>
    <t>Sarman</t>
  </si>
  <si>
    <t>Suparjan</t>
  </si>
  <si>
    <t>Sarjono</t>
  </si>
  <si>
    <t>Mulyosari</t>
  </si>
  <si>
    <t>Mandiri</t>
  </si>
  <si>
    <t>Kariman</t>
  </si>
  <si>
    <t>Erwin</t>
  </si>
  <si>
    <t>Bonandi</t>
  </si>
  <si>
    <t>Sumber Lancar</t>
  </si>
  <si>
    <t>Suparyadi</t>
  </si>
  <si>
    <t>Purworejo</t>
  </si>
  <si>
    <t>Didik</t>
  </si>
  <si>
    <t>Nurcahyono</t>
  </si>
  <si>
    <t>Wagimun</t>
  </si>
  <si>
    <t>Sujiran</t>
  </si>
  <si>
    <t>Juwarni</t>
  </si>
  <si>
    <t>Jaman</t>
  </si>
  <si>
    <t>Sarijan</t>
  </si>
  <si>
    <t>Nurdin</t>
  </si>
  <si>
    <t>Andri</t>
  </si>
  <si>
    <t>Puguh Wahono</t>
  </si>
  <si>
    <t>Paroso</t>
  </si>
  <si>
    <t>Tukiyar</t>
  </si>
  <si>
    <t>Tukirin Toni Antoko</t>
  </si>
  <si>
    <t>Kadelan</t>
  </si>
  <si>
    <t>Pawitno</t>
  </si>
  <si>
    <t>Panijo</t>
  </si>
  <si>
    <t>Paikun</t>
  </si>
  <si>
    <t>Sarkun</t>
  </si>
  <si>
    <t>Seman</t>
  </si>
  <si>
    <t>Wauri</t>
  </si>
  <si>
    <t>Jemadi</t>
  </si>
  <si>
    <t>Latip</t>
  </si>
  <si>
    <t>Didik Saputra</t>
  </si>
  <si>
    <t>Porang/ Hortikultura/ Perkeb/Ternak</t>
  </si>
  <si>
    <t>MISDERI</t>
  </si>
  <si>
    <t>KADINO</t>
  </si>
  <si>
    <t>BARAS</t>
  </si>
  <si>
    <t>Jagung/ Hortikultura/ Perkeb/ Ternak</t>
  </si>
  <si>
    <t>NURDIN</t>
  </si>
  <si>
    <t>MRAKEH</t>
  </si>
  <si>
    <t>JOKO SUNARNO</t>
  </si>
  <si>
    <t>KARANGSONO</t>
  </si>
  <si>
    <t>Padi/ Hortikultura/ Perkeb/ Ternak</t>
  </si>
  <si>
    <t>PARYADI</t>
  </si>
  <si>
    <t>WASIDI</t>
  </si>
  <si>
    <t>BANDU</t>
  </si>
  <si>
    <t>KATIBUN</t>
  </si>
  <si>
    <t>SARJI</t>
  </si>
  <si>
    <t>TENGGER</t>
  </si>
  <si>
    <t>SUKO MAKMUR</t>
  </si>
  <si>
    <t>Porang/Hortikultura/Perkeb/Ternak</t>
  </si>
  <si>
    <t>JAIMIN</t>
  </si>
  <si>
    <t>MIFTAKUL M</t>
  </si>
  <si>
    <t>SYARIFUDIN</t>
  </si>
  <si>
    <t>NGRUMPON</t>
  </si>
  <si>
    <t>SUBUR ABADI</t>
  </si>
  <si>
    <t>JUWAIR</t>
  </si>
  <si>
    <t>KWT SRI TANJUNG</t>
  </si>
  <si>
    <t xml:space="preserve">Aneka Sayuran/ Keripik pisang/ Ternak </t>
  </si>
  <si>
    <t>ENDAH KUSRINI</t>
  </si>
  <si>
    <t>PARTI</t>
  </si>
  <si>
    <t>GODAN</t>
  </si>
  <si>
    <t>SEDYA MULYA 1</t>
  </si>
  <si>
    <t>Padi/ Kelapa,Kakao/Ternak</t>
  </si>
  <si>
    <t>ANGGUR SUMARYANTO</t>
  </si>
  <si>
    <t>TOYIB</t>
  </si>
  <si>
    <t>MISWANDI</t>
  </si>
  <si>
    <t>TANGGUNG</t>
  </si>
  <si>
    <t>SEDYA MULYA 2</t>
  </si>
  <si>
    <t>Padi,Kakao,Porang,Ternak</t>
  </si>
  <si>
    <t>BAMBANG MARSITO</t>
  </si>
  <si>
    <t>NGADA' I</t>
  </si>
  <si>
    <t>SARNIANTO</t>
  </si>
  <si>
    <t>SEDYA MULYA 3</t>
  </si>
  <si>
    <t>Padi/ Jagung/Ternak</t>
  </si>
  <si>
    <t>SAERAN</t>
  </si>
  <si>
    <t>MISKIJO</t>
  </si>
  <si>
    <t>GONDANGREJO</t>
  </si>
  <si>
    <t>SEDYA MULYA 4</t>
  </si>
  <si>
    <t>Jagung/ Ubi kayu/ Porang / Ternak</t>
  </si>
  <si>
    <t>PARYTADI</t>
  </si>
  <si>
    <t>ASFA'UL MUHTADIN</t>
  </si>
  <si>
    <t>KARANGANYAR</t>
  </si>
  <si>
    <t>SEDYA MULYA 5</t>
  </si>
  <si>
    <t>Padi/ Kakao/Ternak</t>
  </si>
  <si>
    <t>JUPRI</t>
  </si>
  <si>
    <t>RIYONO</t>
  </si>
  <si>
    <t>MURIDI</t>
  </si>
  <si>
    <t>WATES</t>
  </si>
  <si>
    <t>SEDYA MULYA 6</t>
  </si>
  <si>
    <t>Padi/ Ubi kayu/ Kelapa/ Ternak</t>
  </si>
  <si>
    <t>SUKATMIN</t>
  </si>
  <si>
    <t>KABUL TRIYONO</t>
  </si>
  <si>
    <t>SARNEN</t>
  </si>
  <si>
    <t>SEDYA MULYA 7</t>
  </si>
  <si>
    <t>Ubi kayu/ Kelapa/ Kopi/ Ternak</t>
  </si>
  <si>
    <t>SUYUDI</t>
  </si>
  <si>
    <t>Padi/ Ubi kayu/Ternak</t>
  </si>
  <si>
    <t>SOIMAN</t>
  </si>
  <si>
    <t>SIDO MAKMUR 2</t>
  </si>
  <si>
    <t>Padi, Jagung, Ubi kayu</t>
  </si>
  <si>
    <t>JEMADI</t>
  </si>
  <si>
    <t>SUPARJI</t>
  </si>
  <si>
    <t>Porang/ Cabe / Kakao/ Ternak</t>
  </si>
  <si>
    <t>DWI SAROYO</t>
  </si>
  <si>
    <t>KADIR</t>
  </si>
  <si>
    <t>Jagung/ Ubi kayu/ Porang/ Ternak</t>
  </si>
  <si>
    <t>KATMANI</t>
  </si>
  <si>
    <t>ISWAHYONO</t>
  </si>
  <si>
    <t>Nglumpang</t>
  </si>
  <si>
    <t>63,09</t>
  </si>
  <si>
    <t>Jaenudin</t>
  </si>
  <si>
    <t>Katmidi</t>
  </si>
  <si>
    <t>Nasikin</t>
  </si>
  <si>
    <t>Gemagarjo</t>
  </si>
  <si>
    <t>Lumpang Bogo  2</t>
  </si>
  <si>
    <t>61,15</t>
  </si>
  <si>
    <t>Juremi</t>
  </si>
  <si>
    <t>24,09</t>
  </si>
  <si>
    <t>Karyani</t>
  </si>
  <si>
    <t>Agus Santoso</t>
  </si>
  <si>
    <t>20,01</t>
  </si>
  <si>
    <t>Sutroto</t>
  </si>
  <si>
    <t>21,08</t>
  </si>
  <si>
    <t>Kutilang  2</t>
  </si>
  <si>
    <t>26,08</t>
  </si>
  <si>
    <t>15,08</t>
  </si>
  <si>
    <t>Heri Siswanto</t>
  </si>
  <si>
    <t>Wanteso</t>
  </si>
  <si>
    <t>Jemari</t>
  </si>
  <si>
    <t>13,02</t>
  </si>
  <si>
    <t>Kadiman</t>
  </si>
  <si>
    <t>Jaeran</t>
  </si>
  <si>
    <t>Muryanto</t>
  </si>
  <si>
    <t>Nurahim</t>
  </si>
  <si>
    <t xml:space="preserve">Sogimin </t>
  </si>
  <si>
    <t>Mispan</t>
  </si>
  <si>
    <t xml:space="preserve">Nglaran </t>
  </si>
  <si>
    <t>Usaha Tani  1</t>
  </si>
  <si>
    <t>Kadino</t>
  </si>
  <si>
    <t>Usaha Tani  2</t>
  </si>
  <si>
    <t>Agus Suroso</t>
  </si>
  <si>
    <t>Moh. Salman</t>
  </si>
  <si>
    <t>Tani Asli 1</t>
  </si>
  <si>
    <t>Sukirno</t>
  </si>
  <si>
    <t>Tani Asli 2</t>
  </si>
  <si>
    <t>Tanggalan</t>
  </si>
  <si>
    <t>Khoirul Anam</t>
  </si>
  <si>
    <t>Kadenianto</t>
  </si>
  <si>
    <t>Tani Maju  2</t>
  </si>
  <si>
    <t>Boyatni</t>
  </si>
  <si>
    <t>Tani Maju  3</t>
  </si>
  <si>
    <t>Padi, Ternak</t>
  </si>
  <si>
    <t>Slamet Riadi</t>
  </si>
  <si>
    <t>Latip Handoko</t>
  </si>
  <si>
    <t>Suweni</t>
  </si>
  <si>
    <t>Saiful Rohmat</t>
  </si>
  <si>
    <t>Andi Susanto</t>
  </si>
  <si>
    <t>Mispari</t>
  </si>
  <si>
    <t>Ngudi  Mulyo 2</t>
  </si>
  <si>
    <t>Yudi Asen Purnahadi</t>
  </si>
  <si>
    <t>Gondosuli</t>
  </si>
  <si>
    <t xml:space="preserve">Sumber Urip Mulyo </t>
  </si>
  <si>
    <t>Tupani</t>
  </si>
  <si>
    <t>Boiran</t>
  </si>
  <si>
    <t>Iwan Adi Putra</t>
  </si>
  <si>
    <t>Sedyo Makmur</t>
  </si>
  <si>
    <t>Kadeni</t>
  </si>
  <si>
    <t>Rahono</t>
  </si>
  <si>
    <t xml:space="preserve">Sumber Rejeki </t>
  </si>
  <si>
    <t>-</t>
  </si>
  <si>
    <t>Khoirun Ni'Mah</t>
  </si>
  <si>
    <t>Neneng Prehatin</t>
  </si>
  <si>
    <t>Sulastri</t>
  </si>
  <si>
    <t xml:space="preserve">Ngudi Tani </t>
  </si>
  <si>
    <t>Juminto</t>
  </si>
  <si>
    <t>Parwoto</t>
  </si>
  <si>
    <t>Marsudi Tani 1</t>
  </si>
  <si>
    <t>Padi/Polowijo</t>
  </si>
  <si>
    <t>Hadimanto</t>
  </si>
  <si>
    <t>Marsudi Tani 2</t>
  </si>
  <si>
    <t>Marjoko</t>
  </si>
  <si>
    <t>Sopani</t>
  </si>
  <si>
    <t>Bubakan</t>
  </si>
  <si>
    <t>Ngudi Rahayu 1</t>
  </si>
  <si>
    <t>Ngudi Rahayu 2</t>
  </si>
  <si>
    <t>Andik Susilo</t>
  </si>
  <si>
    <t>Bonawan</t>
  </si>
  <si>
    <t>Kaligoro</t>
  </si>
  <si>
    <t>Setya Tani 1</t>
  </si>
  <si>
    <t>Nurkolis</t>
  </si>
  <si>
    <t>Atim</t>
  </si>
  <si>
    <t>Setya Tani 2</t>
  </si>
  <si>
    <t>Heri Purnomo</t>
  </si>
  <si>
    <t>Im. Rohmad</t>
  </si>
  <si>
    <t>Muhroji</t>
  </si>
  <si>
    <t>Sundang</t>
  </si>
  <si>
    <t>Sedyo Maju</t>
  </si>
  <si>
    <t>Kasmuri</t>
  </si>
  <si>
    <t>Bibit A</t>
  </si>
  <si>
    <t>Tumpak Salam</t>
  </si>
  <si>
    <t>Salam Rejo</t>
  </si>
  <si>
    <t>Samsun</t>
  </si>
  <si>
    <t>Sungeb</t>
  </si>
  <si>
    <t>Mubadi</t>
  </si>
  <si>
    <t>Tempe</t>
  </si>
  <si>
    <t>20 kg/ hari</t>
  </si>
  <si>
    <t>Siti Winarsih</t>
  </si>
  <si>
    <t>Pranti</t>
  </si>
  <si>
    <t>Suyati</t>
  </si>
  <si>
    <t>30 Kg/hari</t>
  </si>
  <si>
    <t>Ana Irawati</t>
  </si>
  <si>
    <t>Nanik Tri H</t>
  </si>
  <si>
    <t>Insiyah</t>
  </si>
  <si>
    <t>Suhari</t>
  </si>
  <si>
    <t>Paimo</t>
  </si>
  <si>
    <t>Rujito</t>
  </si>
  <si>
    <t>Alik</t>
  </si>
  <si>
    <t>Sirot</t>
  </si>
  <si>
    <t>Secang</t>
  </si>
  <si>
    <t>Ridwan</t>
  </si>
  <si>
    <t>Mustar</t>
  </si>
  <si>
    <t>Kadisun</t>
  </si>
  <si>
    <t>Jemingan</t>
  </si>
  <si>
    <t>Mapudin</t>
  </si>
  <si>
    <t>Andik S</t>
  </si>
  <si>
    <t>Tugiono</t>
  </si>
  <si>
    <t>Suryadin</t>
  </si>
  <si>
    <t>Imam Safi'i</t>
  </si>
  <si>
    <t>Karangturi</t>
  </si>
  <si>
    <t>Jemirun</t>
  </si>
  <si>
    <t>Tungadi</t>
  </si>
  <si>
    <t>David Irawan</t>
  </si>
  <si>
    <t>Ngobyok</t>
  </si>
  <si>
    <t>Joko Sulistyono</t>
  </si>
  <si>
    <t>Iwan Cahyono</t>
  </si>
  <si>
    <t>Aneka Kripik</t>
  </si>
  <si>
    <t>50 kg/hari</t>
  </si>
  <si>
    <t>Sulistyowati</t>
  </si>
  <si>
    <t>Sido Lancar</t>
  </si>
  <si>
    <t>Jumeni</t>
  </si>
  <si>
    <t>Makrup</t>
  </si>
  <si>
    <t>T.Pangan/Horticul/Perkeb/Nak</t>
  </si>
  <si>
    <t>Sardji</t>
  </si>
  <si>
    <t>Jemani</t>
  </si>
  <si>
    <t>Sodi</t>
  </si>
  <si>
    <t>Suparjono</t>
  </si>
  <si>
    <t>Sumber Rejeki 3</t>
  </si>
  <si>
    <t>Misran</t>
  </si>
  <si>
    <t>Tuyanto</t>
  </si>
  <si>
    <t>Mekar Sari 1</t>
  </si>
  <si>
    <t>Karsimun</t>
  </si>
  <si>
    <t>Bonamar</t>
  </si>
  <si>
    <t>Heri C</t>
  </si>
  <si>
    <t>Mekar Sari 2</t>
  </si>
  <si>
    <t>Mekar Sari 3</t>
  </si>
  <si>
    <t>Rejoso</t>
  </si>
  <si>
    <t>Tani Makmur 1</t>
  </si>
  <si>
    <t>Sudarto</t>
  </si>
  <si>
    <t>Tani Makmur 2</t>
  </si>
  <si>
    <t>Jauri</t>
  </si>
  <si>
    <t>Tuwari</t>
  </si>
  <si>
    <t>Tumpakrejo</t>
  </si>
  <si>
    <t>Sumarlin</t>
  </si>
  <si>
    <t>Samsul A</t>
  </si>
  <si>
    <t>Wiranto</t>
  </si>
  <si>
    <t>Syarifudin</t>
  </si>
  <si>
    <t>Radianto</t>
  </si>
  <si>
    <t>Tlogorejo</t>
  </si>
  <si>
    <t>Rokhim</t>
  </si>
  <si>
    <t>Tohari</t>
  </si>
  <si>
    <t>Tumangin</t>
  </si>
  <si>
    <t>Katwanto</t>
  </si>
  <si>
    <t>Sayudi</t>
  </si>
  <si>
    <t>Somo Teguh</t>
  </si>
  <si>
    <t>Kepek</t>
  </si>
  <si>
    <t>Napingin</t>
  </si>
  <si>
    <t>Asngari</t>
  </si>
  <si>
    <t>Bonayat</t>
  </si>
  <si>
    <t>Mekarsari</t>
  </si>
  <si>
    <t>Supranoto</t>
  </si>
  <si>
    <t>Mispar</t>
  </si>
  <si>
    <t>Teguh Santoso</t>
  </si>
  <si>
    <t>Parwadi</t>
  </si>
  <si>
    <t>Iskandar</t>
  </si>
  <si>
    <t>Konto</t>
  </si>
  <si>
    <t>Mungin</t>
  </si>
  <si>
    <t>Katno</t>
  </si>
  <si>
    <t>Bakalan Wetan</t>
  </si>
  <si>
    <t>Bakalan Kulon</t>
  </si>
  <si>
    <t>Sonhaji</t>
  </si>
  <si>
    <t>Basori</t>
  </si>
  <si>
    <t>Ahyar</t>
  </si>
  <si>
    <t>Gandusari</t>
  </si>
  <si>
    <t>Nurhadi</t>
  </si>
  <si>
    <t>Saroni</t>
  </si>
  <si>
    <t>Suhardi</t>
  </si>
  <si>
    <t>Tuwadi</t>
  </si>
  <si>
    <t>Mahmud</t>
  </si>
  <si>
    <t>Jemangin</t>
  </si>
  <si>
    <t>Bonandir</t>
  </si>
  <si>
    <t>Rizka Sutra R</t>
  </si>
  <si>
    <t>Nunuk Ruliasari</t>
  </si>
  <si>
    <t>Efi Trisnawati</t>
  </si>
  <si>
    <t xml:space="preserve">Gabeng </t>
  </si>
  <si>
    <t>Pair</t>
  </si>
  <si>
    <t>Sumiatun</t>
  </si>
  <si>
    <t>Juwair</t>
  </si>
  <si>
    <t>Dwi Suwanto</t>
  </si>
  <si>
    <t>Yayah Jaswadi</t>
  </si>
  <si>
    <t>Semen</t>
  </si>
  <si>
    <t>Tugino</t>
  </si>
  <si>
    <t xml:space="preserve">Darmanto </t>
  </si>
  <si>
    <t>Krina Ependi</t>
  </si>
  <si>
    <t>Seno</t>
  </si>
  <si>
    <t>Joso</t>
  </si>
  <si>
    <t>Jumadi</t>
  </si>
  <si>
    <t>Mujitno</t>
  </si>
  <si>
    <t>Sarmin</t>
  </si>
  <si>
    <t>Danuri</t>
  </si>
  <si>
    <t>KWT.Mugi Lancar</t>
  </si>
  <si>
    <t>Olahan pangan</t>
  </si>
  <si>
    <t xml:space="preserve">Sulistyowati </t>
  </si>
  <si>
    <t>Sutarmi</t>
  </si>
  <si>
    <t>KWT Mawar Putih</t>
  </si>
  <si>
    <t xml:space="preserve">Ade Irma </t>
  </si>
  <si>
    <t>Sulatri</t>
  </si>
  <si>
    <t>Blabak</t>
  </si>
  <si>
    <t>Mustofa</t>
  </si>
  <si>
    <t>Hadi Susanto</t>
  </si>
  <si>
    <t>Imam Bukhori</t>
  </si>
  <si>
    <t>Setu</t>
  </si>
  <si>
    <t>Margiono</t>
  </si>
  <si>
    <t xml:space="preserve">Sirman </t>
  </si>
  <si>
    <t>Gumper</t>
  </si>
  <si>
    <t>Sahlan</t>
  </si>
  <si>
    <t>Sogiran</t>
  </si>
  <si>
    <t xml:space="preserve">Bono </t>
  </si>
  <si>
    <t>Kaderi</t>
  </si>
  <si>
    <t>Suharman</t>
  </si>
  <si>
    <t>Choiri</t>
  </si>
  <si>
    <t>Sukardi</t>
  </si>
  <si>
    <t>Gayeng</t>
  </si>
  <si>
    <t>Soeran</t>
  </si>
  <si>
    <t>Sogi</t>
  </si>
  <si>
    <t>Eko Arif Vidiono</t>
  </si>
  <si>
    <t>Landung</t>
  </si>
  <si>
    <t>KWT.Melati</t>
  </si>
  <si>
    <t>Arik TW</t>
  </si>
  <si>
    <t>Sri Suryani</t>
  </si>
  <si>
    <t xml:space="preserve">Hentin </t>
  </si>
  <si>
    <t xml:space="preserve">Yoyok </t>
  </si>
  <si>
    <t xml:space="preserve">Marsudi Tani </t>
  </si>
  <si>
    <t>Sobiran</t>
  </si>
  <si>
    <t>Yanti</t>
  </si>
  <si>
    <t>Wonodoyo</t>
  </si>
  <si>
    <t xml:space="preserve">Sunarno </t>
  </si>
  <si>
    <t>Joko Riyanto</t>
  </si>
  <si>
    <t>Sahri</t>
  </si>
  <si>
    <t>Marsudi Subur</t>
  </si>
  <si>
    <t>Porwati</t>
  </si>
  <si>
    <t>Wadang</t>
  </si>
  <si>
    <t>Jemu</t>
  </si>
  <si>
    <t>Apin A</t>
  </si>
  <si>
    <t>Sulasmi</t>
  </si>
  <si>
    <t>Padi, Cabai</t>
  </si>
  <si>
    <t>Anas Susilo</t>
  </si>
  <si>
    <t>Eko Siswanto</t>
  </si>
  <si>
    <t>Siyusman</t>
  </si>
  <si>
    <t>Jajar</t>
  </si>
  <si>
    <t>Royal</t>
  </si>
  <si>
    <t>Basri</t>
  </si>
  <si>
    <t>Paugeran</t>
  </si>
  <si>
    <t>Padi, Biofarmaka</t>
  </si>
  <si>
    <t>Beny T</t>
  </si>
  <si>
    <t>Brumbung</t>
  </si>
  <si>
    <t>Jarir</t>
  </si>
  <si>
    <t xml:space="preserve">Anto </t>
  </si>
  <si>
    <t>Dasuki</t>
  </si>
  <si>
    <t>Ahmad Yatno</t>
  </si>
  <si>
    <t>Mashudi</t>
  </si>
  <si>
    <t>Didik Setiyoko</t>
  </si>
  <si>
    <t>Muh.Arif</t>
  </si>
  <si>
    <t>Agus Arifin</t>
  </si>
  <si>
    <t>Eko Heri Wiono</t>
  </si>
  <si>
    <t>Sulis Setyo</t>
  </si>
  <si>
    <t xml:space="preserve">Jemu </t>
  </si>
  <si>
    <t>Senu</t>
  </si>
  <si>
    <t xml:space="preserve"> KWT Srikandi</t>
  </si>
  <si>
    <t>Jamur</t>
  </si>
  <si>
    <t>Riris Evita Suci</t>
  </si>
  <si>
    <t>Sulis S</t>
  </si>
  <si>
    <t>Ririn K</t>
  </si>
  <si>
    <t>LEDOK SARI</t>
  </si>
  <si>
    <t>Padi ,Kambing</t>
  </si>
  <si>
    <t xml:space="preserve">SURATMAN  </t>
  </si>
  <si>
    <t>SRI SADONO</t>
  </si>
  <si>
    <t>Padi,Ternak kambing,Biofarmaka</t>
  </si>
  <si>
    <t>SUTARYONO</t>
  </si>
  <si>
    <t>EDY SARWONO</t>
  </si>
  <si>
    <t>KUSNO</t>
  </si>
  <si>
    <t>GUPAKAN</t>
  </si>
  <si>
    <t>Padi,Biofarmaka ,Janggelan</t>
  </si>
  <si>
    <t>PAINI</t>
  </si>
  <si>
    <t>MARJUKI</t>
  </si>
  <si>
    <t xml:space="preserve">SUKATNO </t>
  </si>
  <si>
    <t>TEMPEL</t>
  </si>
  <si>
    <t>NAWANGGONO</t>
  </si>
  <si>
    <t>Padi,Biofarmaka ,Janggelan,Ternak Sapi</t>
  </si>
  <si>
    <t>SENI</t>
  </si>
  <si>
    <t>SAMURI</t>
  </si>
  <si>
    <t>JASMAN</t>
  </si>
  <si>
    <t>SIDOHARJO</t>
  </si>
  <si>
    <t>Padi,Biofarmaka ,Janggelan,kopi,poramg</t>
  </si>
  <si>
    <t>EDI SURYANTO</t>
  </si>
  <si>
    <t>ANA SULVIA</t>
  </si>
  <si>
    <t>SETYA KARYA</t>
  </si>
  <si>
    <t xml:space="preserve"> Biofarmaka ,Janggelan,kopi,porang,kakao</t>
  </si>
  <si>
    <t>SOMAD</t>
  </si>
  <si>
    <t xml:space="preserve">ADITYA IRFANTA </t>
  </si>
  <si>
    <t>KASIHAN</t>
  </si>
  <si>
    <t>SRI LESTARI</t>
  </si>
  <si>
    <t>Padi,Biofarmaka,Porang</t>
  </si>
  <si>
    <t>DARI</t>
  </si>
  <si>
    <t>PURNIAWAN</t>
  </si>
  <si>
    <t>ANGGA RISTIAWAN</t>
  </si>
  <si>
    <t>SUMBEREJO</t>
  </si>
  <si>
    <t>LULUT SUBEKTI</t>
  </si>
  <si>
    <t>BAMBANG RIYANTO</t>
  </si>
  <si>
    <t>SUTIMAN</t>
  </si>
  <si>
    <t>NAWANGGONO II</t>
  </si>
  <si>
    <t>Padi,Biofarmaka,Porang,Ternak Sapi,</t>
  </si>
  <si>
    <t>MINO</t>
  </si>
  <si>
    <t>JUMIRIN</t>
  </si>
  <si>
    <t>MAKRUF</t>
  </si>
  <si>
    <t>SENDANG MULYO</t>
  </si>
  <si>
    <t>Padi,Biofarmaka,</t>
  </si>
  <si>
    <t xml:space="preserve"> IRVAN ABDUL THOYIBAH</t>
  </si>
  <si>
    <t>ELVI AMBARTININGSIH</t>
  </si>
  <si>
    <t>MOH TAUFIK INSAN</t>
  </si>
  <si>
    <t>KWT. MAWAR</t>
  </si>
  <si>
    <t>ENY SUSANTI</t>
  </si>
  <si>
    <t>ERVI AGUS RIYANTI</t>
  </si>
  <si>
    <t>ENI SULASTRI</t>
  </si>
  <si>
    <t>KWT .MANUNGGAL KARYA</t>
  </si>
  <si>
    <t>sayuran, Biofarmaka</t>
  </si>
  <si>
    <t>SOPIAH</t>
  </si>
  <si>
    <t>TRIYANI</t>
  </si>
  <si>
    <t>HARIANI</t>
  </si>
  <si>
    <t>NAWANGGONO III</t>
  </si>
  <si>
    <t>Janggelan ,Biofarmaka,Porang,Ternak kambing</t>
  </si>
  <si>
    <t>KATIJO</t>
  </si>
  <si>
    <t>AL HUDAINI</t>
  </si>
  <si>
    <t xml:space="preserve">Ngudi Makmur </t>
  </si>
  <si>
    <t>Padi, janggelan, biofarmaka</t>
  </si>
  <si>
    <t xml:space="preserve">Agus </t>
  </si>
  <si>
    <t xml:space="preserve">Yuli </t>
  </si>
  <si>
    <t>Wedi</t>
  </si>
  <si>
    <t>Yudi</t>
  </si>
  <si>
    <t>Padi, Janggelan, perkebunan</t>
  </si>
  <si>
    <t>Marsahid</t>
  </si>
  <si>
    <t>Joko P</t>
  </si>
  <si>
    <t>Darmo</t>
  </si>
  <si>
    <t xml:space="preserve">Taryanto </t>
  </si>
  <si>
    <t>Jenianto</t>
  </si>
  <si>
    <t>Duwet</t>
  </si>
  <si>
    <t>Fajar</t>
  </si>
  <si>
    <t>Sukadwadi</t>
  </si>
  <si>
    <t>Padi, Janggelan, Perkebunan</t>
  </si>
  <si>
    <t>Miserin</t>
  </si>
  <si>
    <t>Eko.S</t>
  </si>
  <si>
    <t>Sutimin</t>
  </si>
  <si>
    <t>Trimulyo</t>
  </si>
  <si>
    <t>Jelok</t>
  </si>
  <si>
    <t>Kasman</t>
  </si>
  <si>
    <t>Joso Kidul</t>
  </si>
  <si>
    <t>Purnomo</t>
  </si>
  <si>
    <t>Heru Purnomo</t>
  </si>
  <si>
    <t>Mukitno</t>
  </si>
  <si>
    <t>Padi, janggekan, hortikultura</t>
  </si>
  <si>
    <t>Debi Dwi Sukisno</t>
  </si>
  <si>
    <t>Sutiyem</t>
  </si>
  <si>
    <t>KWT.Hidayah</t>
  </si>
  <si>
    <t>Tutik Istanti</t>
  </si>
  <si>
    <t>Ina.S</t>
  </si>
  <si>
    <t>Yayuk</t>
  </si>
  <si>
    <t>Bisri</t>
  </si>
  <si>
    <t>Munasir</t>
  </si>
  <si>
    <t>Ihsanudin</t>
  </si>
  <si>
    <t>Bendar</t>
  </si>
  <si>
    <t>Padi, Cabai, Janggelan</t>
  </si>
  <si>
    <t>Hari</t>
  </si>
  <si>
    <t>Miyah</t>
  </si>
  <si>
    <t>Padi, Cabai, Biofarmaka</t>
  </si>
  <si>
    <t>Ibnu Wahib</t>
  </si>
  <si>
    <t>Guwo</t>
  </si>
  <si>
    <t>Sutiman</t>
  </si>
  <si>
    <t>Deri Eko T</t>
  </si>
  <si>
    <t>Sardi</t>
  </si>
  <si>
    <t>Bibit Sunardi</t>
  </si>
  <si>
    <t>Yuyun Purnama Sari</t>
  </si>
  <si>
    <t>Soman</t>
  </si>
  <si>
    <t>Dawuhan</t>
  </si>
  <si>
    <t>Wady Susilo</t>
  </si>
  <si>
    <t>Prayitno</t>
  </si>
  <si>
    <t>Komarudin</t>
  </si>
  <si>
    <t>Sanggur</t>
  </si>
  <si>
    <t>Sukimin</t>
  </si>
  <si>
    <t>Jumain</t>
  </si>
  <si>
    <t>Taman Sari</t>
  </si>
  <si>
    <t>Padi, Kopi, Janggelan</t>
  </si>
  <si>
    <t>Sidi</t>
  </si>
  <si>
    <t>Sodikin</t>
  </si>
  <si>
    <t>Sagiman</t>
  </si>
  <si>
    <t>Padi, Kopi, Ternak Kambing</t>
  </si>
  <si>
    <t>Dwi Hs.</t>
  </si>
  <si>
    <t>Sriyati</t>
  </si>
  <si>
    <t>Padi, Ternak Kambing, Porang</t>
  </si>
  <si>
    <t>Hasan Rosidi</t>
  </si>
  <si>
    <t>KWT.Nusa Indah</t>
  </si>
  <si>
    <t>Rustini</t>
  </si>
  <si>
    <t>Siti</t>
  </si>
  <si>
    <t>Dwi S.</t>
  </si>
  <si>
    <t>Penggung</t>
  </si>
  <si>
    <t>Ternak, Kopi, Janggelan</t>
  </si>
  <si>
    <t>Hadi Wahyu Miyanto</t>
  </si>
  <si>
    <t>Kopi, Biofarmaka</t>
  </si>
  <si>
    <t>Kayatin</t>
  </si>
  <si>
    <t xml:space="preserve">Kairin </t>
  </si>
  <si>
    <t>Cabai, Kopi, Biofarmaka</t>
  </si>
  <si>
    <t>Amin Katino</t>
  </si>
  <si>
    <t>Siki</t>
  </si>
  <si>
    <t>Ternak, Kopi, Cabai, Janggelan</t>
  </si>
  <si>
    <t>Nyadi</t>
  </si>
  <si>
    <t>Tino</t>
  </si>
  <si>
    <t>Karman</t>
  </si>
  <si>
    <t>Sukin</t>
  </si>
  <si>
    <t>Petungero Atas</t>
  </si>
  <si>
    <t>Jeruk, Cabai, Janggelan</t>
  </si>
  <si>
    <t>Wawan Andi Lukito</t>
  </si>
  <si>
    <t>Agus Setyawan</t>
  </si>
  <si>
    <t>Sayudi Zail</t>
  </si>
  <si>
    <t>Jeruk, Kopi, Jagung, Biofarmaka</t>
  </si>
  <si>
    <t>Sabari</t>
  </si>
  <si>
    <t>Petungero Bawah</t>
  </si>
  <si>
    <t>Padi, Jagung, Biofarmaka</t>
  </si>
  <si>
    <t>Rochimin</t>
  </si>
  <si>
    <t>Kemin</t>
  </si>
  <si>
    <t>Padi, Ternak, Biofarmaka</t>
  </si>
  <si>
    <t>Bambang Siswanto</t>
  </si>
  <si>
    <t>Padi, Cabai, Bawang Merah</t>
  </si>
  <si>
    <t>Mohammad Safrudin Irfan</t>
  </si>
  <si>
    <t>Yadi</t>
  </si>
  <si>
    <t>Ahmad Susanto</t>
  </si>
  <si>
    <t>Buratbanyu</t>
  </si>
  <si>
    <t>Sido Rejo</t>
  </si>
  <si>
    <t>Rusman</t>
  </si>
  <si>
    <t>KWT. Sinar pelita</t>
  </si>
  <si>
    <t>Sayuran, Ternak, Janggelan</t>
  </si>
  <si>
    <t>Ika .W</t>
  </si>
  <si>
    <t>Rini</t>
  </si>
  <si>
    <t>Padi, biofarmaka</t>
  </si>
  <si>
    <t>Mudain</t>
  </si>
  <si>
    <t>Priyono</t>
  </si>
  <si>
    <t>Taman</t>
  </si>
  <si>
    <t>Hargo Mulyo</t>
  </si>
  <si>
    <t>Padi, cabai, kopi</t>
  </si>
  <si>
    <t>Imam Muhyidin</t>
  </si>
  <si>
    <t>Sabilal Muhtadin</t>
  </si>
  <si>
    <t>Darminto</t>
  </si>
  <si>
    <t>Menur</t>
  </si>
  <si>
    <t>Padi, Biofarmaka, janggelan</t>
  </si>
  <si>
    <t>Paiman</t>
  </si>
  <si>
    <t>Tumirah</t>
  </si>
  <si>
    <t>Tukijo</t>
  </si>
  <si>
    <t>Padi, Biofarmaka, janggelan, ternak</t>
  </si>
  <si>
    <t>Tukiyatno</t>
  </si>
  <si>
    <t>Katiman</t>
  </si>
  <si>
    <t>Tempel</t>
  </si>
  <si>
    <t>Baru Wungu</t>
  </si>
  <si>
    <t>Mudangin</t>
  </si>
  <si>
    <t>Muladi</t>
  </si>
  <si>
    <t>Bejo Wiyono</t>
  </si>
  <si>
    <t>Sinar Harapan</t>
  </si>
  <si>
    <t>Sutiyo</t>
  </si>
  <si>
    <t>Dian Hardiyanto</t>
  </si>
  <si>
    <t>Katosan</t>
  </si>
  <si>
    <t>Padi, Biofarmaka, cabai, ternak</t>
  </si>
  <si>
    <t>Sunarso</t>
  </si>
  <si>
    <t>Edi Sukirno</t>
  </si>
  <si>
    <t>Mitra Tani</t>
  </si>
  <si>
    <t>Suryo Prayogo</t>
  </si>
  <si>
    <t>Sudra Wibiantoro</t>
  </si>
  <si>
    <t>Adittya Y.P</t>
  </si>
  <si>
    <t>Padi, Biofarmaka, Cabai</t>
  </si>
  <si>
    <t>Purwanto Bayu Aji</t>
  </si>
  <si>
    <t>Eko Budi Santoso</t>
  </si>
  <si>
    <t>Taruna Mandiri</t>
  </si>
  <si>
    <t>Padi, Biofarmaka, Kopi, Tembakau, Ternak</t>
  </si>
  <si>
    <t>Dwi Septianto</t>
  </si>
  <si>
    <t>KWT.Seroja</t>
  </si>
  <si>
    <t>Hortikukltura</t>
  </si>
  <si>
    <t>Deny Indri Absari</t>
  </si>
  <si>
    <t>Eva</t>
  </si>
  <si>
    <t>Tutik</t>
  </si>
  <si>
    <t>Padi, Biofarmaka, hortikultura</t>
  </si>
  <si>
    <t>Sururin Mufidah</t>
  </si>
  <si>
    <t>Redha Adi P</t>
  </si>
  <si>
    <t>Panar</t>
  </si>
  <si>
    <t>Sumitro</t>
  </si>
  <si>
    <t>Subektiyono</t>
  </si>
  <si>
    <t>Tani makmur</t>
  </si>
  <si>
    <t>Tugu</t>
  </si>
  <si>
    <t>Tuyatni</t>
  </si>
  <si>
    <t>Totok Setyawan</t>
  </si>
  <si>
    <t>Dukut</t>
  </si>
  <si>
    <t>nGudi Rahayu II</t>
  </si>
  <si>
    <t>Padi,  Ternak</t>
  </si>
  <si>
    <t>Ahmad Yusuf</t>
  </si>
  <si>
    <t>Lil Masakin</t>
  </si>
  <si>
    <t>Somingan</t>
  </si>
  <si>
    <t>Jamal Rachmadi</t>
  </si>
  <si>
    <t>Siti Nuriyah</t>
  </si>
  <si>
    <t>Hadi Suratman</t>
  </si>
  <si>
    <t>Ngetep</t>
  </si>
  <si>
    <t>Novik Dwi Permala</t>
  </si>
  <si>
    <t>Untung Haryanto</t>
  </si>
  <si>
    <t>KWT. Mawar</t>
  </si>
  <si>
    <t xml:space="preserve">Hortikultura </t>
  </si>
  <si>
    <t>Indah Sriatin</t>
  </si>
  <si>
    <t>Eni Rahayu</t>
  </si>
  <si>
    <t>Parni</t>
  </si>
  <si>
    <t>Kwangen</t>
  </si>
  <si>
    <t>Tri Maryono</t>
  </si>
  <si>
    <t>Cerbon</t>
  </si>
  <si>
    <t>Hadi Winarno</t>
  </si>
  <si>
    <t>Barak</t>
  </si>
  <si>
    <t>Sugiman</t>
  </si>
  <si>
    <t>Henri Suprapto</t>
  </si>
  <si>
    <t>Purwandi</t>
  </si>
  <si>
    <t>Isnanto</t>
  </si>
  <si>
    <t>Prancak</t>
  </si>
  <si>
    <t>Jarwan</t>
  </si>
  <si>
    <t>Via Windu</t>
  </si>
  <si>
    <t>Mommy Ega</t>
  </si>
  <si>
    <t>Budi Atmoko</t>
  </si>
  <si>
    <t>Rukun Makmur VII</t>
  </si>
  <si>
    <t>Sopingi</t>
  </si>
  <si>
    <t>Martono</t>
  </si>
  <si>
    <t>Mekarsari 1</t>
  </si>
  <si>
    <t>Wiji Sularno</t>
  </si>
  <si>
    <t>Landung Dwi Savei</t>
  </si>
  <si>
    <t>Dembo Lor</t>
  </si>
  <si>
    <t>Mekarsari 2</t>
  </si>
  <si>
    <t>Wasito</t>
  </si>
  <si>
    <t>Sumarji</t>
  </si>
  <si>
    <t>Dembo Kidul</t>
  </si>
  <si>
    <t>Mekarsari 3</t>
  </si>
  <si>
    <t>Budi Andiyanto</t>
  </si>
  <si>
    <t>M. Abdul Azis</t>
  </si>
  <si>
    <t>Mekarsari 4</t>
  </si>
  <si>
    <t>Samsul Hidayat</t>
  </si>
  <si>
    <t>Ricca Mara Kusuma</t>
  </si>
  <si>
    <t>Wahyu Subekti</t>
  </si>
  <si>
    <t>Mekarsari 5</t>
  </si>
  <si>
    <t>Sanyoto</t>
  </si>
  <si>
    <t>Tri Hariyadi</t>
  </si>
  <si>
    <t>Makmur 1</t>
  </si>
  <si>
    <t>Untung Santoso</t>
  </si>
  <si>
    <t>Dwi Hermanto</t>
  </si>
  <si>
    <t>Mardianto</t>
  </si>
  <si>
    <t>Makmur 2</t>
  </si>
  <si>
    <t>Sugiartono</t>
  </si>
  <si>
    <t>Mu'adim</t>
  </si>
  <si>
    <t>Amin Kusnaini</t>
  </si>
  <si>
    <t>Beton</t>
  </si>
  <si>
    <t>Makmur 3</t>
  </si>
  <si>
    <t>Makmur 4</t>
  </si>
  <si>
    <t>Panjang</t>
  </si>
  <si>
    <t>Sariyadi</t>
  </si>
  <si>
    <t>Pengolahan hasil</t>
  </si>
  <si>
    <t>Sri Wiyati</t>
  </si>
  <si>
    <t>Sunarsih</t>
  </si>
  <si>
    <t>Mardirejo I</t>
  </si>
  <si>
    <t>Kasab</t>
  </si>
  <si>
    <t>Mardirejo II</t>
  </si>
  <si>
    <t>Eko Sudani</t>
  </si>
  <si>
    <t>Chabib</t>
  </si>
  <si>
    <t>Kaliatas</t>
  </si>
  <si>
    <t>Mardirejo III</t>
  </si>
  <si>
    <t>Teguh Hidayat</t>
  </si>
  <si>
    <t>Mardirejo IV</t>
  </si>
  <si>
    <t>Iswadi</t>
  </si>
  <si>
    <t>Sadikin</t>
  </si>
  <si>
    <t>Mardirejo V</t>
  </si>
  <si>
    <t>Sahro Suharsono</t>
  </si>
  <si>
    <t>Marseno</t>
  </si>
  <si>
    <t>NGUDILUHUR I</t>
  </si>
  <si>
    <t>AGUS HERU SETIJANTO</t>
  </si>
  <si>
    <t>AJI SUMARNO</t>
  </si>
  <si>
    <t>BAGIYONO</t>
  </si>
  <si>
    <t>NGUDILUHUR II</t>
  </si>
  <si>
    <t>HARIYADI</t>
  </si>
  <si>
    <t>NGUDILUHUR III</t>
  </si>
  <si>
    <t>BONARI</t>
  </si>
  <si>
    <t>KATIRAN</t>
  </si>
  <si>
    <t>JEMARI</t>
  </si>
  <si>
    <t>PUCANGNANAS</t>
  </si>
  <si>
    <t>NGUDILUHUR IV</t>
  </si>
  <si>
    <t>SOERIYANTO</t>
  </si>
  <si>
    <t>NGUDILUHUR V</t>
  </si>
  <si>
    <t>MISRATIN</t>
  </si>
  <si>
    <t>MULYADI</t>
  </si>
  <si>
    <t>KWT SUMBER REJEKI</t>
  </si>
  <si>
    <t xml:space="preserve">Pengolahan hasil </t>
  </si>
  <si>
    <t>SUGIATUN</t>
  </si>
  <si>
    <t>PUJIATIN</t>
  </si>
  <si>
    <t>TEGALARUM</t>
  </si>
  <si>
    <t>PADI SAWAH</t>
  </si>
  <si>
    <t>SUHARTOYO</t>
  </si>
  <si>
    <t>DIAN WIDIANTO</t>
  </si>
  <si>
    <t>SARTONO</t>
  </si>
  <si>
    <t>SELOREJO</t>
  </si>
  <si>
    <t>UNTUNG W</t>
  </si>
  <si>
    <t>RAHARJO</t>
  </si>
  <si>
    <t>SUHARYONO</t>
  </si>
  <si>
    <t>JUNAIDI</t>
  </si>
  <si>
    <t>URIP CAHYONO</t>
  </si>
  <si>
    <t xml:space="preserve">BANDUNG WETAN </t>
  </si>
  <si>
    <t>BANGUN REJO I</t>
  </si>
  <si>
    <t>Dani Pandu Darmono</t>
  </si>
  <si>
    <t>Mispandi</t>
  </si>
  <si>
    <t>Djeminen</t>
  </si>
  <si>
    <t>BANDUNG KIDUL</t>
  </si>
  <si>
    <t>BANGUN REJO II</t>
  </si>
  <si>
    <t>Sarmadi</t>
  </si>
  <si>
    <t>Sugeno</t>
  </si>
  <si>
    <t xml:space="preserve">KRAJAN </t>
  </si>
  <si>
    <t>BANGUN REJO III</t>
  </si>
  <si>
    <t>Ali Sukandar</t>
  </si>
  <si>
    <t>Jamil</t>
  </si>
  <si>
    <t>Eko Budidaya</t>
  </si>
  <si>
    <t>PLUGON</t>
  </si>
  <si>
    <t>BANGUN REJO IV</t>
  </si>
  <si>
    <t>Eko Heriyanto</t>
  </si>
  <si>
    <t>Heru Wahyudi</t>
  </si>
  <si>
    <t>Ahmad Komarudin</t>
  </si>
  <si>
    <t>KARANG</t>
  </si>
  <si>
    <t>BANGUN REJO V</t>
  </si>
  <si>
    <t>Hariyadi</t>
  </si>
  <si>
    <t>BANDUNG KULON</t>
  </si>
  <si>
    <t>BANGUN REJO VI</t>
  </si>
  <si>
    <t>Anang Mujadi</t>
  </si>
  <si>
    <t>Wiji Listiyono</t>
  </si>
  <si>
    <t>NGLEMBU</t>
  </si>
  <si>
    <t>BANGUN REJO VII</t>
  </si>
  <si>
    <t>Aris Susanto</t>
  </si>
  <si>
    <t>Somo Boeran</t>
  </si>
  <si>
    <t>BRUNGKAH</t>
  </si>
  <si>
    <t>BANGUN REJO VIII</t>
  </si>
  <si>
    <t>BANGUN REJO IX</t>
  </si>
  <si>
    <t>Tukadi</t>
  </si>
  <si>
    <t>Soejarno</t>
  </si>
  <si>
    <t xml:space="preserve">PADI SAWAH </t>
  </si>
  <si>
    <t>TUUMADI</t>
  </si>
  <si>
    <t>MISNI HIDAYAT</t>
  </si>
  <si>
    <t>SULISTIONO</t>
  </si>
  <si>
    <t>SUKATNI</t>
  </si>
  <si>
    <t>BROJOL</t>
  </si>
  <si>
    <t>LUDIYANTO</t>
  </si>
  <si>
    <t>ADIP SETIYONO</t>
  </si>
  <si>
    <t>SUGENG SUBROTO</t>
  </si>
  <si>
    <t>SANTO</t>
  </si>
  <si>
    <t>BANAR JAYA</t>
  </si>
  <si>
    <t>BOYANDI</t>
  </si>
  <si>
    <t>KATWANTO</t>
  </si>
  <si>
    <t>JUWANTO</t>
  </si>
  <si>
    <t>SUJUD</t>
  </si>
  <si>
    <t>CAHYO PUSPITO</t>
  </si>
  <si>
    <t>Perkebunan</t>
  </si>
  <si>
    <t>Sukamto</t>
  </si>
  <si>
    <t>Maron</t>
  </si>
  <si>
    <t>Sukudi</t>
  </si>
  <si>
    <t>Sidowayah</t>
  </si>
  <si>
    <t>Bambang Supriyono</t>
  </si>
  <si>
    <t>Slamet Widodo</t>
  </si>
  <si>
    <t>Padi, Perkebunan</t>
  </si>
  <si>
    <t>Chomarudin</t>
  </si>
  <si>
    <t>Agus Suroto</t>
  </si>
  <si>
    <t>Sipen</t>
  </si>
  <si>
    <t>Sabariyanto</t>
  </si>
  <si>
    <t>Padi, Pekebunan</t>
  </si>
  <si>
    <t>130.11</t>
  </si>
  <si>
    <t>Teguh Triyono</t>
  </si>
  <si>
    <t>Wahyanto</t>
  </si>
  <si>
    <t>GAUTO</t>
  </si>
  <si>
    <t>Pekebunan, Holtikultura</t>
  </si>
  <si>
    <t>80.13</t>
  </si>
  <si>
    <t>Tomin</t>
  </si>
  <si>
    <t>Parnyoto</t>
  </si>
  <si>
    <t>MIRI</t>
  </si>
  <si>
    <t>180.57</t>
  </si>
  <si>
    <t>Sulasto</t>
  </si>
  <si>
    <t>Suparwanto</t>
  </si>
  <si>
    <t>Basir W</t>
  </si>
  <si>
    <t>KASRI</t>
  </si>
  <si>
    <t>150,73</t>
  </si>
  <si>
    <t>Al Amin</t>
  </si>
  <si>
    <t>Sae'an</t>
  </si>
  <si>
    <t>120.16</t>
  </si>
  <si>
    <t>Purwadadi</t>
  </si>
  <si>
    <t>Wiwit Utomo</t>
  </si>
  <si>
    <t>Galih</t>
  </si>
  <si>
    <t>Eko Prastiyono</t>
  </si>
  <si>
    <t>Kiki Sahroni</t>
  </si>
  <si>
    <t>Kepuh</t>
  </si>
  <si>
    <t>Misto</t>
  </si>
  <si>
    <t>Kajon</t>
  </si>
  <si>
    <t>ERAS SOBO V</t>
  </si>
  <si>
    <t>Edi Hartanto</t>
  </si>
  <si>
    <t>Waimin</t>
  </si>
  <si>
    <t>GARENG KIDUL</t>
  </si>
  <si>
    <t>Peni I</t>
  </si>
  <si>
    <t>Slamet Hariyanto</t>
  </si>
  <si>
    <t>Hadi Utomo</t>
  </si>
  <si>
    <t>Gigih Pratama</t>
  </si>
  <si>
    <t>GARENG LOR</t>
  </si>
  <si>
    <t>Peni II</t>
  </si>
  <si>
    <t>Joko Susianto</t>
  </si>
  <si>
    <t>Eldo Reky Pohandra</t>
  </si>
  <si>
    <t>BANDARANGIN</t>
  </si>
  <si>
    <t>Peni III</t>
  </si>
  <si>
    <t>Dwi Cahyono</t>
  </si>
  <si>
    <t>Peni IV</t>
  </si>
  <si>
    <t>Suparyanto</t>
  </si>
  <si>
    <t>SETRIYAN</t>
  </si>
  <si>
    <t>Peni V</t>
  </si>
  <si>
    <t>Amin Tohari</t>
  </si>
  <si>
    <t>Jasmani</t>
  </si>
  <si>
    <t>JANGKRIK</t>
  </si>
  <si>
    <t>Peni VI</t>
  </si>
  <si>
    <t>Maulani</t>
  </si>
  <si>
    <t>Dwi Rijanto</t>
  </si>
  <si>
    <t>Imam Sopingi</t>
  </si>
  <si>
    <t>Peni VII</t>
  </si>
  <si>
    <t>Ba'do</t>
  </si>
  <si>
    <t>Peni VIII</t>
  </si>
  <si>
    <t>Eko Priyanto</t>
  </si>
  <si>
    <t>KWT Peni</t>
  </si>
  <si>
    <t>Nanik Handayani</t>
  </si>
  <si>
    <t>Puji Saptawati</t>
  </si>
  <si>
    <t>Susilowati</t>
  </si>
  <si>
    <t>Murni Wahyudati</t>
  </si>
  <si>
    <t>Titik</t>
  </si>
  <si>
    <t>DOKO</t>
  </si>
  <si>
    <t>Tunas Harapan I</t>
  </si>
  <si>
    <t>Tuti Eni</t>
  </si>
  <si>
    <t>Tri Cahyono</t>
  </si>
  <si>
    <t>Sumartono</t>
  </si>
  <si>
    <t>PUCUNG WETAN</t>
  </si>
  <si>
    <t>Tunas Harapan II</t>
  </si>
  <si>
    <t>Topan</t>
  </si>
  <si>
    <t>Bibit Winanto</t>
  </si>
  <si>
    <t>KEBONDALEM</t>
  </si>
  <si>
    <t>Tunas Harapan III</t>
  </si>
  <si>
    <t>Edi Sujarwo</t>
  </si>
  <si>
    <t>Harmanto</t>
  </si>
  <si>
    <t>KANGKUNG</t>
  </si>
  <si>
    <t>Tunas Harapan IV</t>
  </si>
  <si>
    <t>Lagiyono</t>
  </si>
  <si>
    <t>Djemain</t>
  </si>
  <si>
    <t>Marjono</t>
  </si>
  <si>
    <t>DAMAS</t>
  </si>
  <si>
    <t>Tunas Harapan V</t>
  </si>
  <si>
    <t>Hasim Musthofa</t>
  </si>
  <si>
    <t>Bibit Santoso</t>
  </si>
  <si>
    <t>BONDALEM</t>
  </si>
  <si>
    <t>Tunas Harapan VI</t>
  </si>
  <si>
    <t>Tri Budiono</t>
  </si>
  <si>
    <t>Tugianto</t>
  </si>
  <si>
    <t>Warsono</t>
  </si>
  <si>
    <t>SOGO</t>
  </si>
  <si>
    <t>Tunas Harapan VII</t>
  </si>
  <si>
    <t>Koiri</t>
  </si>
  <si>
    <t>Yunarko</t>
  </si>
  <si>
    <t>PUCUNG KULON</t>
  </si>
  <si>
    <t>Tunas Harapan VIII</t>
  </si>
  <si>
    <t>TAMAN</t>
  </si>
  <si>
    <t>Tunas Harapan IX</t>
  </si>
  <si>
    <t>Agus Subrasto</t>
  </si>
  <si>
    <t>Misdianto</t>
  </si>
  <si>
    <t>Ponijan</t>
  </si>
  <si>
    <t>KWT Matahari</t>
  </si>
  <si>
    <t>Wastiyah</t>
  </si>
  <si>
    <t>Surini</t>
  </si>
  <si>
    <t>Karmini</t>
  </si>
  <si>
    <t>Widyasana I</t>
  </si>
  <si>
    <t>Lilik Sutrisno</t>
  </si>
  <si>
    <t>Mahput Dianto</t>
  </si>
  <si>
    <t>Widoyoko</t>
  </si>
  <si>
    <t>SOGE</t>
  </si>
  <si>
    <t>Widyasana II</t>
  </si>
  <si>
    <t>Rudianto</t>
  </si>
  <si>
    <t>Widyasana III</t>
  </si>
  <si>
    <t>Sutcahyo</t>
  </si>
  <si>
    <t>Rodjikin</t>
  </si>
  <si>
    <t>TEMPURSARI</t>
  </si>
  <si>
    <t>Widyasana IV</t>
  </si>
  <si>
    <t>Sugiatno</t>
  </si>
  <si>
    <t>Beni S</t>
  </si>
  <si>
    <t>Kadam</t>
  </si>
  <si>
    <t>TAMANGSARI</t>
  </si>
  <si>
    <t>Widyasana V</t>
  </si>
  <si>
    <t>Muryoto</t>
  </si>
  <si>
    <t>Titis</t>
  </si>
  <si>
    <t>TAWANG WETAN</t>
  </si>
  <si>
    <t>Widyasana VI</t>
  </si>
  <si>
    <t>Fajar Riyanto</t>
  </si>
  <si>
    <t>Rudy Hermansyah</t>
  </si>
  <si>
    <t>TAWANG KULON</t>
  </si>
  <si>
    <t>Mardi Santoso</t>
  </si>
  <si>
    <t>Sulismi</t>
  </si>
  <si>
    <t>LEDOK WETAN</t>
  </si>
  <si>
    <t>Widyasana VIII</t>
  </si>
  <si>
    <t>Tamto</t>
  </si>
  <si>
    <t>Mustakim</t>
  </si>
  <si>
    <t>Sujud Hermanto</t>
  </si>
  <si>
    <t>LEDOK KULON</t>
  </si>
  <si>
    <t>Widyasana IX</t>
  </si>
  <si>
    <t>Parwandi</t>
  </si>
  <si>
    <t>KWT Lestari Mulyo</t>
  </si>
  <si>
    <t>Sukatmi</t>
  </si>
  <si>
    <t>Indayani</t>
  </si>
  <si>
    <t>NAWANGAN</t>
  </si>
  <si>
    <t>Mardi Rahayu I</t>
  </si>
  <si>
    <t>SARMUJI</t>
  </si>
  <si>
    <t>Mardi Rahayu II</t>
  </si>
  <si>
    <t>JURIMIN</t>
  </si>
  <si>
    <t>BEJO SUWENO</t>
  </si>
  <si>
    <t>SUBAKAT</t>
  </si>
  <si>
    <t>LODRO</t>
  </si>
  <si>
    <t>Mardi Rahayu III</t>
  </si>
  <si>
    <t>SUKATWAN</t>
  </si>
  <si>
    <t>IMAM S.</t>
  </si>
  <si>
    <t>GUNTORO</t>
  </si>
  <si>
    <t>Mardi Rahayu IV</t>
  </si>
  <si>
    <t>IMAM DAYO</t>
  </si>
  <si>
    <t>DIRO</t>
  </si>
  <si>
    <t>Mardi Rahayu V</t>
  </si>
  <si>
    <t>SUPARWAN</t>
  </si>
  <si>
    <t>ARBAI</t>
  </si>
  <si>
    <t>JAYAN</t>
  </si>
  <si>
    <t>Mardi Rahayu VI</t>
  </si>
  <si>
    <t>MARWOTO</t>
  </si>
  <si>
    <t>TUNGADI</t>
  </si>
  <si>
    <t>SAMSUL H.</t>
  </si>
  <si>
    <t>PUNJUL</t>
  </si>
  <si>
    <t>Mardi Rahayu VII</t>
  </si>
  <si>
    <t>TRI SETYO BAKTI</t>
  </si>
  <si>
    <t>TULUS</t>
  </si>
  <si>
    <t>KUSTONO</t>
  </si>
  <si>
    <t>BOGOHARJO</t>
  </si>
  <si>
    <t>KWT Mardi Rahayu</t>
  </si>
  <si>
    <t>ENI RUSWATI</t>
  </si>
  <si>
    <t>MISYATI</t>
  </si>
  <si>
    <t>NOGOSARI</t>
  </si>
  <si>
    <t>Im Samsuri</t>
  </si>
  <si>
    <t>Trina</t>
  </si>
  <si>
    <t>Marsidi</t>
  </si>
  <si>
    <t>Dwiyanto</t>
  </si>
  <si>
    <t>Andik H</t>
  </si>
  <si>
    <t>Tulus K</t>
  </si>
  <si>
    <t>Kadi</t>
  </si>
  <si>
    <t>NGLURAH</t>
  </si>
  <si>
    <t>Tukatno</t>
  </si>
  <si>
    <t>Jarwoto</t>
  </si>
  <si>
    <t>B Pramono</t>
  </si>
  <si>
    <t>Tunggul</t>
  </si>
  <si>
    <t>WALUH TOWO</t>
  </si>
  <si>
    <t>Epantono</t>
  </si>
  <si>
    <t>Wiswadi</t>
  </si>
  <si>
    <t>Sumali</t>
  </si>
  <si>
    <t>Sogiat</t>
  </si>
  <si>
    <t>Sarjuni</t>
  </si>
  <si>
    <t>Kukuh</t>
  </si>
  <si>
    <t>Pariman</t>
  </si>
  <si>
    <t>Maijan</t>
  </si>
  <si>
    <t>Lesmono</t>
  </si>
  <si>
    <t>Boijo</t>
  </si>
  <si>
    <t>KETOS</t>
  </si>
  <si>
    <t>DARMA BAKTI</t>
  </si>
  <si>
    <t>Mukti Ali</t>
  </si>
  <si>
    <t>Imam R</t>
  </si>
  <si>
    <t>SAMBI</t>
  </si>
  <si>
    <t>MISNIANTO</t>
  </si>
  <si>
    <t>NGOBAL</t>
  </si>
  <si>
    <t>DJUMIYAT</t>
  </si>
  <si>
    <t>SUBAKIR</t>
  </si>
  <si>
    <t>KRAKET</t>
  </si>
  <si>
    <t>JURITNO</t>
  </si>
  <si>
    <t>MISKAT</t>
  </si>
  <si>
    <t>ATIP PRASETYO</t>
  </si>
  <si>
    <t>SUPANDI</t>
  </si>
  <si>
    <t>PARNGADI</t>
  </si>
  <si>
    <t>KATIR</t>
  </si>
  <si>
    <t>SURAHNO</t>
  </si>
  <si>
    <t>PAIMIN</t>
  </si>
  <si>
    <t>BATANG</t>
  </si>
  <si>
    <t>PAIJAN</t>
  </si>
  <si>
    <t>Untung Sujadi</t>
  </si>
  <si>
    <t>Solikhin</t>
  </si>
  <si>
    <t>Tuban</t>
  </si>
  <si>
    <t>Sumardoyo</t>
  </si>
  <si>
    <t>Kriyan</t>
  </si>
  <si>
    <t xml:space="preserve">Padi </t>
  </si>
  <si>
    <t>Slamet R.</t>
  </si>
  <si>
    <t>Romli</t>
  </si>
  <si>
    <t xml:space="preserve">Plelen </t>
  </si>
  <si>
    <t>Jarwanto</t>
  </si>
  <si>
    <t>Amat Jaidin</t>
  </si>
  <si>
    <t>Harsoyo</t>
  </si>
  <si>
    <t>Barehan</t>
  </si>
  <si>
    <t xml:space="preserve">Miswan </t>
  </si>
  <si>
    <t>Rinanto</t>
  </si>
  <si>
    <t>Dwi Setiyawan</t>
  </si>
  <si>
    <t>Bina Mashuri</t>
  </si>
  <si>
    <t>Gatot Wahyudi</t>
  </si>
  <si>
    <t>Balong</t>
  </si>
  <si>
    <t>Daryono</t>
  </si>
  <si>
    <t>Nasrowi</t>
  </si>
  <si>
    <t>Mukti</t>
  </si>
  <si>
    <t>Teleng</t>
  </si>
  <si>
    <t>Wenang Pamungkas</t>
  </si>
  <si>
    <t>Rosi Kieswara P.H</t>
  </si>
  <si>
    <t>Hendri Susanto</t>
  </si>
  <si>
    <t>Ruminarto</t>
  </si>
  <si>
    <t>Moh. Kasim</t>
  </si>
  <si>
    <t>Parno</t>
  </si>
  <si>
    <t>Mualim</t>
  </si>
  <si>
    <t>Ribut Setiyono</t>
  </si>
  <si>
    <t>KRPL</t>
  </si>
  <si>
    <t>Trisnawati</t>
  </si>
  <si>
    <t>Puryani D.A</t>
  </si>
  <si>
    <t>Purwati</t>
  </si>
  <si>
    <t>Susu Kedelai</t>
  </si>
  <si>
    <t>Siti Marsiyah</t>
  </si>
  <si>
    <t>Pariyem</t>
  </si>
  <si>
    <t>Ambar</t>
  </si>
  <si>
    <t>Zaenal Arifin</t>
  </si>
  <si>
    <t>Ali Mustofa</t>
  </si>
  <si>
    <t>Ngampel</t>
  </si>
  <si>
    <t>Landung Supriyadi</t>
  </si>
  <si>
    <t>Fuat Adi Candra</t>
  </si>
  <si>
    <t>Bahadun Abdul Isnaini</t>
  </si>
  <si>
    <t>Mhd Tohir</t>
  </si>
  <si>
    <t>Kusrin</t>
  </si>
  <si>
    <t>Imam Khoiri</t>
  </si>
  <si>
    <t>Arifianto</t>
  </si>
  <si>
    <t>Blumbang</t>
  </si>
  <si>
    <t>Ruslani</t>
  </si>
  <si>
    <t>Puji Santoso</t>
  </si>
  <si>
    <t>Agus Winarno</t>
  </si>
  <si>
    <t xml:space="preserve">Peden </t>
  </si>
  <si>
    <t>Wahyu Hidayat</t>
  </si>
  <si>
    <t>Tomi Wahyudi</t>
  </si>
  <si>
    <t>Imam Mujahid</t>
  </si>
  <si>
    <t>12,2</t>
  </si>
  <si>
    <t>Herni Sm</t>
  </si>
  <si>
    <t>Adi</t>
  </si>
  <si>
    <t>Bambang.S</t>
  </si>
  <si>
    <t>Dayat</t>
  </si>
  <si>
    <t>Mahfut</t>
  </si>
  <si>
    <t>Ngalimi</t>
  </si>
  <si>
    <t>Nining S.</t>
  </si>
  <si>
    <t>Asmawati</t>
  </si>
  <si>
    <t>Nur Hidayat</t>
  </si>
  <si>
    <t>Eko Asromindarto</t>
  </si>
  <si>
    <t>Kiteran</t>
  </si>
  <si>
    <t>Khaya Tunas Hudaini</t>
  </si>
  <si>
    <t>Imam Kadis</t>
  </si>
  <si>
    <t>Hadi Supeni</t>
  </si>
  <si>
    <t>Imam Suhudi</t>
  </si>
  <si>
    <t>Sumbodo</t>
  </si>
  <si>
    <t>Hariyanto</t>
  </si>
  <si>
    <t>Ngerjoso</t>
  </si>
  <si>
    <t>Seno Aji</t>
  </si>
  <si>
    <t>Iman Kodo'i</t>
  </si>
  <si>
    <t>Sukisno</t>
  </si>
  <si>
    <t>Prambon</t>
  </si>
  <si>
    <t>Bakri</t>
  </si>
  <si>
    <t>Triwulida Candra</t>
  </si>
  <si>
    <t>Joko Santoso</t>
  </si>
  <si>
    <t>Edy Pitoko</t>
  </si>
  <si>
    <t>Sumaryadi</t>
  </si>
  <si>
    <t xml:space="preserve">KWT Sido Rukun </t>
  </si>
  <si>
    <t>Ida Istikomah</t>
  </si>
  <si>
    <t>Wuryani</t>
  </si>
  <si>
    <t>Sukadji</t>
  </si>
  <si>
    <t>Nogosari</t>
  </si>
  <si>
    <t>Amir Mahmud</t>
  </si>
  <si>
    <t>Wahyuli</t>
  </si>
  <si>
    <t>Mujani</t>
  </si>
  <si>
    <t>Siwilan</t>
  </si>
  <si>
    <t>Eko Purwanto</t>
  </si>
  <si>
    <t>Sulis Setyo Budi</t>
  </si>
  <si>
    <t>Gundi</t>
  </si>
  <si>
    <t>Wuryanto</t>
  </si>
  <si>
    <t>Muryati</t>
  </si>
  <si>
    <t>Dwi Lestari</t>
  </si>
  <si>
    <t>Yasri</t>
  </si>
  <si>
    <t>Beta Lusiana</t>
  </si>
  <si>
    <t>Meta Listiyana</t>
  </si>
  <si>
    <t>Widiya R.</t>
  </si>
  <si>
    <t>Sigit Prabowo</t>
  </si>
  <si>
    <t>Latif Amirudin</t>
  </si>
  <si>
    <t>Astho Widayat</t>
  </si>
  <si>
    <t>Suko Winoto</t>
  </si>
  <si>
    <t>Muh. Rosidin</t>
  </si>
  <si>
    <t>Muh. Khoiri</t>
  </si>
  <si>
    <t>Mendole</t>
  </si>
  <si>
    <t>Choirul Imron</t>
  </si>
  <si>
    <t>Moh. Basori</t>
  </si>
  <si>
    <t>Ngemplak</t>
  </si>
  <si>
    <t>Amat Rifa'i</t>
  </si>
  <si>
    <t>Hadi Siswanto</t>
  </si>
  <si>
    <t>Umi Sa'Diyah</t>
  </si>
  <si>
    <t>Sulastin</t>
  </si>
  <si>
    <t>Sri Agustini</t>
  </si>
  <si>
    <t>Pager</t>
  </si>
  <si>
    <t>Kauman</t>
  </si>
  <si>
    <t>Aris Widayat</t>
  </si>
  <si>
    <t>Mugiono</t>
  </si>
  <si>
    <t>Slamet Setyono</t>
  </si>
  <si>
    <t>Bowongan</t>
  </si>
  <si>
    <t>Sunoto</t>
  </si>
  <si>
    <t>Tri Rahayu</t>
  </si>
  <si>
    <t>Minarsih</t>
  </si>
  <si>
    <t>Barang</t>
  </si>
  <si>
    <t>Suharta</t>
  </si>
  <si>
    <t>Kwarasan</t>
  </si>
  <si>
    <t>10</t>
  </si>
  <si>
    <t>Kamyadi</t>
  </si>
  <si>
    <t>Purwoharjo</t>
  </si>
  <si>
    <t>Eko Proyo II</t>
  </si>
  <si>
    <t>17</t>
  </si>
  <si>
    <t>Bisri Mustofa</t>
  </si>
  <si>
    <t>Zainul Muttaqin</t>
  </si>
  <si>
    <t>Krpl</t>
  </si>
  <si>
    <t>2</t>
  </si>
  <si>
    <t>Indar</t>
  </si>
  <si>
    <t>Ika Hariani</t>
  </si>
  <si>
    <t>Dwi Rosika</t>
  </si>
  <si>
    <t>Pulung Gilang S.</t>
  </si>
  <si>
    <t>Sahrin</t>
  </si>
  <si>
    <t>Edi Santoso</t>
  </si>
  <si>
    <t>Betulo</t>
  </si>
  <si>
    <t>Surani</t>
  </si>
  <si>
    <t>Wasono</t>
  </si>
  <si>
    <t>Sundeng</t>
  </si>
  <si>
    <t>Padi,Polowijo</t>
  </si>
  <si>
    <t>Pujud Murdianto</t>
  </si>
  <si>
    <t>Jumelan</t>
  </si>
  <si>
    <t>Selare</t>
  </si>
  <si>
    <t>Agus romladi</t>
  </si>
  <si>
    <t>Suryo W.</t>
  </si>
  <si>
    <t>Hj. Sudarmi</t>
  </si>
  <si>
    <t>Suhartini</t>
  </si>
  <si>
    <t>Endi Wiyono</t>
  </si>
  <si>
    <t>Poniman</t>
  </si>
  <si>
    <t>Anang Surajo</t>
  </si>
  <si>
    <t>Krajan I</t>
  </si>
  <si>
    <t>Krajan II</t>
  </si>
  <si>
    <t>Timbul Susilo</t>
  </si>
  <si>
    <t>Hariono</t>
  </si>
  <si>
    <t>Krajan III</t>
  </si>
  <si>
    <t>Gogo,Polowijo</t>
  </si>
  <si>
    <t>Pujo Efendi</t>
  </si>
  <si>
    <t>Kembang Kidul</t>
  </si>
  <si>
    <t>Eko Hari Wibowo</t>
  </si>
  <si>
    <t>Dedi Irwanto</t>
  </si>
  <si>
    <t>Kembang Lor</t>
  </si>
  <si>
    <t>Roni Suranto</t>
  </si>
  <si>
    <t>Djuri</t>
  </si>
  <si>
    <t>Arif Fiyanto</t>
  </si>
  <si>
    <t>Deddy Prasetya</t>
  </si>
  <si>
    <t>Bagiono</t>
  </si>
  <si>
    <t>Craken Wetan</t>
  </si>
  <si>
    <t>Adi Suhartono</t>
  </si>
  <si>
    <t>Haryadi</t>
  </si>
  <si>
    <t>Craken Kulon</t>
  </si>
  <si>
    <t>Bekti Basuki</t>
  </si>
  <si>
    <t>Gatot Subroto</t>
  </si>
  <si>
    <t>Mahmudi</t>
  </si>
  <si>
    <t>Slamet Haryanto</t>
  </si>
  <si>
    <t>Dwi Prasetyo</t>
  </si>
  <si>
    <t xml:space="preserve">Anita Nurayu S </t>
  </si>
  <si>
    <t>Ucik Puryani</t>
  </si>
  <si>
    <t>Rista Darwati</t>
  </si>
  <si>
    <t>Ani Tri Murti</t>
  </si>
  <si>
    <t>Eni Dwi Lestiyani</t>
  </si>
  <si>
    <t>Pucangrejo</t>
  </si>
  <si>
    <t>Karyo Tomo I</t>
  </si>
  <si>
    <t>Gati</t>
  </si>
  <si>
    <t>Kurnianto</t>
  </si>
  <si>
    <t>Karyo Tomo II</t>
  </si>
  <si>
    <t>Samto</t>
  </si>
  <si>
    <t>Suripno</t>
  </si>
  <si>
    <t>Gantung Wetan</t>
  </si>
  <si>
    <t>Manunggal I</t>
  </si>
  <si>
    <t xml:space="preserve">Padi, Palawija </t>
  </si>
  <si>
    <t>Soerja Handaja</t>
  </si>
  <si>
    <t>Gantung Kulon</t>
  </si>
  <si>
    <t>Misratno</t>
  </si>
  <si>
    <t>Katibi</t>
  </si>
  <si>
    <t>Ngledok</t>
  </si>
  <si>
    <t>Isni</t>
  </si>
  <si>
    <t>Wasino</t>
  </si>
  <si>
    <t>Nurman W</t>
  </si>
  <si>
    <t>Widya Awy K</t>
  </si>
  <si>
    <t>Bengkal</t>
  </si>
  <si>
    <t>Budiyanto</t>
  </si>
  <si>
    <t>Joko Lelono</t>
  </si>
  <si>
    <t>Nur Hidayati</t>
  </si>
  <si>
    <t>Ngaglik</t>
  </si>
  <si>
    <t>Wiwit Budi Santoso</t>
  </si>
  <si>
    <t>M.Ichroni</t>
  </si>
  <si>
    <t>Wiyoso</t>
  </si>
  <si>
    <t>Tri Setyobudi</t>
  </si>
  <si>
    <t>Imam Basori</t>
  </si>
  <si>
    <t>Bayu Aji Setiawan</t>
  </si>
  <si>
    <t>Langgeng</t>
  </si>
  <si>
    <t>Sujandono</t>
  </si>
  <si>
    <t>Nglebengan</t>
  </si>
  <si>
    <t>Padi,Cabe</t>
  </si>
  <si>
    <t>Saiful Maarif</t>
  </si>
  <si>
    <t>Irfan</t>
  </si>
  <si>
    <t>Yoyok Suroso</t>
  </si>
  <si>
    <t>Intensifikasi Pekarangan</t>
  </si>
  <si>
    <t>Anik Dwi Handayani</t>
  </si>
  <si>
    <t>Damilah</t>
  </si>
  <si>
    <t>Minuk</t>
  </si>
  <si>
    <t>Dwi Mawarno</t>
  </si>
  <si>
    <t>Sri Handayani</t>
  </si>
  <si>
    <t>Duduhan</t>
  </si>
  <si>
    <t>Widiana Ardi</t>
  </si>
  <si>
    <t>Imam Rokhani</t>
  </si>
  <si>
    <t>Kedawung</t>
  </si>
  <si>
    <t>Amsar Mahmudi</t>
  </si>
  <si>
    <t>Wawan Tristanto</t>
  </si>
  <si>
    <t>Wawan Tri Cahyono</t>
  </si>
  <si>
    <t>Aris Wahono</t>
  </si>
  <si>
    <t>Dedi Suhartanto</t>
  </si>
  <si>
    <t>Demeling</t>
  </si>
  <si>
    <t>Nur Pujianto</t>
  </si>
  <si>
    <t>Sofingi</t>
  </si>
  <si>
    <t>Sujarti</t>
  </si>
  <si>
    <t>Maryati</t>
  </si>
  <si>
    <t>Sudarini</t>
  </si>
  <si>
    <t>Nanggungan</t>
  </si>
  <si>
    <t>Tegalrejo</t>
  </si>
  <si>
    <t>Khamid</t>
  </si>
  <si>
    <t>Wildan Nur W</t>
  </si>
  <si>
    <t>Ahmad Ihsan</t>
  </si>
  <si>
    <t>Sedyo Rukun  II</t>
  </si>
  <si>
    <t>Salim Basri</t>
  </si>
  <si>
    <t>Sedyo Rukun  III</t>
  </si>
  <si>
    <t>Romdhoni</t>
  </si>
  <si>
    <t>Edi Haryono</t>
  </si>
  <si>
    <t>Sedyo Rukun  IV</t>
  </si>
  <si>
    <t>Abu Toyib</t>
  </si>
  <si>
    <t>Muhammad Kunaini</t>
  </si>
  <si>
    <t>Akhiar</t>
  </si>
  <si>
    <t>Sedyo Rukun  V</t>
  </si>
  <si>
    <t>Sigit</t>
  </si>
  <si>
    <t>Suci Pratiwi</t>
  </si>
  <si>
    <t>Jatirejo</t>
  </si>
  <si>
    <t>Reza Dwi P</t>
  </si>
  <si>
    <t>Maryuni</t>
  </si>
  <si>
    <t>Yatno</t>
  </si>
  <si>
    <t>KWT Pademangan Putri</t>
  </si>
  <si>
    <t>Sri Purwaningsih</t>
  </si>
  <si>
    <t>Neneng Radia U</t>
  </si>
  <si>
    <t>Endang Setyowati</t>
  </si>
  <si>
    <t>Ngetol</t>
  </si>
  <si>
    <t>Fauzi</t>
  </si>
  <si>
    <t xml:space="preserve">Arif </t>
  </si>
  <si>
    <t>Prihono</t>
  </si>
  <si>
    <t>Hendrik S</t>
  </si>
  <si>
    <t>Jaeni</t>
  </si>
  <si>
    <t>Panemu</t>
  </si>
  <si>
    <t>Heri Kusmadi</t>
  </si>
  <si>
    <t>Icuk Widodo</t>
  </si>
  <si>
    <t>KWT Sido Mapan</t>
  </si>
  <si>
    <t>Sri Partini</t>
  </si>
  <si>
    <t>Sri Hartati</t>
  </si>
  <si>
    <t>Sri Purwati</t>
  </si>
  <si>
    <t>Mugi Rahayu  I</t>
  </si>
  <si>
    <t>Samsul Arifin</t>
  </si>
  <si>
    <t>Agus Wiyanto</t>
  </si>
  <si>
    <t>Duwetan</t>
  </si>
  <si>
    <t>Mugi Rahayu  II</t>
  </si>
  <si>
    <t>Jemali</t>
  </si>
  <si>
    <t>Budiarto</t>
  </si>
  <si>
    <t>Mugi Rahayu  III</t>
  </si>
  <si>
    <t>Joko Susilo</t>
  </si>
  <si>
    <t>Imam Mahmud</t>
  </si>
  <si>
    <t>Muhtar</t>
  </si>
  <si>
    <t>Krajan IV</t>
  </si>
  <si>
    <t>Mugi Rahayu  IV</t>
  </si>
  <si>
    <t>Umar</t>
  </si>
  <si>
    <t>Ngawen I</t>
  </si>
  <si>
    <t>Mugi Rahayu  V</t>
  </si>
  <si>
    <t>Ariyanto</t>
  </si>
  <si>
    <t>Jumingan</t>
  </si>
  <si>
    <t>Ngawen II</t>
  </si>
  <si>
    <t>Mugi Rahayu  VI</t>
  </si>
  <si>
    <t>Mugi Rahayu  VII</t>
  </si>
  <si>
    <t>Tsaani Billien</t>
  </si>
  <si>
    <t>Mabrur</t>
  </si>
  <si>
    <t>M. Nasiin</t>
  </si>
  <si>
    <t>Karangasri</t>
  </si>
  <si>
    <t>Fatkul Arifin</t>
  </si>
  <si>
    <t>Mustaqim</t>
  </si>
  <si>
    <t>Aris Prasetyo</t>
  </si>
  <si>
    <t>Padangan</t>
  </si>
  <si>
    <t>Sigit Widarto</t>
  </si>
  <si>
    <t>Heru Harianto</t>
  </si>
  <si>
    <t>Yuliati</t>
  </si>
  <si>
    <t>Sulami</t>
  </si>
  <si>
    <t>Endang</t>
  </si>
  <si>
    <t>Dayaan</t>
  </si>
  <si>
    <t>Utama Karya  I</t>
  </si>
  <si>
    <t>Fadlan</t>
  </si>
  <si>
    <t>Utama Karya  II</t>
  </si>
  <si>
    <t>Nuryono</t>
  </si>
  <si>
    <t>Endro Wahono</t>
  </si>
  <si>
    <t>Aris Setyono</t>
  </si>
  <si>
    <t>Utama Karya  III</t>
  </si>
  <si>
    <t>Rio Wibowo</t>
  </si>
  <si>
    <t>Budi Purnomo</t>
  </si>
  <si>
    <t>Bedayu</t>
  </si>
  <si>
    <t>Utama Karya  IV</t>
  </si>
  <si>
    <t>Slamet Winarno</t>
  </si>
  <si>
    <t>Bambang S</t>
  </si>
  <si>
    <t>Argo Mulyo I</t>
  </si>
  <si>
    <t>Mashudi Darusalam</t>
  </si>
  <si>
    <t>Muh. Anam</t>
  </si>
  <si>
    <t>Imam Muslih</t>
  </si>
  <si>
    <t>Argo Mulyo II</t>
  </si>
  <si>
    <t xml:space="preserve">Jumelan </t>
  </si>
  <si>
    <t>Argo Mulyo III</t>
  </si>
  <si>
    <t>Sunjiati</t>
  </si>
  <si>
    <t>Argo Mulyo IV</t>
  </si>
  <si>
    <t>Tri Haryono</t>
  </si>
  <si>
    <t>Suherlan</t>
  </si>
  <si>
    <t>Nglaban</t>
  </si>
  <si>
    <t>Argo Mulyo V</t>
  </si>
  <si>
    <t>Iva Adi Putra Sigit Arianto</t>
  </si>
  <si>
    <t>Bogimin</t>
  </si>
  <si>
    <t>Bengle</t>
  </si>
  <si>
    <t>Argo Mulyo VI</t>
  </si>
  <si>
    <t>Dede Arisman</t>
  </si>
  <si>
    <t>Bareng</t>
  </si>
  <si>
    <t>Argo Mulyo VII</t>
  </si>
  <si>
    <t>Muhsin Fathoni</t>
  </si>
  <si>
    <t>Agus Riyanto</t>
  </si>
  <si>
    <t>Yatam</t>
  </si>
  <si>
    <t>Argo Mulyo VIII</t>
  </si>
  <si>
    <t xml:space="preserve">Suratman </t>
  </si>
  <si>
    <t>Nglumbu</t>
  </si>
  <si>
    <t>Argo Mulyo IX</t>
  </si>
  <si>
    <t>Denny Yulianto</t>
  </si>
  <si>
    <t>Sihono</t>
  </si>
  <si>
    <t>Matori</t>
  </si>
  <si>
    <t>Argo Mulyo X</t>
  </si>
  <si>
    <t>Nanang Cahyono</t>
  </si>
  <si>
    <t>Winanto</t>
  </si>
  <si>
    <t>Wagirin</t>
  </si>
  <si>
    <t>Pager Gunung</t>
  </si>
  <si>
    <t>Argo Mulyo XI</t>
  </si>
  <si>
    <t>Turiayam</t>
  </si>
  <si>
    <t>Argo Mulyo XII</t>
  </si>
  <si>
    <t>Nurul huda</t>
  </si>
  <si>
    <t>Istikanah</t>
  </si>
  <si>
    <t>Yus Eliyanti</t>
  </si>
  <si>
    <t>Padi , Palawija</t>
  </si>
  <si>
    <t xml:space="preserve">Enjang Nugraha </t>
  </si>
  <si>
    <t>Sugih Waras</t>
  </si>
  <si>
    <t>Agus</t>
  </si>
  <si>
    <t>Suliyadi</t>
  </si>
  <si>
    <t>6.4</t>
  </si>
  <si>
    <t>Bintoro</t>
  </si>
  <si>
    <t>Siwalan</t>
  </si>
  <si>
    <t>Bosiran</t>
  </si>
  <si>
    <t>Gamping</t>
  </si>
  <si>
    <t>Tubang</t>
  </si>
  <si>
    <t>Kristiono</t>
  </si>
  <si>
    <t>Ediyanto</t>
  </si>
  <si>
    <t>Painen</t>
  </si>
  <si>
    <t>Krjan Lor</t>
  </si>
  <si>
    <t>Taryono</t>
  </si>
  <si>
    <t>Mukriyono</t>
  </si>
  <si>
    <t>Indro</t>
  </si>
  <si>
    <t>Katwan</t>
  </si>
  <si>
    <t>Klisat</t>
  </si>
  <si>
    <t>Johan W</t>
  </si>
  <si>
    <t>Tambaan</t>
  </si>
  <si>
    <t>Azis Santoso</t>
  </si>
  <si>
    <t>Amani</t>
  </si>
  <si>
    <t>Kwaron</t>
  </si>
  <si>
    <t>Sarwandi</t>
  </si>
  <si>
    <t>Agus Suseno</t>
  </si>
  <si>
    <t>Nita Kholifah</t>
  </si>
  <si>
    <t>Sri Sunarsih</t>
  </si>
  <si>
    <t>Sunani</t>
  </si>
  <si>
    <t>Siti Ruaida</t>
  </si>
  <si>
    <t>Siti Ngayomi</t>
  </si>
  <si>
    <t>Lina Anggaeni</t>
  </si>
  <si>
    <t>NGUDI BOGA I</t>
  </si>
  <si>
    <t>TPH,BUN,NAK</t>
  </si>
  <si>
    <t>JANAR RUPAGA</t>
  </si>
  <si>
    <t>NGUDI BOGA II</t>
  </si>
  <si>
    <t>RIYADI</t>
  </si>
  <si>
    <t>AGUS H.</t>
  </si>
  <si>
    <t>SAMAN</t>
  </si>
  <si>
    <t>NGUDI BOGA III</t>
  </si>
  <si>
    <t>BENDO KENCENG</t>
  </si>
  <si>
    <t>NGUDI BOGA IV</t>
  </si>
  <si>
    <t>ARIS WHANDI</t>
  </si>
  <si>
    <t>NGUDI BOGA V</t>
  </si>
  <si>
    <t>KHOZINUL ASRORMASROKHAN</t>
  </si>
  <si>
    <t>ABDUL MANAF</t>
  </si>
  <si>
    <t>KATMO</t>
  </si>
  <si>
    <t>DARE</t>
  </si>
  <si>
    <t>NGUDI BOGA VI</t>
  </si>
  <si>
    <t>SUMARI</t>
  </si>
  <si>
    <t>PAGERAN</t>
  </si>
  <si>
    <t>NGUDI BOGA VII</t>
  </si>
  <si>
    <t>ANTOK</t>
  </si>
  <si>
    <t>KABIT</t>
  </si>
  <si>
    <t>KALIALANG</t>
  </si>
  <si>
    <t>NGUDI BOGA VIII</t>
  </si>
  <si>
    <t>SOIDI</t>
  </si>
  <si>
    <t>BASORI</t>
  </si>
  <si>
    <t>PANUT S.</t>
  </si>
  <si>
    <t>KWT RUKUN</t>
  </si>
  <si>
    <t>PENGOLAHAN HASIL</t>
  </si>
  <si>
    <t>PANIYEM</t>
  </si>
  <si>
    <t>PIJAH</t>
  </si>
  <si>
    <t>RUMIYATI</t>
  </si>
  <si>
    <t>KARYA TANI 1</t>
  </si>
  <si>
    <t>68,16</t>
  </si>
  <si>
    <t xml:space="preserve">RONI PRIYONO </t>
  </si>
  <si>
    <t>JUMAWAN</t>
  </si>
  <si>
    <t>JUANTO</t>
  </si>
  <si>
    <t>PANGEREJO</t>
  </si>
  <si>
    <t>KARYA TANI 2</t>
  </si>
  <si>
    <t>70,55</t>
  </si>
  <si>
    <t>JUAHIR</t>
  </si>
  <si>
    <t>SEMPU</t>
  </si>
  <si>
    <t>KARYA TANI 3</t>
  </si>
  <si>
    <t>27,1</t>
  </si>
  <si>
    <t>AHMADI</t>
  </si>
  <si>
    <t>EGO</t>
  </si>
  <si>
    <t xml:space="preserve">SABAR </t>
  </si>
  <si>
    <t>KEBONULUH</t>
  </si>
  <si>
    <t>KARYA TANI 4</t>
  </si>
  <si>
    <t>54,07</t>
  </si>
  <si>
    <t>MISWA</t>
  </si>
  <si>
    <t>PONIDI</t>
  </si>
  <si>
    <t>KATIYUN</t>
  </si>
  <si>
    <t>GOWONG</t>
  </si>
  <si>
    <t>KARYA TANI 5</t>
  </si>
  <si>
    <t>MURYONO</t>
  </si>
  <si>
    <t>MISKUN</t>
  </si>
  <si>
    <t xml:space="preserve">JUMAWAN </t>
  </si>
  <si>
    <t>JUMALI</t>
  </si>
  <si>
    <t>MUKLIS R.</t>
  </si>
  <si>
    <t>SUPRI</t>
  </si>
  <si>
    <t>TUMARNO</t>
  </si>
  <si>
    <t>TANJUNG</t>
  </si>
  <si>
    <t>PRAYITNO</t>
  </si>
  <si>
    <t>DIYAT</t>
  </si>
  <si>
    <t>EKO</t>
  </si>
  <si>
    <t>Tumar Suhardi</t>
  </si>
  <si>
    <t>Toto Harsanto</t>
  </si>
  <si>
    <t>Muh Hadi Winarko</t>
  </si>
  <si>
    <t>NGUNUT</t>
  </si>
  <si>
    <t>Nurzaini</t>
  </si>
  <si>
    <t>Sutanto</t>
  </si>
  <si>
    <t>DUREN</t>
  </si>
  <si>
    <t>Ahmad Solikhin</t>
  </si>
  <si>
    <t>Mistar Wahudiono</t>
  </si>
  <si>
    <t>BULIH</t>
  </si>
  <si>
    <t>Aan Tri Hartono</t>
  </si>
  <si>
    <t>Tri Handoyo</t>
  </si>
  <si>
    <t>SRITEN</t>
  </si>
  <si>
    <t>Soiri</t>
  </si>
  <si>
    <t xml:space="preserve">NGUNUT </t>
  </si>
  <si>
    <t>HORTI</t>
  </si>
  <si>
    <t>Heni Yulianingsih</t>
  </si>
  <si>
    <t>Marlina</t>
  </si>
  <si>
    <t xml:space="preserve">Pengolahan </t>
  </si>
  <si>
    <t>Tutik Setyani</t>
  </si>
  <si>
    <t>KRAJAN 1</t>
  </si>
  <si>
    <t>WAHYU DP</t>
  </si>
  <si>
    <t>RINDI</t>
  </si>
  <si>
    <t>SIWIR</t>
  </si>
  <si>
    <t>KRAJAN 2</t>
  </si>
  <si>
    <t>WASONO</t>
  </si>
  <si>
    <t>CRABAK</t>
  </si>
  <si>
    <t>LAGIONO</t>
  </si>
  <si>
    <t>SARIP</t>
  </si>
  <si>
    <t>PLAPAR 1</t>
  </si>
  <si>
    <t>TUWARNI</t>
  </si>
  <si>
    <t>PLAPAR 2</t>
  </si>
  <si>
    <t>HADI SUPRAPTO</t>
  </si>
  <si>
    <t>SAJURI</t>
  </si>
  <si>
    <t>KADURI</t>
  </si>
  <si>
    <t>PUGUH S</t>
  </si>
  <si>
    <t>RUSMIN</t>
  </si>
  <si>
    <t>JUREMI</t>
  </si>
  <si>
    <t>ARIS HENDRIAWAN</t>
  </si>
  <si>
    <t>NANDIR</t>
  </si>
  <si>
    <t>SUJARNO</t>
  </si>
  <si>
    <t>JUMATIN</t>
  </si>
  <si>
    <t>DWI AGUS WIGATI</t>
  </si>
  <si>
    <t>SUJINAH</t>
  </si>
  <si>
    <t>KWT</t>
  </si>
  <si>
    <t>KATWAN</t>
  </si>
  <si>
    <t>HERRY PRASTEYO</t>
  </si>
  <si>
    <t>PENDI</t>
  </si>
  <si>
    <t>PURWOKO</t>
  </si>
  <si>
    <t>MELING</t>
  </si>
  <si>
    <t>SUNAWAN</t>
  </si>
  <si>
    <t>KATMAN</t>
  </si>
  <si>
    <t>GODEG KULON</t>
  </si>
  <si>
    <t>SUYITNO</t>
  </si>
  <si>
    <t>HERI</t>
  </si>
  <si>
    <t>GODEG WETAN</t>
  </si>
  <si>
    <t>HARKO</t>
  </si>
  <si>
    <t>BONANDI</t>
  </si>
  <si>
    <t>ANSORI</t>
  </si>
  <si>
    <t>BARJONO</t>
  </si>
  <si>
    <t>NGAMBAR</t>
  </si>
  <si>
    <t>Katmini</t>
  </si>
  <si>
    <t>Isrowiyah</t>
  </si>
  <si>
    <t>Juri</t>
  </si>
  <si>
    <t>Tuniadi</t>
  </si>
  <si>
    <t>MLOKO</t>
  </si>
  <si>
    <t>Marsid</t>
  </si>
  <si>
    <t>Suhendi</t>
  </si>
  <si>
    <t>Sulisno</t>
  </si>
  <si>
    <t>Toyip</t>
  </si>
  <si>
    <t>BEDOG</t>
  </si>
  <si>
    <t>Sarwadi</t>
  </si>
  <si>
    <t>SONO</t>
  </si>
  <si>
    <t>Ismuri</t>
  </si>
  <si>
    <t>Sukatwan</t>
  </si>
  <si>
    <t>Sri Wiji</t>
  </si>
  <si>
    <t>Pitono</t>
  </si>
  <si>
    <t>MARGO MULYO 10</t>
  </si>
  <si>
    <t>Aman S.</t>
  </si>
  <si>
    <t>Amin Darojad</t>
  </si>
  <si>
    <t>Walimatu Ulin N</t>
  </si>
  <si>
    <t>Abdul Rohman</t>
  </si>
  <si>
    <t>KWT SIDO MAJU</t>
  </si>
  <si>
    <t>Srini</t>
  </si>
  <si>
    <t>Paiyem</t>
  </si>
  <si>
    <t>SOBO KULON</t>
  </si>
  <si>
    <t>Harjo Makmur 1</t>
  </si>
  <si>
    <t>TAN PANGAN,NAK, BUN</t>
  </si>
  <si>
    <t>AGUS PURNOMO</t>
  </si>
  <si>
    <t>SUWIKNYO</t>
  </si>
  <si>
    <t>Harjo Makmur 6</t>
  </si>
  <si>
    <t>KABUL</t>
  </si>
  <si>
    <t>JUARI</t>
  </si>
  <si>
    <t>GEMAH HARJO</t>
  </si>
  <si>
    <t>Harjo Makmur 3</t>
  </si>
  <si>
    <t>SUGIONO</t>
  </si>
  <si>
    <t>LATIJO</t>
  </si>
  <si>
    <t>Harjo Makmur 5</t>
  </si>
  <si>
    <t>SAIDI</t>
  </si>
  <si>
    <t>UTOMO</t>
  </si>
  <si>
    <t>DEPRIANTO</t>
  </si>
  <si>
    <t>GEMAH</t>
  </si>
  <si>
    <t>Harjo Makmur 4</t>
  </si>
  <si>
    <t>JEMIRAN</t>
  </si>
  <si>
    <t>SOBO WETAN</t>
  </si>
  <si>
    <t>Harjo Makmur 2</t>
  </si>
  <si>
    <t>MONTONGAN</t>
  </si>
  <si>
    <t>E PURWANTO</t>
  </si>
  <si>
    <t>ARJOSARI</t>
  </si>
  <si>
    <t>MARSITO</t>
  </si>
  <si>
    <t>TUKIMAN</t>
  </si>
  <si>
    <t>SARKAT</t>
  </si>
  <si>
    <t>SUBUR MAKMUR 4</t>
  </si>
  <si>
    <t>TAUFIK</t>
  </si>
  <si>
    <t>AGUS W</t>
  </si>
  <si>
    <t>PARDAN</t>
  </si>
  <si>
    <t>SUBUR MAKMUR 7</t>
  </si>
  <si>
    <t>MURDIYANTO</t>
  </si>
  <si>
    <t>PARTONO</t>
  </si>
  <si>
    <t>SUBUR MAKMUR 8</t>
  </si>
  <si>
    <t>MULAJI</t>
  </si>
  <si>
    <t>YOYOK</t>
  </si>
  <si>
    <t>DADAPAN</t>
  </si>
  <si>
    <t>SUBUR MAKMUR 9</t>
  </si>
  <si>
    <t>MUSA</t>
  </si>
  <si>
    <t>MEKARSARI 1</t>
  </si>
  <si>
    <t>MEKARSARI 2</t>
  </si>
  <si>
    <t>MALIK</t>
  </si>
  <si>
    <t>NGAPAK</t>
  </si>
  <si>
    <t>MEKARSARI 3</t>
  </si>
  <si>
    <t>JUMIAH</t>
  </si>
  <si>
    <t>WONOKESO</t>
  </si>
  <si>
    <t>MEKARSARI 4</t>
  </si>
  <si>
    <t>WASITO</t>
  </si>
  <si>
    <t>PANDAK</t>
  </si>
  <si>
    <t>MEKARSARI 5</t>
  </si>
  <si>
    <t>PERANG</t>
  </si>
  <si>
    <t>MEKARSARI 6</t>
  </si>
  <si>
    <t>ASMUNGI</t>
  </si>
  <si>
    <t>MEKARSARI 7</t>
  </si>
  <si>
    <t>FERI NURWANTO</t>
  </si>
  <si>
    <t>ISNAINI</t>
  </si>
  <si>
    <t>ANWARUDIN</t>
  </si>
  <si>
    <t>JENGGRING</t>
  </si>
  <si>
    <t>SUPRIYANI</t>
  </si>
  <si>
    <t>USUP</t>
  </si>
  <si>
    <t>PAGEREJO</t>
  </si>
  <si>
    <t>BIBIT HARTANTO</t>
  </si>
  <si>
    <t>MURIYADI</t>
  </si>
  <si>
    <t>JUWARNI</t>
  </si>
  <si>
    <t>JARNO</t>
  </si>
  <si>
    <t>BENI</t>
  </si>
  <si>
    <t>KWT WANODYO JOYO</t>
  </si>
  <si>
    <t>SITI RAHAYU</t>
  </si>
  <si>
    <t>TRINI K.</t>
  </si>
  <si>
    <t>PADI WARAS 1</t>
  </si>
  <si>
    <t>6,95</t>
  </si>
  <si>
    <t xml:space="preserve">ASIH WIDIYARTO </t>
  </si>
  <si>
    <t xml:space="preserve">SITI RAHAYU </t>
  </si>
  <si>
    <t>PIPIT</t>
  </si>
  <si>
    <t>GLINGGANGAN</t>
  </si>
  <si>
    <t>14,00</t>
  </si>
  <si>
    <t xml:space="preserve">SURATNO </t>
  </si>
  <si>
    <t xml:space="preserve">PURWANTO </t>
  </si>
  <si>
    <t>4,36</t>
  </si>
  <si>
    <t>KHOIRI</t>
  </si>
  <si>
    <t xml:space="preserve">MISWATO </t>
  </si>
  <si>
    <t xml:space="preserve">BIBIT </t>
  </si>
  <si>
    <t>WATU LUMBUNG</t>
  </si>
  <si>
    <t>3,36</t>
  </si>
  <si>
    <t>HARTATIK</t>
  </si>
  <si>
    <t>KLOWONG</t>
  </si>
  <si>
    <t>KLESEM</t>
  </si>
  <si>
    <t>12,89</t>
  </si>
  <si>
    <t>DIDIK AHSANUM NIK'AM</t>
  </si>
  <si>
    <t>GADUNGAN</t>
  </si>
  <si>
    <t>1,2</t>
  </si>
  <si>
    <t xml:space="preserve">MUJIONO </t>
  </si>
  <si>
    <t>BOYANDI YANTO</t>
  </si>
  <si>
    <t>YAHMAN</t>
  </si>
  <si>
    <t>Katlan</t>
  </si>
  <si>
    <t>Dwi Siswoko</t>
  </si>
  <si>
    <t>Titis Sumanto</t>
  </si>
  <si>
    <t>Papuk</t>
  </si>
  <si>
    <t>Bejo</t>
  </si>
  <si>
    <t>SUKOREJO</t>
  </si>
  <si>
    <t>TANI MAKMUR 3</t>
  </si>
  <si>
    <t>Sapto Hartomo</t>
  </si>
  <si>
    <t>Wiji wanto</t>
  </si>
  <si>
    <t>Edi Prawoto</t>
  </si>
  <si>
    <t>BONGKOT</t>
  </si>
  <si>
    <t>TANI MAKMUR 4</t>
  </si>
  <si>
    <t>Sodho</t>
  </si>
  <si>
    <t>PULE</t>
  </si>
  <si>
    <t>TANI MAKMUR 5</t>
  </si>
  <si>
    <t>Margianto</t>
  </si>
  <si>
    <t>TURUSAN</t>
  </si>
  <si>
    <t>TANI MAKMUR 6</t>
  </si>
  <si>
    <t>Misriyanto</t>
  </si>
  <si>
    <t>Yoyok Cahyono</t>
  </si>
  <si>
    <t>KRAJAN NGLARAN</t>
  </si>
  <si>
    <t>JAMU SEGAR MANIS</t>
  </si>
  <si>
    <t>Sutarti</t>
  </si>
  <si>
    <t>Katmi</t>
  </si>
  <si>
    <t>Sundari</t>
  </si>
  <si>
    <t>SEPANG</t>
  </si>
  <si>
    <t xml:space="preserve">ABDI MURSITO </t>
  </si>
  <si>
    <t>MUKIDI</t>
  </si>
  <si>
    <t xml:space="preserve">MULYONO </t>
  </si>
  <si>
    <t xml:space="preserve">BUDIANTO </t>
  </si>
  <si>
    <t>NURUDIN</t>
  </si>
  <si>
    <t>DLOPO</t>
  </si>
  <si>
    <t xml:space="preserve">EKO PRIYADI </t>
  </si>
  <si>
    <t xml:space="preserve">BUDI HARIANTO </t>
  </si>
  <si>
    <t>NUR ANDRIANA</t>
  </si>
  <si>
    <t>TEMBELANG</t>
  </si>
  <si>
    <t xml:space="preserve">SETYO NUGROHO </t>
  </si>
  <si>
    <t>ABDUL MANAB</t>
  </si>
  <si>
    <t>58,22</t>
  </si>
  <si>
    <t xml:space="preserve">TUNGGUL MUKTI PANGESTU </t>
  </si>
  <si>
    <t>MISWATO</t>
  </si>
  <si>
    <t>TUHARNO</t>
  </si>
  <si>
    <t>BAMBANG H</t>
  </si>
  <si>
    <t>SABAR S</t>
  </si>
  <si>
    <t>PAPRINGAN</t>
  </si>
  <si>
    <t>TULASTRI</t>
  </si>
  <si>
    <t>DEDIK K</t>
  </si>
  <si>
    <t>SARTO</t>
  </si>
  <si>
    <t>RUSMAWATI</t>
  </si>
  <si>
    <t>BONAGUNG</t>
  </si>
  <si>
    <t>EKO P</t>
  </si>
  <si>
    <t>WIJI  N</t>
  </si>
  <si>
    <t>SUKANTO</t>
  </si>
  <si>
    <t>T P H , BUN, NAK</t>
  </si>
  <si>
    <t>JEMIKAN</t>
  </si>
  <si>
    <t>JUMINTO</t>
  </si>
  <si>
    <t>SUMARLIN</t>
  </si>
  <si>
    <t>TUGIMUN</t>
  </si>
  <si>
    <t>TARMADI</t>
  </si>
  <si>
    <t>NGAGIK</t>
  </si>
  <si>
    <t>EKA.S</t>
  </si>
  <si>
    <t>WIJIYANTO</t>
  </si>
  <si>
    <t>WALUYO ASIH 1</t>
  </si>
  <si>
    <t>PAIRIN</t>
  </si>
  <si>
    <t>WALUYO ASIH 2</t>
  </si>
  <si>
    <t>SAMSUDIN</t>
  </si>
  <si>
    <t>PUGUH.D</t>
  </si>
  <si>
    <t>WALUYO ASIH 3</t>
  </si>
  <si>
    <t>PURWO W</t>
  </si>
  <si>
    <t>WALUYO ASIH 4</t>
  </si>
  <si>
    <t>CLUMPRING</t>
  </si>
  <si>
    <t>20,64</t>
  </si>
  <si>
    <t>SUNARIS</t>
  </si>
  <si>
    <t>Abadi</t>
  </si>
  <si>
    <t>19,66</t>
  </si>
  <si>
    <t>SUGIYONO</t>
  </si>
  <si>
    <t>GAYAM</t>
  </si>
  <si>
    <t>27,53</t>
  </si>
  <si>
    <t>EDI SANTOSO</t>
  </si>
  <si>
    <t>Safeii</t>
  </si>
  <si>
    <t>SAPI PERAH</t>
  </si>
  <si>
    <t>22,46</t>
  </si>
  <si>
    <t>DAIMIN</t>
  </si>
  <si>
    <t>BULUSARI</t>
  </si>
  <si>
    <t>32,99</t>
  </si>
  <si>
    <t>YAMADI</t>
  </si>
  <si>
    <t>Gamar</t>
  </si>
  <si>
    <t>DAGEN</t>
  </si>
  <si>
    <t>21,54</t>
  </si>
  <si>
    <t>PAMUDJI</t>
  </si>
  <si>
    <t>Makruf</t>
  </si>
  <si>
    <t>KALIGONDANG</t>
  </si>
  <si>
    <t>20,89</t>
  </si>
  <si>
    <t>SUJIANTO</t>
  </si>
  <si>
    <t>Nanang K.</t>
  </si>
  <si>
    <t>Dian K</t>
  </si>
  <si>
    <t>SAYURAN</t>
  </si>
  <si>
    <t>4,7</t>
  </si>
  <si>
    <t>DEWI ANJARWATI</t>
  </si>
  <si>
    <t>Hetik</t>
  </si>
  <si>
    <t>Eni Purwati</t>
  </si>
  <si>
    <t>Padi, jagung</t>
  </si>
  <si>
    <t>Turadji</t>
  </si>
  <si>
    <t>Darno</t>
  </si>
  <si>
    <t>Sugeng Tri Hatmoko</t>
  </si>
  <si>
    <t xml:space="preserve">Jumat </t>
  </si>
  <si>
    <t>Subarno</t>
  </si>
  <si>
    <t>Berug</t>
  </si>
  <si>
    <t>Karya Makmur III</t>
  </si>
  <si>
    <t>Padi, jagung, Nak</t>
  </si>
  <si>
    <t>Jumanto</t>
  </si>
  <si>
    <t>Semburan</t>
  </si>
  <si>
    <t>Karya Makmur IV</t>
  </si>
  <si>
    <t xml:space="preserve">Turaji </t>
  </si>
  <si>
    <t>Karya Makmur V</t>
  </si>
  <si>
    <t>Imam Turmudi</t>
  </si>
  <si>
    <t>Karya Makmur VI</t>
  </si>
  <si>
    <t xml:space="preserve">Senen </t>
  </si>
  <si>
    <t>Karya Makmur VII</t>
  </si>
  <si>
    <t>Sarponen</t>
  </si>
  <si>
    <t>Karya Makmur VIII</t>
  </si>
  <si>
    <t>Adi Yuwono</t>
  </si>
  <si>
    <t>Andik Suryadi</t>
  </si>
  <si>
    <t>Atim Suprapto</t>
  </si>
  <si>
    <t>KWT. Hayati</t>
  </si>
  <si>
    <t>Vivin Novarina</t>
  </si>
  <si>
    <t>Umi Hanik</t>
  </si>
  <si>
    <t>Lina Yuliana</t>
  </si>
  <si>
    <t>Tani Sejahtera</t>
  </si>
  <si>
    <t xml:space="preserve">Margono </t>
  </si>
  <si>
    <t>Timan</t>
  </si>
  <si>
    <t>Sujari</t>
  </si>
  <si>
    <t>Tani Berkah</t>
  </si>
  <si>
    <t>Danang Andri Budiono</t>
  </si>
  <si>
    <t>Andik</t>
  </si>
  <si>
    <t>Mustajab</t>
  </si>
  <si>
    <t>Padi, jagung,Bun</t>
  </si>
  <si>
    <t>Sri Darmaji</t>
  </si>
  <si>
    <t>Edi Suyanto</t>
  </si>
  <si>
    <t>Rudi Rianto</t>
  </si>
  <si>
    <t>Rumah Tani Makmur</t>
  </si>
  <si>
    <t>Mangin</t>
  </si>
  <si>
    <t>MOJO</t>
  </si>
  <si>
    <t>ANDI SUDIBYO</t>
  </si>
  <si>
    <t>SUDARMONO</t>
  </si>
  <si>
    <t>SUDHARI</t>
  </si>
  <si>
    <t>PUCANGOMBO</t>
  </si>
  <si>
    <t>SRIANTO</t>
  </si>
  <si>
    <t>KALIOGAN</t>
  </si>
  <si>
    <t>NURYANTO</t>
  </si>
  <si>
    <t>SARKUN</t>
  </si>
  <si>
    <t>JARWANTO</t>
  </si>
  <si>
    <t>KABUL S</t>
  </si>
  <si>
    <t>YOIMIN</t>
  </si>
  <si>
    <t>WALUYO</t>
  </si>
  <si>
    <t>SIDIQ MISGIANTO</t>
  </si>
  <si>
    <t>HADI SUSUILO</t>
  </si>
  <si>
    <t>MUJIKAN YUSUF</t>
  </si>
  <si>
    <t>ANDI SUSANTO</t>
  </si>
  <si>
    <t>PIPIN</t>
  </si>
  <si>
    <t>TUPANI</t>
  </si>
  <si>
    <t>JEMAWAN</t>
  </si>
  <si>
    <t>RINGIN ASRI</t>
  </si>
  <si>
    <t xml:space="preserve">PADI </t>
  </si>
  <si>
    <t>WAGIMAN</t>
  </si>
  <si>
    <t>MISNO</t>
  </si>
  <si>
    <t>PRIYO S</t>
  </si>
  <si>
    <t>YUDI ANDRIAN S</t>
  </si>
  <si>
    <t>BARI</t>
  </si>
  <si>
    <t>ERVIN DWI ROJALI</t>
  </si>
  <si>
    <t>ANTO</t>
  </si>
  <si>
    <t>MARSONO</t>
  </si>
  <si>
    <t>57.43</t>
  </si>
  <si>
    <t>GATOT</t>
  </si>
  <si>
    <t>RIBUT SETIAWAN</t>
  </si>
  <si>
    <t>OKI HENGKI S</t>
  </si>
  <si>
    <t>NUR CAHYONO</t>
  </si>
  <si>
    <t>MAHDI</t>
  </si>
  <si>
    <t>KWT TENGGAR ASRI</t>
  </si>
  <si>
    <t>SUYATI</t>
  </si>
  <si>
    <t>DINA SUSANTI</t>
  </si>
  <si>
    <t>Semanding</t>
  </si>
  <si>
    <t>Agus Winarto</t>
  </si>
  <si>
    <t>Aris Yudiarto</t>
  </si>
  <si>
    <t>Wahman</t>
  </si>
  <si>
    <t>Yahudin</t>
  </si>
  <si>
    <t>Madianto</t>
  </si>
  <si>
    <t>Nyoto</t>
  </si>
  <si>
    <t>Gombang</t>
  </si>
  <si>
    <t>Sido Rukun IV</t>
  </si>
  <si>
    <t>Damus</t>
  </si>
  <si>
    <t>Riono</t>
  </si>
  <si>
    <t>Dasim</t>
  </si>
  <si>
    <t>Gondo Arum</t>
  </si>
  <si>
    <t>Tembakau</t>
  </si>
  <si>
    <t>Paryono</t>
  </si>
  <si>
    <t>Hortikultura/Olahan</t>
  </si>
  <si>
    <t>Sulistiyani</t>
  </si>
  <si>
    <t>Sri Setyani</t>
  </si>
  <si>
    <t xml:space="preserve">Haryani  </t>
  </si>
  <si>
    <t xml:space="preserve"> Mujing</t>
  </si>
  <si>
    <t>Sedyo Maju I</t>
  </si>
  <si>
    <t>Padi, Jagung</t>
  </si>
  <si>
    <t xml:space="preserve"> Krajan</t>
  </si>
  <si>
    <t>Sedyo Maju II</t>
  </si>
  <si>
    <t>Joko S.</t>
  </si>
  <si>
    <t>Hariyono</t>
  </si>
  <si>
    <t xml:space="preserve"> Trenggono</t>
  </si>
  <si>
    <t>Sedyo Maju III</t>
  </si>
  <si>
    <t>Saeroji</t>
  </si>
  <si>
    <t>Nangin</t>
  </si>
  <si>
    <t xml:space="preserve"> Pengkol</t>
  </si>
  <si>
    <t>Sedyo Maju IV</t>
  </si>
  <si>
    <t>Widarto</t>
  </si>
  <si>
    <t>Sargiman</t>
  </si>
  <si>
    <t xml:space="preserve"> Sedyo Maju V</t>
  </si>
  <si>
    <t>Soiron</t>
  </si>
  <si>
    <t>Rukun Tani  I</t>
  </si>
  <si>
    <t xml:space="preserve"> Kalilongan</t>
  </si>
  <si>
    <t>Rukun Tani  II</t>
  </si>
  <si>
    <t>Andi S.</t>
  </si>
  <si>
    <t xml:space="preserve"> Gebang</t>
  </si>
  <si>
    <t>Rukun Tani  III</t>
  </si>
  <si>
    <t xml:space="preserve">Juri </t>
  </si>
  <si>
    <t>1981</t>
  </si>
  <si>
    <t>Nanang Diana</t>
  </si>
  <si>
    <t>Eko W.</t>
  </si>
  <si>
    <t>Sri Pamuji R.</t>
  </si>
  <si>
    <t>Pahit</t>
  </si>
  <si>
    <t>1998</t>
  </si>
  <si>
    <t>Nur Arifin</t>
  </si>
  <si>
    <t>Grogol</t>
  </si>
  <si>
    <t>1989</t>
  </si>
  <si>
    <t>Padi, jagung, Bun</t>
  </si>
  <si>
    <t>Parngadi</t>
  </si>
  <si>
    <t>Indra G.</t>
  </si>
  <si>
    <t>1996</t>
  </si>
  <si>
    <t>Djamin</t>
  </si>
  <si>
    <t>Al Fattah</t>
  </si>
  <si>
    <t>2006</t>
  </si>
  <si>
    <t>Majad</t>
  </si>
  <si>
    <t>Wardayanto</t>
  </si>
  <si>
    <t>2010</t>
  </si>
  <si>
    <t>Padi, jagung, Nak,Bun</t>
  </si>
  <si>
    <t>Sumarjianto</t>
  </si>
  <si>
    <t>Suwadi</t>
  </si>
  <si>
    <t>Dani Himawan</t>
  </si>
  <si>
    <t>Margo Makmur Abadi</t>
  </si>
  <si>
    <t>2014</t>
  </si>
  <si>
    <t>Heri Setyawan</t>
  </si>
  <si>
    <t>Girin</t>
  </si>
  <si>
    <t>Bumi Rahayu</t>
  </si>
  <si>
    <t xml:space="preserve"> Peternakan</t>
  </si>
  <si>
    <t>Kasni</t>
  </si>
  <si>
    <t>Wandira</t>
  </si>
  <si>
    <t>Murdiyati</t>
  </si>
  <si>
    <t>Yasmiati</t>
  </si>
  <si>
    <t>Sumber Waras</t>
  </si>
  <si>
    <t>Novianti Dwi R.</t>
  </si>
  <si>
    <t>Sandrawati</t>
  </si>
  <si>
    <t>Nanik Yueni</t>
  </si>
  <si>
    <t xml:space="preserve"> Grogol</t>
  </si>
  <si>
    <t>Sido Dadi Grogol</t>
  </si>
  <si>
    <t>M. Syukron</t>
  </si>
  <si>
    <t>M. Yusup</t>
  </si>
  <si>
    <t>Arianto</t>
  </si>
  <si>
    <t>PADI, PORANG, JAGUNG</t>
  </si>
  <si>
    <t>Madiono</t>
  </si>
  <si>
    <t>Tobing Tri Haryanto</t>
  </si>
  <si>
    <t>Sairin</t>
  </si>
  <si>
    <t>Rini S.</t>
  </si>
  <si>
    <t>PULEREJO</t>
  </si>
  <si>
    <t>PADI, PORANG</t>
  </si>
  <si>
    <t>Banto</t>
  </si>
  <si>
    <t>GRIGAK</t>
  </si>
  <si>
    <t>PADI, PORANG, JAHE</t>
  </si>
  <si>
    <t>Sanimin</t>
  </si>
  <si>
    <t>Bambang Sutikno</t>
  </si>
  <si>
    <t>Sarwan</t>
  </si>
  <si>
    <t>TOSARI</t>
  </si>
  <si>
    <t>UBI KAYU, PORANG</t>
  </si>
  <si>
    <t>Afry Novariyanto</t>
  </si>
  <si>
    <t>Hepi Prawito</t>
  </si>
  <si>
    <t>Asroni</t>
  </si>
  <si>
    <t xml:space="preserve">Sutikno </t>
  </si>
  <si>
    <t>Dwi Setiawan</t>
  </si>
  <si>
    <t>Tadjab</t>
  </si>
  <si>
    <t xml:space="preserve">Katno </t>
  </si>
  <si>
    <t>GAMPING</t>
  </si>
  <si>
    <t>NGLODO</t>
  </si>
  <si>
    <t>Kiyat</t>
  </si>
  <si>
    <t>Miselan</t>
  </si>
  <si>
    <t>Arif Tripujianto</t>
  </si>
  <si>
    <t>Lilik Rusmiatin</t>
  </si>
  <si>
    <t>Sulatin</t>
  </si>
  <si>
    <t>Rika R.</t>
  </si>
  <si>
    <t>TAN.PANGAN</t>
  </si>
  <si>
    <t>KATNO</t>
  </si>
  <si>
    <t>PAIDI</t>
  </si>
  <si>
    <t>A.HAMID</t>
  </si>
  <si>
    <t>SAROJI</t>
  </si>
  <si>
    <t>NANANG</t>
  </si>
  <si>
    <t>ANTON</t>
  </si>
  <si>
    <t>AMONG TANI  IV</t>
  </si>
  <si>
    <t>TOTOK</t>
  </si>
  <si>
    <t>PARDI</t>
  </si>
  <si>
    <t>SIDOMAKMUR</t>
  </si>
  <si>
    <t>SUJATNO</t>
  </si>
  <si>
    <t>TRIYOKO</t>
  </si>
  <si>
    <t>KALITENGAH</t>
  </si>
  <si>
    <t>MUGIONO</t>
  </si>
  <si>
    <t>TUMIRAN</t>
  </si>
  <si>
    <t>KLITIK</t>
  </si>
  <si>
    <t>GLAGAH OMBO</t>
  </si>
  <si>
    <t>YATIM</t>
  </si>
  <si>
    <t>BAHRONI</t>
  </si>
  <si>
    <t>SODIQ</t>
  </si>
  <si>
    <t>ROHMAT</t>
  </si>
  <si>
    <t>EKO WINARTO</t>
  </si>
  <si>
    <t>AHMAD W</t>
  </si>
  <si>
    <t>ARIF ARIFIN</t>
  </si>
  <si>
    <t>HORTIKULTURA/OLAHAN</t>
  </si>
  <si>
    <t>SRI SULASTRIANI</t>
  </si>
  <si>
    <t>NOVI R</t>
  </si>
  <si>
    <t>IDA DIANA</t>
  </si>
  <si>
    <t>Desa Ketro</t>
  </si>
  <si>
    <t>Desa Mantren</t>
  </si>
  <si>
    <t>Desa Sidomulyo</t>
  </si>
  <si>
    <t>Desa Klepu</t>
  </si>
  <si>
    <t>Desa Watukarung</t>
  </si>
  <si>
    <t>Desa Kedal</t>
  </si>
  <si>
    <t>Desa Ploso</t>
  </si>
  <si>
    <t>Desa Karangmulyo</t>
  </si>
  <si>
    <t>Desa Pagerkidul</t>
  </si>
  <si>
    <t>Desa Pagerlor</t>
  </si>
  <si>
    <t>Desa Gunungrejo</t>
  </si>
  <si>
    <t>Desa Jetis Lor</t>
  </si>
  <si>
    <t>Desa Pakis Baru</t>
  </si>
  <si>
    <t>Desa Wonosaobo</t>
  </si>
  <si>
    <t>Desa NOGOSARI</t>
  </si>
  <si>
    <t>KWT KARYA MAJU</t>
  </si>
  <si>
    <t>MARGI LARAS</t>
  </si>
  <si>
    <t>KWT. Kelapa Sari</t>
  </si>
  <si>
    <t>Desa Klepu Donorojo</t>
  </si>
  <si>
    <t>Desa Bangunsari 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</si>
</sst>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@\ * \:"/>
    <numFmt numFmtId="165" formatCode="_-* #,##0.0_-;\-* #,##0.0_-;_-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i/>
      <sz val="6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sz val="10"/>
      <name val="Arial Narrow"/>
      <family val="2"/>
    </font>
    <font>
      <sz val="10"/>
      <color theme="2" tint="-0.89999084444715716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1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</cellStyleXfs>
  <cellXfs count="16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12" borderId="6" xfId="0" applyFont="1" applyFill="1" applyBorder="1" applyAlignment="1">
      <alignment vertical="center"/>
    </xf>
    <xf numFmtId="0" fontId="4" fillId="12" borderId="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14" borderId="9" xfId="0" applyFont="1" applyFill="1" applyBorder="1"/>
    <xf numFmtId="0" fontId="0" fillId="14" borderId="10" xfId="0" applyFill="1" applyBorder="1" applyAlignment="1">
      <alignment horizontal="center"/>
    </xf>
    <xf numFmtId="0" fontId="0" fillId="14" borderId="10" xfId="0" applyFill="1" applyBorder="1"/>
    <xf numFmtId="0" fontId="0" fillId="14" borderId="11" xfId="0" applyFill="1" applyBorder="1" applyAlignment="1">
      <alignment horizontal="center"/>
    </xf>
    <xf numFmtId="0" fontId="0" fillId="14" borderId="12" xfId="0" applyFill="1" applyBorder="1"/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13" xfId="0" applyFill="1" applyBorder="1" applyAlignment="1">
      <alignment horizontal="center"/>
    </xf>
    <xf numFmtId="0" fontId="0" fillId="14" borderId="0" xfId="0" applyFill="1" applyAlignment="1">
      <alignment horizontal="left"/>
    </xf>
    <xf numFmtId="0" fontId="0" fillId="11" borderId="12" xfId="0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13" xfId="0" applyFill="1" applyBorder="1" applyAlignment="1">
      <alignment horizontal="center"/>
    </xf>
    <xf numFmtId="0" fontId="0" fillId="13" borderId="12" xfId="0" applyFill="1" applyBorder="1"/>
    <xf numFmtId="0" fontId="0" fillId="13" borderId="0" xfId="0" applyFill="1" applyAlignment="1">
      <alignment horizontal="center"/>
    </xf>
    <xf numFmtId="0" fontId="0" fillId="13" borderId="0" xfId="0" applyFill="1"/>
    <xf numFmtId="0" fontId="0" fillId="13" borderId="13" xfId="0" applyFill="1" applyBorder="1" applyAlignment="1">
      <alignment horizontal="center"/>
    </xf>
    <xf numFmtId="164" fontId="0" fillId="13" borderId="12" xfId="0" applyNumberFormat="1" applyFill="1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3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6" borderId="14" xfId="0" applyFont="1" applyFill="1" applyBorder="1" applyAlignment="1">
      <alignment vertical="center" wrapText="1"/>
    </xf>
    <xf numFmtId="0" fontId="0" fillId="6" borderId="15" xfId="0" applyFill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1" fillId="7" borderId="14" xfId="0" applyFont="1" applyFill="1" applyBorder="1" applyAlignment="1">
      <alignment vertical="center" wrapText="1"/>
    </xf>
    <xf numFmtId="0" fontId="0" fillId="7" borderId="15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5" borderId="18" xfId="0" applyFont="1" applyFill="1" applyBorder="1" applyAlignment="1">
      <alignment horizontal="center" vertical="center" wrapText="1"/>
    </xf>
    <xf numFmtId="0" fontId="0" fillId="15" borderId="19" xfId="0" applyFill="1" applyBorder="1" applyAlignment="1">
      <alignment vertical="center"/>
    </xf>
    <xf numFmtId="0" fontId="1" fillId="15" borderId="19" xfId="0" applyFont="1" applyFill="1" applyBorder="1" applyAlignment="1">
      <alignment horizontal="center" vertical="center"/>
    </xf>
    <xf numFmtId="0" fontId="1" fillId="15" borderId="20" xfId="0" applyFont="1" applyFill="1" applyBorder="1" applyAlignment="1">
      <alignment horizontal="center" vertical="center"/>
    </xf>
    <xf numFmtId="0" fontId="0" fillId="16" borderId="12" xfId="0" applyFill="1" applyBorder="1"/>
    <xf numFmtId="0" fontId="0" fillId="16" borderId="0" xfId="0" applyFill="1" applyAlignment="1">
      <alignment horizontal="center"/>
    </xf>
    <xf numFmtId="0" fontId="0" fillId="16" borderId="0" xfId="0" applyFill="1"/>
    <xf numFmtId="0" fontId="0" fillId="16" borderId="13" xfId="0" applyFill="1" applyBorder="1" applyAlignment="1">
      <alignment horizontal="center"/>
    </xf>
    <xf numFmtId="0" fontId="1" fillId="16" borderId="6" xfId="0" applyFont="1" applyFill="1" applyBorder="1" applyAlignment="1">
      <alignment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vertical="center"/>
    </xf>
    <xf numFmtId="0" fontId="1" fillId="16" borderId="0" xfId="0" applyFont="1" applyFill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1" fillId="16" borderId="12" xfId="0" applyFont="1" applyFill="1" applyBorder="1"/>
    <xf numFmtId="0" fontId="1" fillId="16" borderId="0" xfId="0" applyFont="1" applyFill="1" applyAlignment="1">
      <alignment horizontal="center"/>
    </xf>
    <xf numFmtId="0" fontId="1" fillId="16" borderId="0" xfId="0" applyFont="1" applyFill="1"/>
    <xf numFmtId="0" fontId="1" fillId="16" borderId="6" xfId="0" applyFont="1" applyFill="1" applyBorder="1"/>
    <xf numFmtId="0" fontId="1" fillId="16" borderId="8" xfId="0" applyFont="1" applyFill="1" applyBorder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center" vertical="center"/>
    </xf>
    <xf numFmtId="0" fontId="0" fillId="17" borderId="12" xfId="0" applyFill="1" applyBorder="1"/>
    <xf numFmtId="0" fontId="0" fillId="17" borderId="0" xfId="0" applyFill="1" applyAlignment="1">
      <alignment horizontal="center"/>
    </xf>
    <xf numFmtId="0" fontId="0" fillId="17" borderId="0" xfId="0" applyFill="1"/>
    <xf numFmtId="0" fontId="0" fillId="17" borderId="13" xfId="0" applyFill="1" applyBorder="1" applyAlignment="1">
      <alignment horizontal="center"/>
    </xf>
    <xf numFmtId="0" fontId="7" fillId="10" borderId="14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10" fillId="18" borderId="1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2" fontId="13" fillId="0" borderId="1" xfId="1" applyNumberFormat="1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2" fontId="11" fillId="0" borderId="1" xfId="1" applyNumberFormat="1" applyFont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0" fontId="13" fillId="19" borderId="1" xfId="7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1" fillId="19" borderId="1" xfId="1" applyNumberFormat="1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3" fillId="0" borderId="1" xfId="8" applyFont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4" fillId="0" borderId="1" xfId="9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165" fontId="13" fillId="0" borderId="1" xfId="2" applyNumberFormat="1" applyFont="1" applyFill="1" applyBorder="1" applyAlignment="1">
      <alignment horizontal="center" vertical="center"/>
    </xf>
    <xf numFmtId="41" fontId="13" fillId="0" borderId="1" xfId="2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5" borderId="17" xfId="0" applyFont="1" applyFill="1" applyBorder="1" applyAlignment="1">
      <alignment horizontal="center" vertical="center" wrapText="1"/>
    </xf>
    <xf numFmtId="0" fontId="1" fillId="15" borderId="18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left" vertical="center"/>
    </xf>
    <xf numFmtId="0" fontId="4" fillId="12" borderId="8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1" fillId="9" borderId="13" xfId="0" applyFont="1" applyFill="1" applyBorder="1" applyAlignment="1">
      <alignment horizontal="left"/>
    </xf>
    <xf numFmtId="0" fontId="8" fillId="17" borderId="12" xfId="0" applyFont="1" applyFill="1" applyBorder="1" applyAlignment="1">
      <alignment horizontal="center"/>
    </xf>
    <xf numFmtId="0" fontId="8" fillId="17" borderId="0" xfId="0" applyFont="1" applyFill="1" applyAlignment="1">
      <alignment horizontal="center"/>
    </xf>
    <xf numFmtId="0" fontId="8" fillId="17" borderId="13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</cellXfs>
  <cellStyles count="11">
    <cellStyle name="Comma" xfId="1" builtinId="3"/>
    <cellStyle name="Comma [0]" xfId="2" builtinId="6"/>
    <cellStyle name="Normal" xfId="0" builtinId="0"/>
    <cellStyle name="Normal 2" xfId="9" xr:uid="{288919A1-067E-4BD8-8C57-C33B705F73D0}"/>
    <cellStyle name="Normal 2 10" xfId="8" xr:uid="{0BE4D97B-B186-43A2-AC71-3A72FB81A904}"/>
    <cellStyle name="Normal 2 11" xfId="5" xr:uid="{70155588-2E1C-41B6-95DC-0EDEC8A6C4A2}"/>
    <cellStyle name="Normal 2 6" xfId="10" xr:uid="{DE523024-41C9-45AA-9F34-7F90EECD5262}"/>
    <cellStyle name="Normal 2 7" xfId="7" xr:uid="{59E70814-B9F3-42D7-B0DE-9E12F18CFA22}"/>
    <cellStyle name="Normal 2 9" xfId="4" xr:uid="{496A4D29-9623-4E3B-8D87-947074E5E566}"/>
    <cellStyle name="Normal 3 2" xfId="3" xr:uid="{8B68CC16-BA26-4B0E-A4A0-913DC6794E79}"/>
    <cellStyle name="Normal 9" xfId="6" xr:uid="{37329918-DA43-497D-92AE-56DECB724960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nilaian%20Kelompok%20Tani%20Tahun%202024/Kebonagung/Penilaian%20Poktan%20Kec.%20Kebonagung%202024/PENILAIAN%20POKTAN%20KARANGNONGK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nilaian%20Kelompok%20Tani%20Tahun%202024/Kebonagung/Penilaian%20Poktan%20Kec.%20Kebonagung%202024/PENILAIAN%20POKTAN%20PLUMBUNG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nilaian%20Kelompok%20Tani%20Tahun%202024/Kebonagung/Penilaian%20Poktan%20Kec.%20Kebonagung%202024/PENILAIAN%20POKTAN%20SIDOMUL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1"/>
      <sheetName val="SM2"/>
      <sheetName val="SM3"/>
      <sheetName val="SM4"/>
      <sheetName val="SM5"/>
      <sheetName val="SM6"/>
      <sheetName val="SM7"/>
      <sheetName val="SM8"/>
      <sheetName val="SM9"/>
      <sheetName val="REKAP"/>
      <sheetName val="Sheet1"/>
    </sheetNames>
    <sheetDataSet>
      <sheetData sheetId="0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0</v>
          </cell>
          <cell r="P11">
            <v>0</v>
          </cell>
          <cell r="S11">
            <v>143</v>
          </cell>
          <cell r="T11">
            <v>155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0</v>
          </cell>
          <cell r="P18">
            <v>0</v>
          </cell>
          <cell r="S18">
            <v>120</v>
          </cell>
          <cell r="T18">
            <v>123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  <cell r="S29">
            <v>297</v>
          </cell>
          <cell r="T29">
            <v>310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S32">
            <v>81</v>
          </cell>
          <cell r="T32">
            <v>83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0</v>
          </cell>
          <cell r="P35">
            <v>0</v>
          </cell>
          <cell r="S35">
            <v>85</v>
          </cell>
          <cell r="T35">
            <v>87</v>
          </cell>
        </row>
      </sheetData>
      <sheetData sheetId="1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122</v>
          </cell>
          <cell r="P11">
            <v>123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100</v>
          </cell>
          <cell r="P18">
            <v>103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235</v>
          </cell>
          <cell r="P29">
            <v>240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75</v>
          </cell>
          <cell r="P32">
            <v>75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65</v>
          </cell>
          <cell r="P35">
            <v>70</v>
          </cell>
          <cell r="S35">
            <v>0</v>
          </cell>
          <cell r="T35">
            <v>0</v>
          </cell>
        </row>
      </sheetData>
      <sheetData sheetId="2">
        <row r="11">
          <cell r="G11">
            <v>0</v>
          </cell>
          <cell r="H11">
            <v>0</v>
          </cell>
          <cell r="K11">
            <v>86</v>
          </cell>
          <cell r="L11">
            <v>89</v>
          </cell>
          <cell r="O11">
            <v>0</v>
          </cell>
          <cell r="P11">
            <v>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72</v>
          </cell>
          <cell r="L18">
            <v>73</v>
          </cell>
          <cell r="O18">
            <v>0</v>
          </cell>
          <cell r="P18">
            <v>0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165</v>
          </cell>
          <cell r="L29">
            <v>168</v>
          </cell>
          <cell r="O29">
            <v>0</v>
          </cell>
          <cell r="P29">
            <v>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38</v>
          </cell>
          <cell r="L32">
            <v>38</v>
          </cell>
          <cell r="O32">
            <v>0</v>
          </cell>
          <cell r="P32">
            <v>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46</v>
          </cell>
          <cell r="L35">
            <v>46</v>
          </cell>
          <cell r="O35">
            <v>0</v>
          </cell>
          <cell r="P35">
            <v>0</v>
          </cell>
          <cell r="S35">
            <v>0</v>
          </cell>
          <cell r="T35">
            <v>0</v>
          </cell>
        </row>
      </sheetData>
      <sheetData sheetId="3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116</v>
          </cell>
          <cell r="P11">
            <v>119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98</v>
          </cell>
          <cell r="P18">
            <v>100</v>
          </cell>
          <cell r="S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232</v>
          </cell>
          <cell r="P29">
            <v>242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59</v>
          </cell>
          <cell r="P35">
            <v>61</v>
          </cell>
          <cell r="S35">
            <v>0</v>
          </cell>
          <cell r="T35">
            <v>0</v>
          </cell>
        </row>
      </sheetData>
      <sheetData sheetId="4">
        <row r="11">
          <cell r="G11">
            <v>0</v>
          </cell>
          <cell r="H11">
            <v>0</v>
          </cell>
          <cell r="K11">
            <v>90</v>
          </cell>
          <cell r="L11">
            <v>92</v>
          </cell>
          <cell r="O11">
            <v>0</v>
          </cell>
          <cell r="P11">
            <v>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68</v>
          </cell>
          <cell r="L18">
            <v>71</v>
          </cell>
          <cell r="O18">
            <v>0</v>
          </cell>
          <cell r="P18">
            <v>0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160</v>
          </cell>
          <cell r="L29">
            <v>164</v>
          </cell>
          <cell r="O29">
            <v>0</v>
          </cell>
          <cell r="P29">
            <v>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26</v>
          </cell>
          <cell r="L32">
            <v>28</v>
          </cell>
          <cell r="O32">
            <v>0</v>
          </cell>
          <cell r="P32">
            <v>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38</v>
          </cell>
          <cell r="L35">
            <v>40</v>
          </cell>
          <cell r="O35">
            <v>0</v>
          </cell>
          <cell r="P35">
            <v>0</v>
          </cell>
          <cell r="S35">
            <v>0</v>
          </cell>
          <cell r="T35">
            <v>0</v>
          </cell>
        </row>
      </sheetData>
      <sheetData sheetId="5">
        <row r="11">
          <cell r="G11">
            <v>0</v>
          </cell>
          <cell r="H11">
            <v>0</v>
          </cell>
          <cell r="K11">
            <v>85</v>
          </cell>
          <cell r="L11">
            <v>87</v>
          </cell>
          <cell r="O11">
            <v>0</v>
          </cell>
          <cell r="P11">
            <v>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66</v>
          </cell>
          <cell r="L18">
            <v>69</v>
          </cell>
          <cell r="O18">
            <v>0</v>
          </cell>
          <cell r="P18">
            <v>0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158</v>
          </cell>
          <cell r="L29">
            <v>163</v>
          </cell>
          <cell r="O29">
            <v>0</v>
          </cell>
          <cell r="P29">
            <v>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31</v>
          </cell>
          <cell r="L32">
            <v>33</v>
          </cell>
          <cell r="O32">
            <v>0</v>
          </cell>
          <cell r="P32">
            <v>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40</v>
          </cell>
          <cell r="L35">
            <v>42</v>
          </cell>
          <cell r="O35">
            <v>0</v>
          </cell>
          <cell r="P35">
            <v>0</v>
          </cell>
          <cell r="S35">
            <v>0</v>
          </cell>
          <cell r="T35">
            <v>0</v>
          </cell>
        </row>
      </sheetData>
      <sheetData sheetId="6">
        <row r="11">
          <cell r="G11">
            <v>0</v>
          </cell>
          <cell r="H11">
            <v>0</v>
          </cell>
          <cell r="K11">
            <v>87</v>
          </cell>
          <cell r="L11">
            <v>90</v>
          </cell>
          <cell r="O11">
            <v>0</v>
          </cell>
          <cell r="P11">
            <v>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72</v>
          </cell>
          <cell r="L18">
            <v>73</v>
          </cell>
          <cell r="O18">
            <v>0</v>
          </cell>
          <cell r="P18">
            <v>0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159</v>
          </cell>
          <cell r="L29">
            <v>162</v>
          </cell>
          <cell r="O29">
            <v>0</v>
          </cell>
          <cell r="P29">
            <v>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31</v>
          </cell>
          <cell r="L32">
            <v>33</v>
          </cell>
          <cell r="O32">
            <v>0</v>
          </cell>
          <cell r="P32">
            <v>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41</v>
          </cell>
          <cell r="L35">
            <v>44</v>
          </cell>
          <cell r="O35">
            <v>0</v>
          </cell>
          <cell r="P35">
            <v>0</v>
          </cell>
          <cell r="S35">
            <v>0</v>
          </cell>
          <cell r="T35">
            <v>0</v>
          </cell>
        </row>
      </sheetData>
      <sheetData sheetId="7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116</v>
          </cell>
          <cell r="P11">
            <v>119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83</v>
          </cell>
          <cell r="P18">
            <v>94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197</v>
          </cell>
          <cell r="P29">
            <v>217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44</v>
          </cell>
          <cell r="P32">
            <v>47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53</v>
          </cell>
          <cell r="P35">
            <v>55</v>
          </cell>
          <cell r="S35">
            <v>0</v>
          </cell>
          <cell r="T35">
            <v>0</v>
          </cell>
        </row>
      </sheetData>
      <sheetData sheetId="8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108</v>
          </cell>
          <cell r="P11">
            <v>112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99</v>
          </cell>
          <cell r="P18">
            <v>102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231</v>
          </cell>
          <cell r="P29">
            <v>244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70</v>
          </cell>
          <cell r="P35">
            <v>72</v>
          </cell>
          <cell r="S35">
            <v>0</v>
          </cell>
          <cell r="T35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"/>
      <sheetName val="L2"/>
      <sheetName val="L3"/>
      <sheetName val="L4"/>
      <sheetName val="REKAP"/>
      <sheetName val="Sheet1"/>
    </sheetNames>
    <sheetDataSet>
      <sheetData sheetId="0">
        <row r="11">
          <cell r="G11">
            <v>0</v>
          </cell>
          <cell r="H11">
            <v>0</v>
          </cell>
          <cell r="K11">
            <v>87</v>
          </cell>
          <cell r="L11">
            <v>91</v>
          </cell>
          <cell r="O11">
            <v>0</v>
          </cell>
          <cell r="P11">
            <v>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70</v>
          </cell>
          <cell r="L18">
            <v>70</v>
          </cell>
          <cell r="O18">
            <v>0</v>
          </cell>
          <cell r="P18">
            <v>0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162</v>
          </cell>
          <cell r="L29">
            <v>165</v>
          </cell>
          <cell r="O29">
            <v>0</v>
          </cell>
          <cell r="P29">
            <v>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32</v>
          </cell>
          <cell r="L32">
            <v>34</v>
          </cell>
          <cell r="O32">
            <v>0</v>
          </cell>
          <cell r="P32">
            <v>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61</v>
          </cell>
          <cell r="L35">
            <v>61</v>
          </cell>
          <cell r="O35">
            <v>0</v>
          </cell>
          <cell r="P35">
            <v>0</v>
          </cell>
          <cell r="S35">
            <v>0</v>
          </cell>
          <cell r="T35">
            <v>0</v>
          </cell>
        </row>
      </sheetData>
      <sheetData sheetId="1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119</v>
          </cell>
          <cell r="P11">
            <v>121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102</v>
          </cell>
          <cell r="P18">
            <v>104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229</v>
          </cell>
          <cell r="P29">
            <v>233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49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61</v>
          </cell>
          <cell r="P35">
            <v>61</v>
          </cell>
          <cell r="S35">
            <v>0</v>
          </cell>
          <cell r="T35">
            <v>0</v>
          </cell>
        </row>
      </sheetData>
      <sheetData sheetId="2">
        <row r="11">
          <cell r="G11">
            <v>0</v>
          </cell>
          <cell r="H11">
            <v>0</v>
          </cell>
          <cell r="K11">
            <v>87</v>
          </cell>
          <cell r="L11">
            <v>89</v>
          </cell>
          <cell r="O11">
            <v>0</v>
          </cell>
          <cell r="P11">
            <v>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69</v>
          </cell>
          <cell r="L18">
            <v>73</v>
          </cell>
          <cell r="O18">
            <v>0</v>
          </cell>
          <cell r="P18">
            <v>0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158</v>
          </cell>
          <cell r="L29">
            <v>163</v>
          </cell>
          <cell r="O29">
            <v>0</v>
          </cell>
          <cell r="P29">
            <v>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29</v>
          </cell>
          <cell r="L32">
            <v>31</v>
          </cell>
          <cell r="O32">
            <v>0</v>
          </cell>
          <cell r="P32">
            <v>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40</v>
          </cell>
          <cell r="L35">
            <v>42</v>
          </cell>
          <cell r="O35">
            <v>0</v>
          </cell>
          <cell r="P35">
            <v>0</v>
          </cell>
          <cell r="S35">
            <v>0</v>
          </cell>
          <cell r="T35">
            <v>0</v>
          </cell>
        </row>
      </sheetData>
      <sheetData sheetId="3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119</v>
          </cell>
          <cell r="P11">
            <v>122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102</v>
          </cell>
          <cell r="P18">
            <v>104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235</v>
          </cell>
          <cell r="P29">
            <v>246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49</v>
          </cell>
          <cell r="P32">
            <v>53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61</v>
          </cell>
          <cell r="P35">
            <v>65</v>
          </cell>
          <cell r="S35">
            <v>0</v>
          </cell>
          <cell r="T35">
            <v>0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1"/>
      <sheetName val="BH2"/>
      <sheetName val="BH3"/>
      <sheetName val="BH4"/>
      <sheetName val="BH5"/>
      <sheetName val="BH6"/>
      <sheetName val="BH7"/>
      <sheetName val="BH8"/>
      <sheetName val="BH9"/>
      <sheetName val="BH10"/>
      <sheetName val="BH11"/>
      <sheetName val="BH12"/>
      <sheetName val="BH13"/>
      <sheetName val="REKAP"/>
      <sheetName val="Sheet1"/>
    </sheetNames>
    <sheetDataSet>
      <sheetData sheetId="0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0</v>
          </cell>
          <cell r="P11">
            <v>0</v>
          </cell>
          <cell r="S11">
            <v>142</v>
          </cell>
          <cell r="T11">
            <v>150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0</v>
          </cell>
          <cell r="P18">
            <v>0</v>
          </cell>
          <cell r="S18">
            <v>120</v>
          </cell>
          <cell r="T18">
            <v>123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  <cell r="S29">
            <v>297</v>
          </cell>
          <cell r="T29">
            <v>310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S32">
            <v>81</v>
          </cell>
          <cell r="T32">
            <v>83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0</v>
          </cell>
          <cell r="P35">
            <v>0</v>
          </cell>
          <cell r="S35">
            <v>80</v>
          </cell>
          <cell r="T35">
            <v>87</v>
          </cell>
        </row>
      </sheetData>
      <sheetData sheetId="1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120</v>
          </cell>
          <cell r="P11">
            <v>123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105</v>
          </cell>
          <cell r="P18">
            <v>106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235</v>
          </cell>
          <cell r="P29">
            <v>244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59</v>
          </cell>
          <cell r="P35">
            <v>61</v>
          </cell>
          <cell r="S35">
            <v>0</v>
          </cell>
          <cell r="T35">
            <v>0</v>
          </cell>
        </row>
      </sheetData>
      <sheetData sheetId="2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120</v>
          </cell>
          <cell r="P11">
            <v>123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95</v>
          </cell>
          <cell r="P18">
            <v>97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235</v>
          </cell>
          <cell r="P29">
            <v>244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59</v>
          </cell>
          <cell r="P35">
            <v>61</v>
          </cell>
          <cell r="S35">
            <v>0</v>
          </cell>
          <cell r="T35">
            <v>0</v>
          </cell>
        </row>
      </sheetData>
      <sheetData sheetId="3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115</v>
          </cell>
          <cell r="P11">
            <v>118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83</v>
          </cell>
          <cell r="P18">
            <v>94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197</v>
          </cell>
          <cell r="P29">
            <v>217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46</v>
          </cell>
          <cell r="P32">
            <v>47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59</v>
          </cell>
          <cell r="P35">
            <v>60</v>
          </cell>
          <cell r="S35">
            <v>0</v>
          </cell>
          <cell r="T35">
            <v>0</v>
          </cell>
        </row>
      </sheetData>
      <sheetData sheetId="4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125</v>
          </cell>
          <cell r="P11">
            <v>128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105</v>
          </cell>
          <cell r="P18">
            <v>107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235</v>
          </cell>
          <cell r="P29">
            <v>240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75</v>
          </cell>
          <cell r="P32">
            <v>75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69</v>
          </cell>
          <cell r="P35">
            <v>72</v>
          </cell>
          <cell r="S35">
            <v>0</v>
          </cell>
          <cell r="T35">
            <v>0</v>
          </cell>
        </row>
      </sheetData>
      <sheetData sheetId="5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115</v>
          </cell>
          <cell r="P11">
            <v>119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85</v>
          </cell>
          <cell r="P18">
            <v>94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213</v>
          </cell>
          <cell r="P29">
            <v>230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67</v>
          </cell>
          <cell r="P32">
            <v>70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65</v>
          </cell>
          <cell r="P35">
            <v>67</v>
          </cell>
          <cell r="S35">
            <v>0</v>
          </cell>
          <cell r="T35">
            <v>0</v>
          </cell>
        </row>
      </sheetData>
      <sheetData sheetId="6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112</v>
          </cell>
          <cell r="P11">
            <v>118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85</v>
          </cell>
          <cell r="P18">
            <v>91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200</v>
          </cell>
          <cell r="P29">
            <v>219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61</v>
          </cell>
          <cell r="P32">
            <v>64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59</v>
          </cell>
          <cell r="P35">
            <v>60</v>
          </cell>
          <cell r="S35">
            <v>0</v>
          </cell>
          <cell r="T35">
            <v>0</v>
          </cell>
        </row>
      </sheetData>
      <sheetData sheetId="7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118</v>
          </cell>
          <cell r="P11">
            <v>120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96</v>
          </cell>
          <cell r="P18">
            <v>99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211</v>
          </cell>
          <cell r="P29">
            <v>221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64</v>
          </cell>
          <cell r="P35">
            <v>67</v>
          </cell>
          <cell r="S35">
            <v>0</v>
          </cell>
          <cell r="T35">
            <v>0</v>
          </cell>
        </row>
      </sheetData>
      <sheetData sheetId="8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118</v>
          </cell>
          <cell r="P11">
            <v>120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96</v>
          </cell>
          <cell r="P18">
            <v>99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211</v>
          </cell>
          <cell r="P29">
            <v>221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58</v>
          </cell>
          <cell r="P35">
            <v>60</v>
          </cell>
          <cell r="S35">
            <v>0</v>
          </cell>
          <cell r="T35">
            <v>0</v>
          </cell>
        </row>
      </sheetData>
      <sheetData sheetId="9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102</v>
          </cell>
          <cell r="P11">
            <v>104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83</v>
          </cell>
          <cell r="P18">
            <v>94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195</v>
          </cell>
          <cell r="P29">
            <v>210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41</v>
          </cell>
          <cell r="P32">
            <v>44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51</v>
          </cell>
          <cell r="P35">
            <v>52</v>
          </cell>
          <cell r="S35">
            <v>0</v>
          </cell>
          <cell r="T35">
            <v>0</v>
          </cell>
        </row>
      </sheetData>
      <sheetData sheetId="10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120</v>
          </cell>
          <cell r="P11">
            <v>123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95</v>
          </cell>
          <cell r="P18">
            <v>97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238</v>
          </cell>
          <cell r="P29">
            <v>245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47</v>
          </cell>
          <cell r="P32">
            <v>52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59</v>
          </cell>
          <cell r="P35">
            <v>61</v>
          </cell>
          <cell r="S35">
            <v>0</v>
          </cell>
          <cell r="T35">
            <v>0</v>
          </cell>
        </row>
      </sheetData>
      <sheetData sheetId="11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125</v>
          </cell>
          <cell r="P11">
            <v>128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105</v>
          </cell>
          <cell r="P18">
            <v>107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235</v>
          </cell>
          <cell r="P29">
            <v>240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76</v>
          </cell>
          <cell r="P32">
            <v>77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72</v>
          </cell>
          <cell r="P35">
            <v>75</v>
          </cell>
          <cell r="S35">
            <v>0</v>
          </cell>
          <cell r="T35">
            <v>0</v>
          </cell>
        </row>
      </sheetData>
      <sheetData sheetId="12"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  <cell r="O11">
            <v>120</v>
          </cell>
          <cell r="P11">
            <v>123</v>
          </cell>
          <cell r="S11">
            <v>0</v>
          </cell>
          <cell r="T11">
            <v>0</v>
          </cell>
        </row>
        <row r="18">
          <cell r="G18">
            <v>0</v>
          </cell>
          <cell r="H18">
            <v>0</v>
          </cell>
          <cell r="K18">
            <v>0</v>
          </cell>
          <cell r="L18">
            <v>0</v>
          </cell>
          <cell r="O18">
            <v>95</v>
          </cell>
          <cell r="P18">
            <v>97</v>
          </cell>
          <cell r="S18">
            <v>0</v>
          </cell>
          <cell r="T18">
            <v>0</v>
          </cell>
        </row>
        <row r="29">
          <cell r="G29">
            <v>0</v>
          </cell>
          <cell r="H29">
            <v>0</v>
          </cell>
          <cell r="K29">
            <v>0</v>
          </cell>
          <cell r="L29">
            <v>0</v>
          </cell>
          <cell r="O29">
            <v>232</v>
          </cell>
          <cell r="P29">
            <v>238</v>
          </cell>
          <cell r="S29">
            <v>0</v>
          </cell>
          <cell r="T29">
            <v>0</v>
          </cell>
        </row>
        <row r="32">
          <cell r="G32">
            <v>0</v>
          </cell>
          <cell r="H32">
            <v>0</v>
          </cell>
          <cell r="K32">
            <v>0</v>
          </cell>
          <cell r="L32">
            <v>0</v>
          </cell>
          <cell r="O32">
            <v>65</v>
          </cell>
          <cell r="P32">
            <v>80</v>
          </cell>
          <cell r="S32">
            <v>0</v>
          </cell>
          <cell r="T32">
            <v>0</v>
          </cell>
        </row>
        <row r="35">
          <cell r="G35">
            <v>0</v>
          </cell>
          <cell r="H35">
            <v>0</v>
          </cell>
          <cell r="K35">
            <v>0</v>
          </cell>
          <cell r="L35">
            <v>0</v>
          </cell>
          <cell r="O35">
            <v>65</v>
          </cell>
          <cell r="P35">
            <v>68</v>
          </cell>
          <cell r="S35">
            <v>0</v>
          </cell>
          <cell r="T35">
            <v>0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C1504"/>
  <sheetViews>
    <sheetView zoomScale="70" zoomScaleNormal="70" workbookViewId="0"/>
  </sheetViews>
  <sheetFormatPr defaultRowHeight="14.5" x14ac:dyDescent="0.35"/>
  <cols>
    <col min="1" max="1" width="11.08984375" bestFit="1" customWidth="1"/>
    <col min="2" max="2" width="17.08984375" style="5" customWidth="1"/>
    <col min="3" max="3" width="22.6328125" style="5" bestFit="1" customWidth="1"/>
    <col min="4" max="4" width="21.54296875" style="5" bestFit="1" customWidth="1"/>
    <col min="5" max="5" width="26.453125" style="5" bestFit="1" customWidth="1"/>
    <col min="6" max="6" width="14.26953125" style="5" bestFit="1" customWidth="1"/>
    <col min="7" max="7" width="24.1796875" style="5" bestFit="1" customWidth="1"/>
    <col min="8" max="8" width="22.6328125" style="5" bestFit="1" customWidth="1"/>
    <col min="9" max="9" width="16.26953125" style="5" bestFit="1" customWidth="1"/>
    <col min="10" max="10" width="20.81640625" style="5" bestFit="1" customWidth="1"/>
    <col min="11" max="11" width="20" style="5" bestFit="1" customWidth="1"/>
    <col min="12" max="12" width="21.08984375" style="5" bestFit="1" customWidth="1"/>
    <col min="13" max="13" width="18.26953125" style="5" bestFit="1" customWidth="1"/>
    <col min="14" max="14" width="21.453125" style="5" bestFit="1" customWidth="1"/>
    <col min="15" max="15" width="14.6328125" style="5" bestFit="1" customWidth="1"/>
    <col min="16" max="16" width="17.26953125" style="5" bestFit="1" customWidth="1"/>
    <col min="17" max="17" width="13.453125" style="5" bestFit="1" customWidth="1"/>
    <col min="18" max="18" width="17.26953125" style="5" bestFit="1" customWidth="1"/>
    <col min="19" max="19" width="16" style="5" bestFit="1" customWidth="1"/>
    <col min="20" max="20" width="15.08984375" style="5" bestFit="1" customWidth="1"/>
    <col min="21" max="21" width="13.7265625" style="5" bestFit="1" customWidth="1"/>
    <col min="22" max="22" width="15.26953125" style="5" bestFit="1" customWidth="1"/>
    <col min="23" max="23" width="14.6328125" style="5" bestFit="1" customWidth="1"/>
    <col min="24" max="24" width="17.1796875" style="5" bestFit="1" customWidth="1"/>
    <col min="25" max="25" width="16.81640625" style="5" bestFit="1" customWidth="1"/>
    <col min="26" max="26" width="18.81640625" style="5" bestFit="1" customWidth="1"/>
    <col min="27" max="27" width="15.6328125" style="5" bestFit="1" customWidth="1"/>
    <col min="28" max="28" width="18.54296875" style="5" bestFit="1" customWidth="1"/>
    <col min="29" max="29" width="11.1796875" style="5" bestFit="1" customWidth="1"/>
    <col min="30" max="30" width="14.54296875" style="5" bestFit="1" customWidth="1"/>
    <col min="31" max="31" width="16" bestFit="1" customWidth="1"/>
    <col min="32" max="32" width="22.6328125" bestFit="1" customWidth="1"/>
    <col min="33" max="33" width="15.54296875" bestFit="1" customWidth="1"/>
    <col min="34" max="34" width="19.36328125" bestFit="1" customWidth="1"/>
    <col min="35" max="35" width="16.7265625" bestFit="1" customWidth="1"/>
    <col min="36" max="36" width="18.54296875" bestFit="1" customWidth="1"/>
    <col min="37" max="37" width="20.90625" bestFit="1" customWidth="1"/>
    <col min="38" max="38" width="17.6328125" bestFit="1" customWidth="1"/>
    <col min="39" max="39" width="17.54296875" style="9" bestFit="1" customWidth="1"/>
    <col min="40" max="40" width="13.6328125" style="9" bestFit="1" customWidth="1"/>
    <col min="41" max="41" width="14.7265625" style="9" bestFit="1" customWidth="1"/>
    <col min="42" max="42" width="15.54296875" style="9" bestFit="1" customWidth="1"/>
    <col min="43" max="43" width="14.54296875" style="9" bestFit="1" customWidth="1"/>
    <col min="44" max="44" width="16.08984375" style="9" bestFit="1" customWidth="1"/>
    <col min="45" max="45" width="20" style="9" bestFit="1" customWidth="1"/>
    <col min="46" max="46" width="14.90625" style="9" bestFit="1" customWidth="1"/>
    <col min="47" max="47" width="23.26953125" style="9" bestFit="1" customWidth="1"/>
    <col min="48" max="48" width="17.26953125" style="9" bestFit="1" customWidth="1"/>
    <col min="49" max="49" width="13.90625" style="9" bestFit="1" customWidth="1"/>
    <col min="50" max="50" width="21.6328125" style="9" bestFit="1" customWidth="1"/>
    <col min="51" max="51" width="16.36328125" bestFit="1" customWidth="1"/>
    <col min="52" max="52" width="14" bestFit="1" customWidth="1"/>
    <col min="53" max="53" width="12.453125" bestFit="1" customWidth="1"/>
    <col min="54" max="54" width="12.90625" bestFit="1" customWidth="1"/>
    <col min="55" max="55" width="16" bestFit="1" customWidth="1"/>
    <col min="56" max="56" width="17.6328125" bestFit="1" customWidth="1"/>
    <col min="57" max="57" width="14.08984375" bestFit="1" customWidth="1"/>
    <col min="58" max="58" width="15.81640625" bestFit="1" customWidth="1"/>
    <col min="59" max="59" width="13.453125" bestFit="1" customWidth="1"/>
    <col min="60" max="60" width="22.36328125" bestFit="1" customWidth="1"/>
    <col min="61" max="61" width="11.36328125" bestFit="1" customWidth="1"/>
    <col min="62" max="62" width="25.1796875" bestFit="1" customWidth="1"/>
    <col min="63" max="63" width="16" bestFit="1" customWidth="1"/>
    <col min="64" max="64" width="14.7265625" bestFit="1" customWidth="1"/>
    <col min="65" max="65" width="13.90625" bestFit="1" customWidth="1"/>
    <col min="66" max="66" width="15.1796875" bestFit="1" customWidth="1"/>
    <col min="67" max="67" width="26.54296875" bestFit="1" customWidth="1"/>
    <col min="68" max="68" width="15.81640625" bestFit="1" customWidth="1"/>
    <col min="69" max="69" width="13.7265625" bestFit="1" customWidth="1"/>
    <col min="70" max="70" width="13" bestFit="1" customWidth="1"/>
    <col min="71" max="71" width="15.7265625" bestFit="1" customWidth="1"/>
    <col min="72" max="72" width="14.6328125" bestFit="1" customWidth="1"/>
    <col min="73" max="73" width="15.26953125" bestFit="1" customWidth="1"/>
    <col min="74" max="74" width="13.90625" bestFit="1" customWidth="1"/>
    <col min="75" max="75" width="19.26953125" bestFit="1" customWidth="1"/>
    <col min="76" max="76" width="13.54296875" bestFit="1" customWidth="1"/>
    <col min="77" max="77" width="16" bestFit="1" customWidth="1"/>
    <col min="78" max="79" width="14.81640625" bestFit="1" customWidth="1"/>
    <col min="80" max="80" width="18.54296875" bestFit="1" customWidth="1"/>
    <col min="81" max="81" width="13.7265625" bestFit="1" customWidth="1"/>
    <col min="82" max="82" width="18.26953125" bestFit="1" customWidth="1"/>
    <col min="83" max="83" width="13.81640625" bestFit="1" customWidth="1"/>
    <col min="84" max="84" width="18.453125" bestFit="1" customWidth="1"/>
    <col min="85" max="85" width="13.6328125" bestFit="1" customWidth="1"/>
    <col min="86" max="86" width="14.90625" bestFit="1" customWidth="1"/>
    <col min="87" max="87" width="15.54296875" bestFit="1" customWidth="1"/>
    <col min="88" max="88" width="24.26953125" bestFit="1" customWidth="1"/>
    <col min="89" max="89" width="16.54296875" bestFit="1" customWidth="1"/>
    <col min="90" max="90" width="16.1796875" bestFit="1" customWidth="1"/>
    <col min="91" max="91" width="13.36328125" bestFit="1" customWidth="1"/>
    <col min="92" max="92" width="13.54296875" bestFit="1" customWidth="1"/>
    <col min="93" max="93" width="19.54296875" bestFit="1" customWidth="1"/>
    <col min="94" max="94" width="20.36328125" bestFit="1" customWidth="1"/>
    <col min="95" max="95" width="15.08984375" bestFit="1" customWidth="1"/>
    <col min="96" max="96" width="14.6328125" bestFit="1" customWidth="1"/>
    <col min="97" max="97" width="17.26953125" bestFit="1" customWidth="1"/>
    <col min="98" max="98" width="18" bestFit="1" customWidth="1"/>
    <col min="99" max="99" width="22.81640625" bestFit="1" customWidth="1"/>
    <col min="100" max="100" width="13.90625" bestFit="1" customWidth="1"/>
    <col min="101" max="101" width="13.6328125" bestFit="1" customWidth="1"/>
    <col min="102" max="102" width="17.453125" bestFit="1" customWidth="1"/>
    <col min="103" max="103" width="13.26953125" bestFit="1" customWidth="1"/>
    <col min="104" max="104" width="14.1796875" bestFit="1" customWidth="1"/>
    <col min="105" max="105" width="12.90625" bestFit="1" customWidth="1"/>
    <col min="106" max="106" width="23.08984375" bestFit="1" customWidth="1"/>
    <col min="107" max="107" width="16.08984375" bestFit="1" customWidth="1"/>
    <col min="108" max="108" width="22.54296875" bestFit="1" customWidth="1"/>
    <col min="109" max="109" width="16.6328125" bestFit="1" customWidth="1"/>
    <col min="110" max="110" width="20.36328125" bestFit="1" customWidth="1"/>
    <col min="111" max="111" width="14.26953125" bestFit="1" customWidth="1"/>
    <col min="112" max="112" width="15.6328125" bestFit="1" customWidth="1"/>
    <col min="113" max="113" width="13" bestFit="1" customWidth="1"/>
    <col min="114" max="114" width="14.36328125" bestFit="1" customWidth="1"/>
    <col min="115" max="115" width="18.1796875" bestFit="1" customWidth="1"/>
    <col min="116" max="116" width="14.08984375" bestFit="1" customWidth="1"/>
    <col min="117" max="117" width="14.453125" bestFit="1" customWidth="1"/>
    <col min="118" max="118" width="17.08984375" bestFit="1" customWidth="1"/>
    <col min="119" max="119" width="15.54296875" bestFit="1" customWidth="1"/>
    <col min="120" max="120" width="15.1796875" bestFit="1" customWidth="1"/>
    <col min="121" max="121" width="19.7265625" bestFit="1" customWidth="1"/>
    <col min="122" max="122" width="17.1796875" bestFit="1" customWidth="1"/>
    <col min="123" max="123" width="13" bestFit="1" customWidth="1"/>
    <col min="124" max="124" width="12.453125" bestFit="1" customWidth="1"/>
    <col min="125" max="125" width="15.6328125" bestFit="1" customWidth="1"/>
    <col min="126" max="126" width="13.08984375" bestFit="1" customWidth="1"/>
    <col min="127" max="127" width="16.54296875" bestFit="1" customWidth="1"/>
    <col min="128" max="128" width="15.6328125" bestFit="1" customWidth="1"/>
    <col min="129" max="129" width="9.6328125" bestFit="1" customWidth="1"/>
    <col min="130" max="130" width="15.7265625" bestFit="1" customWidth="1"/>
    <col min="131" max="131" width="12.1796875" bestFit="1" customWidth="1"/>
    <col min="132" max="132" width="15.26953125" bestFit="1" customWidth="1"/>
    <col min="133" max="133" width="19.7265625" bestFit="1" customWidth="1"/>
    <col min="134" max="134" width="16.453125" bestFit="1" customWidth="1"/>
    <col min="135" max="135" width="19.81640625" bestFit="1" customWidth="1"/>
    <col min="136" max="136" width="14.08984375" bestFit="1" customWidth="1"/>
    <col min="137" max="137" width="13.81640625" bestFit="1" customWidth="1"/>
    <col min="138" max="138" width="12" bestFit="1" customWidth="1"/>
    <col min="139" max="139" width="21.08984375" bestFit="1" customWidth="1"/>
    <col min="140" max="140" width="17.7265625" bestFit="1" customWidth="1"/>
    <col min="141" max="141" width="16.08984375" bestFit="1" customWidth="1"/>
    <col min="142" max="142" width="11.90625" bestFit="1" customWidth="1"/>
    <col min="143" max="143" width="18.1796875" bestFit="1" customWidth="1"/>
    <col min="144" max="144" width="18.453125" bestFit="1" customWidth="1"/>
    <col min="145" max="145" width="14.26953125" bestFit="1" customWidth="1"/>
    <col min="146" max="146" width="13.1796875" bestFit="1" customWidth="1"/>
    <col min="147" max="147" width="14.90625" bestFit="1" customWidth="1"/>
    <col min="148" max="148" width="16.1796875" bestFit="1" customWidth="1"/>
    <col min="149" max="149" width="17.08984375" bestFit="1" customWidth="1"/>
    <col min="150" max="150" width="15.26953125" bestFit="1" customWidth="1"/>
    <col min="151" max="151" width="20.08984375" bestFit="1" customWidth="1"/>
    <col min="152" max="152" width="14.81640625" bestFit="1" customWidth="1"/>
    <col min="153" max="153" width="19.08984375" bestFit="1" customWidth="1"/>
    <col min="154" max="154" width="13.7265625" bestFit="1" customWidth="1"/>
    <col min="155" max="155" width="14.1796875" bestFit="1" customWidth="1"/>
    <col min="156" max="156" width="16.08984375" bestFit="1" customWidth="1"/>
    <col min="157" max="157" width="16.7265625" bestFit="1" customWidth="1"/>
    <col min="158" max="158" width="13.90625" bestFit="1" customWidth="1"/>
    <col min="159" max="159" width="18.7265625" bestFit="1" customWidth="1"/>
    <col min="160" max="160" width="16.26953125" bestFit="1" customWidth="1"/>
    <col min="161" max="161" width="16" bestFit="1" customWidth="1"/>
    <col min="162" max="162" width="15.54296875" bestFit="1" customWidth="1"/>
    <col min="163" max="163" width="17.453125" bestFit="1" customWidth="1"/>
    <col min="164" max="164" width="21.1796875" bestFit="1" customWidth="1"/>
    <col min="165" max="165" width="16.54296875" bestFit="1" customWidth="1"/>
    <col min="166" max="166" width="21.90625" bestFit="1" customWidth="1"/>
    <col min="167" max="167" width="17.26953125" bestFit="1" customWidth="1"/>
    <col min="168" max="168" width="17.6328125" bestFit="1" customWidth="1"/>
    <col min="169" max="169" width="15.26953125" bestFit="1" customWidth="1"/>
    <col min="170" max="170" width="17.26953125" bestFit="1" customWidth="1"/>
    <col min="171" max="171" width="18.1796875" bestFit="1" customWidth="1"/>
    <col min="172" max="172" width="14.453125" bestFit="1" customWidth="1"/>
    <col min="173" max="173" width="13.90625" bestFit="1" customWidth="1"/>
    <col min="174" max="174" width="15.6328125" bestFit="1" customWidth="1"/>
    <col min="175" max="175" width="18.54296875" bestFit="1" customWidth="1"/>
    <col min="176" max="176" width="16.36328125" bestFit="1" customWidth="1"/>
    <col min="177" max="177" width="18.36328125" bestFit="1" customWidth="1"/>
    <col min="178" max="178" width="12.453125" bestFit="1" customWidth="1"/>
    <col min="179" max="179" width="13.1796875" bestFit="1" customWidth="1"/>
    <col min="180" max="180" width="22.54296875" bestFit="1" customWidth="1"/>
    <col min="181" max="181" width="14.81640625" bestFit="1" customWidth="1"/>
    <col min="182" max="182" width="13" bestFit="1" customWidth="1"/>
    <col min="183" max="184" width="15.36328125" bestFit="1" customWidth="1"/>
    <col min="185" max="185" width="13.36328125" bestFit="1" customWidth="1"/>
  </cols>
  <sheetData>
    <row r="1" spans="1:185" x14ac:dyDescent="0.35">
      <c r="A1" s="6" t="s">
        <v>162</v>
      </c>
      <c r="B1" s="7" t="s">
        <v>0</v>
      </c>
      <c r="C1" s="7" t="s">
        <v>1</v>
      </c>
      <c r="D1" s="7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6260</v>
      </c>
      <c r="AG1" s="1" t="s">
        <v>192</v>
      </c>
      <c r="AH1" s="1" t="s">
        <v>193</v>
      </c>
      <c r="AI1" s="1" t="s">
        <v>194</v>
      </c>
      <c r="AJ1" s="1" t="s">
        <v>195</v>
      </c>
      <c r="AK1" s="1" t="s">
        <v>196</v>
      </c>
      <c r="AL1" s="1" t="s">
        <v>197</v>
      </c>
      <c r="AM1" s="1" t="s">
        <v>198</v>
      </c>
      <c r="AN1" s="1" t="s">
        <v>199</v>
      </c>
      <c r="AO1" s="1" t="s">
        <v>200</v>
      </c>
      <c r="AP1" s="1" t="s">
        <v>201</v>
      </c>
      <c r="AQ1" s="1" t="s">
        <v>202</v>
      </c>
      <c r="AR1" s="1" t="s">
        <v>203</v>
      </c>
      <c r="AS1" s="1" t="s">
        <v>6259</v>
      </c>
      <c r="AT1" s="1" t="s">
        <v>204</v>
      </c>
      <c r="AU1" s="1" t="s">
        <v>205</v>
      </c>
      <c r="AV1" s="1" t="s">
        <v>206</v>
      </c>
      <c r="AW1" s="1" t="s">
        <v>207</v>
      </c>
      <c r="AX1" s="1" t="s">
        <v>1386</v>
      </c>
      <c r="AY1" s="1" t="s">
        <v>208</v>
      </c>
      <c r="AZ1" s="1" t="s">
        <v>209</v>
      </c>
      <c r="BA1" s="1" t="s">
        <v>210</v>
      </c>
      <c r="BB1" s="1" t="s">
        <v>211</v>
      </c>
      <c r="BC1" s="1" t="s">
        <v>212</v>
      </c>
      <c r="BD1" s="1" t="s">
        <v>213</v>
      </c>
      <c r="BE1" s="1" t="s">
        <v>214</v>
      </c>
      <c r="BF1" s="1" t="s">
        <v>215</v>
      </c>
      <c r="BG1" s="1" t="s">
        <v>216</v>
      </c>
      <c r="BH1" s="1" t="s">
        <v>1388</v>
      </c>
      <c r="BI1" s="1" t="s">
        <v>217</v>
      </c>
      <c r="BJ1" s="1" t="s">
        <v>1390</v>
      </c>
      <c r="BK1" s="1" t="s">
        <v>218</v>
      </c>
      <c r="BL1" s="1" t="s">
        <v>219</v>
      </c>
      <c r="BM1" s="1" t="s">
        <v>220</v>
      </c>
      <c r="BN1" s="1" t="s">
        <v>221</v>
      </c>
      <c r="BO1" s="1" t="s">
        <v>1392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1393</v>
      </c>
      <c r="CK1" s="1" t="s">
        <v>242</v>
      </c>
      <c r="CL1" s="1" t="s">
        <v>243</v>
      </c>
      <c r="CM1" s="1" t="s">
        <v>244</v>
      </c>
      <c r="CN1" s="1" t="s">
        <v>245</v>
      </c>
      <c r="CO1" s="1" t="s">
        <v>246</v>
      </c>
      <c r="CP1" s="1" t="s">
        <v>247</v>
      </c>
      <c r="CQ1" s="1" t="s">
        <v>248</v>
      </c>
      <c r="CR1" s="1" t="s">
        <v>249</v>
      </c>
      <c r="CS1" s="1" t="s">
        <v>250</v>
      </c>
      <c r="CT1" s="1" t="s">
        <v>932</v>
      </c>
      <c r="CU1" s="1" t="s">
        <v>1385</v>
      </c>
      <c r="CV1" s="1" t="s">
        <v>251</v>
      </c>
      <c r="CW1" s="1" t="s">
        <v>252</v>
      </c>
      <c r="CX1" s="1" t="s">
        <v>253</v>
      </c>
      <c r="CY1" s="1" t="s">
        <v>254</v>
      </c>
      <c r="CZ1" s="1" t="s">
        <v>255</v>
      </c>
      <c r="DA1" s="1" t="s">
        <v>256</v>
      </c>
      <c r="DB1" s="1" t="s">
        <v>257</v>
      </c>
      <c r="DC1" s="1" t="s">
        <v>857</v>
      </c>
      <c r="DD1" s="1" t="s">
        <v>1473</v>
      </c>
      <c r="DE1" s="1" t="s">
        <v>258</v>
      </c>
      <c r="DF1" s="1" t="s">
        <v>864</v>
      </c>
      <c r="DG1" s="1" t="s">
        <v>259</v>
      </c>
      <c r="DH1" s="1" t="s">
        <v>260</v>
      </c>
      <c r="DI1" s="1" t="s">
        <v>261</v>
      </c>
      <c r="DJ1" s="1" t="s">
        <v>262</v>
      </c>
      <c r="DK1" s="1" t="s">
        <v>910</v>
      </c>
      <c r="DL1" s="1" t="s">
        <v>263</v>
      </c>
      <c r="DM1" s="1" t="s">
        <v>264</v>
      </c>
      <c r="DN1" s="1" t="s">
        <v>265</v>
      </c>
      <c r="DO1" s="1" t="s">
        <v>266</v>
      </c>
      <c r="DP1" s="1" t="s">
        <v>267</v>
      </c>
      <c r="DQ1" s="1" t="s">
        <v>1387</v>
      </c>
      <c r="DR1" s="1" t="s">
        <v>268</v>
      </c>
      <c r="DS1" s="1" t="s">
        <v>269</v>
      </c>
      <c r="DT1" s="1" t="s">
        <v>270</v>
      </c>
      <c r="DU1" s="1" t="s">
        <v>271</v>
      </c>
      <c r="DV1" s="1" t="s">
        <v>272</v>
      </c>
      <c r="DW1" s="1" t="s">
        <v>273</v>
      </c>
      <c r="DX1" s="1" t="s">
        <v>274</v>
      </c>
      <c r="DY1" s="1" t="s">
        <v>275</v>
      </c>
      <c r="DZ1" s="1" t="s">
        <v>276</v>
      </c>
      <c r="EA1" s="1" t="s">
        <v>277</v>
      </c>
      <c r="EB1" s="1" t="s">
        <v>278</v>
      </c>
      <c r="EC1" s="1" t="s">
        <v>279</v>
      </c>
      <c r="ED1" s="1" t="s">
        <v>280</v>
      </c>
      <c r="EE1" s="1" t="s">
        <v>281</v>
      </c>
      <c r="EF1" s="1" t="s">
        <v>282</v>
      </c>
      <c r="EG1" s="1" t="s">
        <v>283</v>
      </c>
      <c r="EH1" s="1" t="s">
        <v>284</v>
      </c>
      <c r="EI1" s="1" t="s">
        <v>1391</v>
      </c>
      <c r="EJ1" s="1" t="s">
        <v>285</v>
      </c>
      <c r="EK1" s="1" t="s">
        <v>286</v>
      </c>
      <c r="EL1" s="1" t="s">
        <v>287</v>
      </c>
      <c r="EM1" s="1" t="s">
        <v>1395</v>
      </c>
      <c r="EN1" s="1" t="s">
        <v>288</v>
      </c>
      <c r="EO1" s="1" t="s">
        <v>289</v>
      </c>
      <c r="EP1" s="1" t="s">
        <v>290</v>
      </c>
      <c r="EQ1" s="1" t="s">
        <v>291</v>
      </c>
      <c r="ER1" s="1" t="s">
        <v>292</v>
      </c>
      <c r="ES1" s="1" t="s">
        <v>293</v>
      </c>
      <c r="ET1" s="1" t="s">
        <v>294</v>
      </c>
      <c r="EU1" s="1" t="s">
        <v>1384</v>
      </c>
      <c r="EV1" s="1" t="s">
        <v>295</v>
      </c>
      <c r="EW1" s="1" t="s">
        <v>296</v>
      </c>
      <c r="EX1" s="1" t="s">
        <v>297</v>
      </c>
      <c r="EY1" s="1" t="s">
        <v>298</v>
      </c>
      <c r="EZ1" s="1" t="s">
        <v>299</v>
      </c>
      <c r="FA1" s="1" t="s">
        <v>300</v>
      </c>
      <c r="FB1" s="1" t="s">
        <v>301</v>
      </c>
      <c r="FC1" s="1" t="s">
        <v>302</v>
      </c>
      <c r="FD1" s="1" t="s">
        <v>303</v>
      </c>
      <c r="FE1" s="1" t="s">
        <v>304</v>
      </c>
      <c r="FF1" s="1" t="s">
        <v>305</v>
      </c>
      <c r="FG1" s="1" t="s">
        <v>306</v>
      </c>
      <c r="FH1" s="1" t="s">
        <v>1394</v>
      </c>
      <c r="FI1" s="1" t="s">
        <v>307</v>
      </c>
      <c r="FJ1" s="1" t="s">
        <v>308</v>
      </c>
      <c r="FK1" s="1" t="s">
        <v>309</v>
      </c>
      <c r="FL1" s="1" t="s">
        <v>310</v>
      </c>
      <c r="FM1" s="1" t="s">
        <v>311</v>
      </c>
      <c r="FN1" s="1" t="s">
        <v>312</v>
      </c>
      <c r="FO1" s="1" t="s">
        <v>313</v>
      </c>
      <c r="FP1" s="1" t="s">
        <v>314</v>
      </c>
      <c r="FQ1" s="1" t="s">
        <v>315</v>
      </c>
      <c r="FR1" s="1" t="s">
        <v>316</v>
      </c>
      <c r="FS1" s="1" t="s">
        <v>1389</v>
      </c>
      <c r="FT1" s="1" t="s">
        <v>317</v>
      </c>
      <c r="FU1" s="1" t="s">
        <v>318</v>
      </c>
      <c r="FV1" s="1" t="s">
        <v>319</v>
      </c>
      <c r="FW1" s="1" t="s">
        <v>320</v>
      </c>
      <c r="FX1" s="1" t="s">
        <v>321</v>
      </c>
      <c r="FY1" s="1" t="s">
        <v>322</v>
      </c>
      <c r="FZ1" s="1" t="s">
        <v>323</v>
      </c>
      <c r="GA1" s="1" t="s">
        <v>324</v>
      </c>
      <c r="GB1" s="1" t="s">
        <v>325</v>
      </c>
      <c r="GC1" s="1" t="s">
        <v>326</v>
      </c>
    </row>
    <row r="2" spans="1:185" x14ac:dyDescent="0.35">
      <c r="A2" s="8" t="s">
        <v>0</v>
      </c>
      <c r="B2" s="4" t="s">
        <v>174</v>
      </c>
      <c r="C2" s="4" t="s">
        <v>191</v>
      </c>
      <c r="D2" s="4" t="s">
        <v>198</v>
      </c>
      <c r="E2" s="4" t="s">
        <v>208</v>
      </c>
      <c r="F2" s="4" t="s">
        <v>224</v>
      </c>
      <c r="G2" s="4" t="s">
        <v>233</v>
      </c>
      <c r="H2" s="4" t="s">
        <v>250</v>
      </c>
      <c r="I2" s="4" t="s">
        <v>268</v>
      </c>
      <c r="J2" s="4" t="s">
        <v>281</v>
      </c>
      <c r="K2" s="4" t="s">
        <v>292</v>
      </c>
      <c r="L2" s="4" t="s">
        <v>301</v>
      </c>
      <c r="M2" s="4" t="s">
        <v>311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3" t="s">
        <v>7</v>
      </c>
      <c r="Z2" s="3" t="s">
        <v>13</v>
      </c>
      <c r="AA2" s="3" t="s">
        <v>14</v>
      </c>
      <c r="AB2" s="3" t="s">
        <v>15</v>
      </c>
      <c r="AC2" s="3" t="s">
        <v>16</v>
      </c>
      <c r="AD2" s="3" t="s">
        <v>17</v>
      </c>
      <c r="AE2" s="4" t="s">
        <v>18</v>
      </c>
      <c r="AF2" s="4" t="s">
        <v>150</v>
      </c>
      <c r="AG2" s="4" t="s">
        <v>343</v>
      </c>
      <c r="AH2" s="4" t="s">
        <v>348</v>
      </c>
      <c r="AI2" s="4" t="s">
        <v>360</v>
      </c>
      <c r="AJ2" s="4" t="s">
        <v>378</v>
      </c>
      <c r="AK2" s="4" t="s">
        <v>396</v>
      </c>
      <c r="AL2" s="4" t="s">
        <v>104</v>
      </c>
      <c r="AM2" s="4" t="s">
        <v>427</v>
      </c>
      <c r="AN2" s="4" t="s">
        <v>440</v>
      </c>
      <c r="AO2" s="4" t="s">
        <v>444</v>
      </c>
      <c r="AP2" s="4" t="s">
        <v>456</v>
      </c>
      <c r="AQ2" s="4" t="s">
        <v>466</v>
      </c>
      <c r="AR2" s="4" t="s">
        <v>467</v>
      </c>
      <c r="AS2" s="4" t="s">
        <v>478</v>
      </c>
      <c r="AT2" s="4" t="s">
        <v>486</v>
      </c>
      <c r="AU2" s="4" t="s">
        <v>489</v>
      </c>
      <c r="AV2" s="4" t="s">
        <v>496</v>
      </c>
      <c r="AW2" s="4" t="s">
        <v>505</v>
      </c>
      <c r="AX2" s="4" t="s">
        <v>510</v>
      </c>
      <c r="AY2" s="4" t="s">
        <v>515</v>
      </c>
      <c r="AZ2" s="4" t="s">
        <v>522</v>
      </c>
      <c r="BA2" s="4" t="s">
        <v>534</v>
      </c>
      <c r="BB2" s="4" t="s">
        <v>540</v>
      </c>
      <c r="BC2" s="4" t="s">
        <v>549</v>
      </c>
      <c r="BD2" s="4" t="s">
        <v>558</v>
      </c>
      <c r="BE2" s="4" t="s">
        <v>564</v>
      </c>
      <c r="BF2" s="4" t="s">
        <v>567</v>
      </c>
      <c r="BG2" s="4" t="s">
        <v>574</v>
      </c>
      <c r="BH2" s="4" t="s">
        <v>582</v>
      </c>
      <c r="BI2" s="4" t="s">
        <v>591</v>
      </c>
      <c r="BJ2" s="4" t="s">
        <v>596</v>
      </c>
      <c r="BK2" s="4" t="s">
        <v>26</v>
      </c>
      <c r="BL2" s="4" t="s">
        <v>604</v>
      </c>
      <c r="BM2" s="4" t="s">
        <v>611</v>
      </c>
      <c r="BN2" s="4" t="s">
        <v>618</v>
      </c>
      <c r="BO2" s="4" t="s">
        <v>631</v>
      </c>
      <c r="BP2" s="4" t="s">
        <v>636</v>
      </c>
      <c r="BQ2" s="4" t="s">
        <v>637</v>
      </c>
      <c r="BR2" s="4" t="s">
        <v>645</v>
      </c>
      <c r="BS2" s="4" t="s">
        <v>648</v>
      </c>
      <c r="BT2" s="4" t="s">
        <v>423</v>
      </c>
      <c r="BU2" s="4" t="s">
        <v>666</v>
      </c>
      <c r="BV2" s="4" t="s">
        <v>673</v>
      </c>
      <c r="BW2" s="4" t="s">
        <v>685</v>
      </c>
      <c r="BX2" s="4" t="s">
        <v>424</v>
      </c>
      <c r="BY2" s="4" t="s">
        <v>699</v>
      </c>
      <c r="BZ2" s="4" t="s">
        <v>710</v>
      </c>
      <c r="CA2" s="4" t="s">
        <v>717</v>
      </c>
      <c r="CB2" s="4" t="s">
        <v>718</v>
      </c>
      <c r="CC2" s="4" t="s">
        <v>729</v>
      </c>
      <c r="CD2" s="4" t="s">
        <v>736</v>
      </c>
      <c r="CE2" s="4" t="s">
        <v>657</v>
      </c>
      <c r="CF2" s="4" t="s">
        <v>746</v>
      </c>
      <c r="CG2" s="4" t="s">
        <v>760</v>
      </c>
      <c r="CH2" s="4" t="s">
        <v>765</v>
      </c>
      <c r="CI2" s="4" t="s">
        <v>774</v>
      </c>
      <c r="CJ2" s="4" t="s">
        <v>775</v>
      </c>
      <c r="CK2" s="4" t="s">
        <v>791</v>
      </c>
      <c r="CL2" s="4" t="s">
        <v>796</v>
      </c>
      <c r="CM2" s="4" t="s">
        <v>801</v>
      </c>
      <c r="CN2" s="4" t="s">
        <v>806</v>
      </c>
      <c r="CO2" s="4" t="s">
        <v>807</v>
      </c>
      <c r="CP2" s="4" t="s">
        <v>32</v>
      </c>
      <c r="CQ2" s="4" t="s">
        <v>818</v>
      </c>
      <c r="CR2" s="4" t="s">
        <v>819</v>
      </c>
      <c r="CS2" s="4" t="s">
        <v>827</v>
      </c>
      <c r="CT2" s="4" t="s">
        <v>829</v>
      </c>
      <c r="CU2" s="4" t="s">
        <v>835</v>
      </c>
      <c r="CV2" s="4" t="s">
        <v>836</v>
      </c>
      <c r="CW2" s="4" t="s">
        <v>841</v>
      </c>
      <c r="CX2" s="4" t="s">
        <v>842</v>
      </c>
      <c r="CY2" s="4" t="s">
        <v>574</v>
      </c>
      <c r="CZ2" s="4" t="s">
        <v>844</v>
      </c>
      <c r="DA2" s="4" t="s">
        <v>847</v>
      </c>
      <c r="DB2" s="4" t="s">
        <v>850</v>
      </c>
      <c r="DC2" s="4" t="s">
        <v>856</v>
      </c>
      <c r="DD2" s="4" t="s">
        <v>858</v>
      </c>
      <c r="DE2" s="4" t="s">
        <v>32</v>
      </c>
      <c r="DF2" s="4" t="s">
        <v>866</v>
      </c>
      <c r="DG2" s="4" t="s">
        <v>867</v>
      </c>
      <c r="DH2" s="4" t="s">
        <v>882</v>
      </c>
      <c r="DI2" s="4" t="s">
        <v>890</v>
      </c>
      <c r="DJ2" s="4" t="s">
        <v>897</v>
      </c>
      <c r="DK2" s="4" t="s">
        <v>901</v>
      </c>
      <c r="DL2" s="4" t="s">
        <v>441</v>
      </c>
      <c r="DM2" s="4" t="s">
        <v>914</v>
      </c>
      <c r="DN2" s="4" t="s">
        <v>915</v>
      </c>
      <c r="DO2" s="4" t="s">
        <v>923</v>
      </c>
      <c r="DP2" s="4" t="s">
        <v>927</v>
      </c>
      <c r="DQ2" s="4" t="s">
        <v>928</v>
      </c>
      <c r="DR2" s="4" t="s">
        <v>949</v>
      </c>
      <c r="DS2" s="4" t="s">
        <v>955</v>
      </c>
      <c r="DT2" s="4" t="s">
        <v>974</v>
      </c>
      <c r="DU2" s="4" t="s">
        <v>980</v>
      </c>
      <c r="DV2" s="4" t="s">
        <v>990</v>
      </c>
      <c r="DW2" s="4" t="s">
        <v>992</v>
      </c>
      <c r="DX2" s="4" t="s">
        <v>495</v>
      </c>
      <c r="DY2" s="4" t="s">
        <v>26</v>
      </c>
      <c r="DZ2" s="4" t="s">
        <v>1015</v>
      </c>
      <c r="EA2" s="4" t="s">
        <v>31</v>
      </c>
      <c r="EB2" s="4" t="s">
        <v>835</v>
      </c>
      <c r="EC2" s="4" t="s">
        <v>1033</v>
      </c>
      <c r="ED2" s="4" t="s">
        <v>1039</v>
      </c>
      <c r="EE2" s="4" t="s">
        <v>1048</v>
      </c>
      <c r="EF2" s="4" t="s">
        <v>434</v>
      </c>
      <c r="EG2" s="4" t="s">
        <v>1059</v>
      </c>
      <c r="EH2" s="4" t="s">
        <v>1060</v>
      </c>
      <c r="EI2" s="4" t="s">
        <v>1063</v>
      </c>
      <c r="EJ2" s="4" t="s">
        <v>1069</v>
      </c>
      <c r="EK2" s="4" t="s">
        <v>1076</v>
      </c>
      <c r="EL2" s="4" t="s">
        <v>485</v>
      </c>
      <c r="EM2" s="4" t="s">
        <v>1084</v>
      </c>
      <c r="EN2" s="4" t="s">
        <v>419</v>
      </c>
      <c r="EO2" s="4" t="s">
        <v>1095</v>
      </c>
      <c r="EP2" s="4" t="s">
        <v>1100</v>
      </c>
      <c r="EQ2" s="4" t="s">
        <v>1105</v>
      </c>
      <c r="ER2" s="4" t="s">
        <v>1111</v>
      </c>
      <c r="ES2" s="4" t="s">
        <v>1116</v>
      </c>
      <c r="ET2" s="4" t="s">
        <v>1128</v>
      </c>
      <c r="EU2" s="4" t="s">
        <v>1131</v>
      </c>
      <c r="EV2" s="4" t="s">
        <v>1149</v>
      </c>
      <c r="EW2" s="4" t="s">
        <v>331</v>
      </c>
      <c r="EX2" s="4" t="s">
        <v>1168</v>
      </c>
      <c r="EY2" s="4" t="s">
        <v>1172</v>
      </c>
      <c r="EZ2" s="4" t="s">
        <v>1180</v>
      </c>
      <c r="FA2" s="4" t="s">
        <v>1190</v>
      </c>
      <c r="FB2" s="4" t="s">
        <v>1206</v>
      </c>
      <c r="FC2" s="4" t="s">
        <v>1214</v>
      </c>
      <c r="FD2" s="4" t="s">
        <v>1224</v>
      </c>
      <c r="FE2" s="4" t="s">
        <v>1229</v>
      </c>
      <c r="FF2" s="4" t="s">
        <v>1231</v>
      </c>
      <c r="FG2" s="4" t="s">
        <v>1236</v>
      </c>
      <c r="FH2" s="4" t="s">
        <v>1254</v>
      </c>
      <c r="FI2" s="4" t="s">
        <v>1261</v>
      </c>
      <c r="FJ2" s="4" t="s">
        <v>1267</v>
      </c>
      <c r="FK2" s="4" t="s">
        <v>1268</v>
      </c>
      <c r="FL2" s="4" t="s">
        <v>1279</v>
      </c>
      <c r="FM2" s="4" t="s">
        <v>1288</v>
      </c>
      <c r="FN2" s="4" t="s">
        <v>1294</v>
      </c>
      <c r="FO2" s="4" t="s">
        <v>1297</v>
      </c>
      <c r="FP2" s="4" t="s">
        <v>1307</v>
      </c>
      <c r="FQ2" s="4" t="s">
        <v>1313</v>
      </c>
      <c r="FR2" s="4" t="s">
        <v>1316</v>
      </c>
      <c r="FS2" s="4" t="s">
        <v>1327</v>
      </c>
      <c r="FT2" s="4" t="s">
        <v>1331</v>
      </c>
      <c r="FU2" s="4" t="s">
        <v>363</v>
      </c>
      <c r="FV2" s="4" t="s">
        <v>1111</v>
      </c>
      <c r="FW2" s="4" t="s">
        <v>1344</v>
      </c>
      <c r="FX2" s="4" t="s">
        <v>1345</v>
      </c>
      <c r="FY2" s="4" t="s">
        <v>1354</v>
      </c>
      <c r="FZ2" s="4" t="s">
        <v>1359</v>
      </c>
      <c r="GA2" s="4" t="s">
        <v>1365</v>
      </c>
      <c r="GB2" s="4" t="s">
        <v>1214</v>
      </c>
      <c r="GC2" s="4" t="s">
        <v>1373</v>
      </c>
    </row>
    <row r="3" spans="1:185" x14ac:dyDescent="0.35">
      <c r="A3" s="8" t="s">
        <v>1</v>
      </c>
      <c r="B3" s="4" t="s">
        <v>175</v>
      </c>
      <c r="C3" s="4" t="s">
        <v>6260</v>
      </c>
      <c r="D3" s="4" t="s">
        <v>199</v>
      </c>
      <c r="E3" s="4" t="s">
        <v>209</v>
      </c>
      <c r="F3" s="4" t="s">
        <v>225</v>
      </c>
      <c r="G3" s="4" t="s">
        <v>234</v>
      </c>
      <c r="H3" s="4" t="s">
        <v>932</v>
      </c>
      <c r="I3" s="4" t="s">
        <v>269</v>
      </c>
      <c r="J3" s="4" t="s">
        <v>282</v>
      </c>
      <c r="K3" s="4" t="s">
        <v>293</v>
      </c>
      <c r="L3" s="4" t="s">
        <v>302</v>
      </c>
      <c r="M3" s="4" t="s">
        <v>312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4" t="s">
        <v>145</v>
      </c>
      <c r="AF3" s="4" t="s">
        <v>160</v>
      </c>
      <c r="AG3" s="4" t="s">
        <v>337</v>
      </c>
      <c r="AH3" s="4" t="s">
        <v>353</v>
      </c>
      <c r="AI3" s="4" t="s">
        <v>370</v>
      </c>
      <c r="AJ3" s="4" t="s">
        <v>377</v>
      </c>
      <c r="AK3" s="4" t="s">
        <v>383</v>
      </c>
      <c r="AL3" s="4" t="s">
        <v>399</v>
      </c>
      <c r="AM3" s="4" t="s">
        <v>426</v>
      </c>
      <c r="AN3" s="4" t="s">
        <v>429</v>
      </c>
      <c r="AO3" s="4" t="s">
        <v>452</v>
      </c>
      <c r="AP3" s="4" t="s">
        <v>458</v>
      </c>
      <c r="AQ3" s="4" t="s">
        <v>463</v>
      </c>
      <c r="AR3" s="4" t="s">
        <v>469</v>
      </c>
      <c r="AS3" s="4" t="s">
        <v>477</v>
      </c>
      <c r="AT3" s="4" t="s">
        <v>485</v>
      </c>
      <c r="AU3" s="4" t="s">
        <v>412</v>
      </c>
      <c r="AV3" s="4" t="s">
        <v>477</v>
      </c>
      <c r="AW3" s="4" t="s">
        <v>501</v>
      </c>
      <c r="AX3" s="4" t="s">
        <v>483</v>
      </c>
      <c r="AY3" s="4" t="s">
        <v>514</v>
      </c>
      <c r="AZ3" s="4" t="s">
        <v>520</v>
      </c>
      <c r="BA3" s="4" t="s">
        <v>525</v>
      </c>
      <c r="BB3" s="4" t="s">
        <v>539</v>
      </c>
      <c r="BC3" s="4" t="s">
        <v>548</v>
      </c>
      <c r="BD3" s="4" t="s">
        <v>557</v>
      </c>
      <c r="BE3" s="4" t="s">
        <v>563</v>
      </c>
      <c r="BF3" s="4" t="s">
        <v>566</v>
      </c>
      <c r="BG3" s="4" t="s">
        <v>573</v>
      </c>
      <c r="BH3" s="4" t="s">
        <v>581</v>
      </c>
      <c r="BI3" s="4" t="s">
        <v>590</v>
      </c>
      <c r="BJ3" s="4" t="s">
        <v>595</v>
      </c>
      <c r="BK3" s="4" t="s">
        <v>44</v>
      </c>
      <c r="BL3" s="4" t="s">
        <v>603</v>
      </c>
      <c r="BM3" s="4" t="s">
        <v>610</v>
      </c>
      <c r="BN3" s="4" t="s">
        <v>616</v>
      </c>
      <c r="BO3" s="4" t="s">
        <v>622</v>
      </c>
      <c r="BP3" s="4" t="s">
        <v>635</v>
      </c>
      <c r="BQ3" s="4" t="s">
        <v>642</v>
      </c>
      <c r="BR3" s="4" t="s">
        <v>648</v>
      </c>
      <c r="BS3" s="4" t="s">
        <v>650</v>
      </c>
      <c r="BT3" s="4" t="s">
        <v>422</v>
      </c>
      <c r="BU3" s="4" t="s">
        <v>664</v>
      </c>
      <c r="BV3" s="4" t="s">
        <v>677</v>
      </c>
      <c r="BW3" s="4" t="s">
        <v>682</v>
      </c>
      <c r="BX3" s="4" t="s">
        <v>510</v>
      </c>
      <c r="BY3" s="4" t="s">
        <v>698</v>
      </c>
      <c r="BZ3" s="4" t="s">
        <v>708</v>
      </c>
      <c r="CA3" s="4" t="s">
        <v>716</v>
      </c>
      <c r="CB3" s="4" t="s">
        <v>725</v>
      </c>
      <c r="CC3" s="4" t="s">
        <v>728</v>
      </c>
      <c r="CD3" s="4" t="s">
        <v>735</v>
      </c>
      <c r="CE3" s="4" t="s">
        <v>737</v>
      </c>
      <c r="CF3" s="4" t="s">
        <v>755</v>
      </c>
      <c r="CG3" s="4" t="s">
        <v>759</v>
      </c>
      <c r="CH3" s="4" t="s">
        <v>764</v>
      </c>
      <c r="CI3" s="4" t="s">
        <v>773</v>
      </c>
      <c r="CJ3" s="4" t="s">
        <v>784</v>
      </c>
      <c r="CK3" s="4" t="s">
        <v>790</v>
      </c>
      <c r="CL3" s="4" t="s">
        <v>795</v>
      </c>
      <c r="CM3" s="4" t="s">
        <v>800</v>
      </c>
      <c r="CN3" s="4" t="s">
        <v>805</v>
      </c>
      <c r="CO3" s="4" t="s">
        <v>813</v>
      </c>
      <c r="CP3" s="4" t="s">
        <v>50</v>
      </c>
      <c r="CQ3" s="4" t="s">
        <v>817</v>
      </c>
      <c r="CR3" s="4" t="s">
        <v>823</v>
      </c>
      <c r="CS3" s="4" t="s">
        <v>826</v>
      </c>
      <c r="CT3" s="4" t="s">
        <v>5395</v>
      </c>
      <c r="CU3" s="4" t="s">
        <v>834</v>
      </c>
      <c r="CV3" s="4" t="s">
        <v>491</v>
      </c>
      <c r="CW3" s="4" t="s">
        <v>840</v>
      </c>
      <c r="CX3" s="4" t="s">
        <v>843</v>
      </c>
      <c r="CY3" s="4" t="s">
        <v>573</v>
      </c>
      <c r="CZ3" s="4" t="s">
        <v>835</v>
      </c>
      <c r="DA3" s="4" t="s">
        <v>846</v>
      </c>
      <c r="DB3" s="4" t="s">
        <v>849</v>
      </c>
      <c r="DC3" s="4" t="s">
        <v>855</v>
      </c>
      <c r="DD3" s="4" t="s">
        <v>43</v>
      </c>
      <c r="DE3" s="4" t="s">
        <v>50</v>
      </c>
      <c r="DF3" s="4" t="s">
        <v>865</v>
      </c>
      <c r="DG3" s="4" t="s">
        <v>870</v>
      </c>
      <c r="DH3" s="4" t="s">
        <v>881</v>
      </c>
      <c r="DI3" s="4" t="s">
        <v>889</v>
      </c>
      <c r="DJ3" s="4" t="s">
        <v>896</v>
      </c>
      <c r="DK3" s="4" t="s">
        <v>902</v>
      </c>
      <c r="DL3" s="4" t="s">
        <v>411</v>
      </c>
      <c r="DM3" s="4" t="s">
        <v>21</v>
      </c>
      <c r="DN3" s="4" t="s">
        <v>5</v>
      </c>
      <c r="DO3" s="4" t="s">
        <v>922</v>
      </c>
      <c r="DP3" s="4" t="s">
        <v>926</v>
      </c>
      <c r="DQ3" s="4" t="s">
        <v>931</v>
      </c>
      <c r="DR3" s="4" t="s">
        <v>948</v>
      </c>
      <c r="DS3" s="4" t="s">
        <v>951</v>
      </c>
      <c r="DT3" s="4" t="s">
        <v>973</v>
      </c>
      <c r="DU3" s="4" t="s">
        <v>978</v>
      </c>
      <c r="DV3" s="4" t="s">
        <v>989</v>
      </c>
      <c r="DW3" s="4" t="s">
        <v>991</v>
      </c>
      <c r="DX3" s="4" t="s">
        <v>494</v>
      </c>
      <c r="DY3" s="4" t="s">
        <v>44</v>
      </c>
      <c r="DZ3" s="4" t="s">
        <v>1024</v>
      </c>
      <c r="EA3" s="4" t="s">
        <v>67</v>
      </c>
      <c r="EB3" s="4" t="s">
        <v>834</v>
      </c>
      <c r="EC3" s="4" t="s">
        <v>1034</v>
      </c>
      <c r="ED3" s="4" t="s">
        <v>1040</v>
      </c>
      <c r="EE3" s="4" t="s">
        <v>1053</v>
      </c>
      <c r="EF3" s="4" t="s">
        <v>1054</v>
      </c>
      <c r="EG3" s="4" t="s">
        <v>510</v>
      </c>
      <c r="EH3" s="4" t="s">
        <v>455</v>
      </c>
      <c r="EI3" s="4" t="s">
        <v>1064</v>
      </c>
      <c r="EJ3" s="4" t="s">
        <v>1073</v>
      </c>
      <c r="EK3" s="4" t="s">
        <v>1075</v>
      </c>
      <c r="EL3" s="4" t="s">
        <v>419</v>
      </c>
      <c r="EM3" s="4" t="s">
        <v>708</v>
      </c>
      <c r="EN3" s="4" t="s">
        <v>1091</v>
      </c>
      <c r="EO3" s="4" t="s">
        <v>1094</v>
      </c>
      <c r="EP3" s="4" t="s">
        <v>1102</v>
      </c>
      <c r="EQ3" s="4" t="s">
        <v>483</v>
      </c>
      <c r="ER3" s="4" t="s">
        <v>1110</v>
      </c>
      <c r="ES3" s="4" t="s">
        <v>448</v>
      </c>
      <c r="ET3" s="4" t="s">
        <v>1127</v>
      </c>
      <c r="EU3" s="4" t="s">
        <v>1141</v>
      </c>
      <c r="EV3" s="4" t="s">
        <v>1148</v>
      </c>
      <c r="EW3" s="4" t="s">
        <v>1156</v>
      </c>
      <c r="EX3" s="4" t="s">
        <v>1166</v>
      </c>
      <c r="EY3" s="4" t="s">
        <v>1176</v>
      </c>
      <c r="EZ3" s="4" t="s">
        <v>1181</v>
      </c>
      <c r="FA3" s="4" t="s">
        <v>1203</v>
      </c>
      <c r="FB3" s="4" t="s">
        <v>1205</v>
      </c>
      <c r="FC3" s="4" t="s">
        <v>1213</v>
      </c>
      <c r="FD3" s="4" t="s">
        <v>1223</v>
      </c>
      <c r="FE3" s="4" t="s">
        <v>1228</v>
      </c>
      <c r="FF3" s="4" t="s">
        <v>32</v>
      </c>
      <c r="FG3" s="4" t="s">
        <v>1241</v>
      </c>
      <c r="FH3" s="4" t="s">
        <v>1253</v>
      </c>
      <c r="FI3" s="4" t="s">
        <v>402</v>
      </c>
      <c r="FJ3" s="4" t="s">
        <v>1264</v>
      </c>
      <c r="FK3" s="4" t="s">
        <v>1269</v>
      </c>
      <c r="FL3" s="4" t="s">
        <v>1278</v>
      </c>
      <c r="FM3" s="4" t="s">
        <v>1287</v>
      </c>
      <c r="FN3" s="4" t="s">
        <v>1293</v>
      </c>
      <c r="FO3" s="4" t="s">
        <v>1296</v>
      </c>
      <c r="FP3" s="4" t="s">
        <v>1306</v>
      </c>
      <c r="FQ3" s="4" t="s">
        <v>1312</v>
      </c>
      <c r="FR3" s="4" t="s">
        <v>1132</v>
      </c>
      <c r="FS3" s="4" t="s">
        <v>1326</v>
      </c>
      <c r="FT3" s="4" t="s">
        <v>1332</v>
      </c>
      <c r="FU3" s="4" t="s">
        <v>1334</v>
      </c>
      <c r="FV3" s="4" t="s">
        <v>1110</v>
      </c>
      <c r="FW3" s="4" t="s">
        <v>1343</v>
      </c>
      <c r="FX3" s="4" t="s">
        <v>1113</v>
      </c>
      <c r="FY3" s="4" t="s">
        <v>1353</v>
      </c>
      <c r="FZ3" s="4" t="s">
        <v>1358</v>
      </c>
      <c r="GA3" s="4" t="s">
        <v>1364</v>
      </c>
      <c r="GB3" s="4" t="s">
        <v>1213</v>
      </c>
      <c r="GC3" s="4" t="s">
        <v>1372</v>
      </c>
    </row>
    <row r="4" spans="1:185" x14ac:dyDescent="0.35">
      <c r="A4" s="8" t="s">
        <v>163</v>
      </c>
      <c r="B4" s="4" t="s">
        <v>176</v>
      </c>
      <c r="C4" s="4" t="s">
        <v>192</v>
      </c>
      <c r="D4" s="4" t="s">
        <v>200</v>
      </c>
      <c r="E4" s="4" t="s">
        <v>210</v>
      </c>
      <c r="F4" s="4" t="s">
        <v>226</v>
      </c>
      <c r="G4" s="4" t="s">
        <v>235</v>
      </c>
      <c r="H4" s="4" t="s">
        <v>1385</v>
      </c>
      <c r="I4" s="4" t="s">
        <v>270</v>
      </c>
      <c r="J4" s="4" t="s">
        <v>283</v>
      </c>
      <c r="K4" s="4" t="s">
        <v>294</v>
      </c>
      <c r="L4" s="4" t="s">
        <v>303</v>
      </c>
      <c r="M4" s="4" t="s">
        <v>313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11</v>
      </c>
      <c r="S4" s="3" t="s">
        <v>43</v>
      </c>
      <c r="T4" s="3" t="s">
        <v>44</v>
      </c>
      <c r="U4" s="3" t="s">
        <v>45</v>
      </c>
      <c r="V4" s="3" t="s">
        <v>46</v>
      </c>
      <c r="W4" s="3" t="s">
        <v>47</v>
      </c>
      <c r="X4" s="3" t="s">
        <v>48</v>
      </c>
      <c r="Y4" s="3" t="s">
        <v>49</v>
      </c>
      <c r="Z4" s="3" t="s">
        <v>50</v>
      </c>
      <c r="AA4" s="3" t="s">
        <v>51</v>
      </c>
      <c r="AB4" s="3" t="s">
        <v>52</v>
      </c>
      <c r="AC4" s="3" t="s">
        <v>53</v>
      </c>
      <c r="AD4" s="3" t="s">
        <v>54</v>
      </c>
      <c r="AE4" s="4" t="s">
        <v>103</v>
      </c>
      <c r="AF4" s="4" t="s">
        <v>104</v>
      </c>
      <c r="AG4" s="4" t="s">
        <v>132</v>
      </c>
      <c r="AH4" s="4" t="s">
        <v>355</v>
      </c>
      <c r="AI4" s="4" t="s">
        <v>366</v>
      </c>
      <c r="AJ4" s="4" t="s">
        <v>382</v>
      </c>
      <c r="AK4" s="4" t="s">
        <v>387</v>
      </c>
      <c r="AL4" s="4" t="s">
        <v>400</v>
      </c>
      <c r="AM4" s="4" t="s">
        <v>425</v>
      </c>
      <c r="AN4" s="4" t="s">
        <v>436</v>
      </c>
      <c r="AO4" s="4" t="s">
        <v>419</v>
      </c>
      <c r="AP4" s="4" t="s">
        <v>454</v>
      </c>
      <c r="AQ4" s="4" t="s">
        <v>465</v>
      </c>
      <c r="AR4" s="4" t="s">
        <v>427</v>
      </c>
      <c r="AS4" s="4" t="s">
        <v>448</v>
      </c>
      <c r="AT4" s="4" t="s">
        <v>448</v>
      </c>
      <c r="AU4" s="4" t="s">
        <v>491</v>
      </c>
      <c r="AV4" s="4" t="s">
        <v>497</v>
      </c>
      <c r="AW4" s="4" t="s">
        <v>502</v>
      </c>
      <c r="AX4" s="4" t="s">
        <v>42</v>
      </c>
      <c r="AY4" s="4" t="s">
        <v>513</v>
      </c>
      <c r="AZ4" s="4" t="s">
        <v>519</v>
      </c>
      <c r="BA4" s="4" t="s">
        <v>524</v>
      </c>
      <c r="BB4" s="4" t="s">
        <v>538</v>
      </c>
      <c r="BC4" s="4" t="s">
        <v>547</v>
      </c>
      <c r="BD4" s="4" t="s">
        <v>556</v>
      </c>
      <c r="BE4" s="4" t="s">
        <v>562</v>
      </c>
      <c r="BF4" s="4" t="s">
        <v>565</v>
      </c>
      <c r="BG4" s="4" t="s">
        <v>572</v>
      </c>
      <c r="BH4" s="4" t="s">
        <v>580</v>
      </c>
      <c r="BI4" s="4" t="s">
        <v>589</v>
      </c>
      <c r="BJ4" s="4" t="s">
        <v>594</v>
      </c>
      <c r="BK4" s="4" t="s">
        <v>62</v>
      </c>
      <c r="BL4" s="4" t="s">
        <v>602</v>
      </c>
      <c r="BM4" s="4" t="s">
        <v>609</v>
      </c>
      <c r="BN4" s="4" t="s">
        <v>617</v>
      </c>
      <c r="BO4" s="4" t="s">
        <v>621</v>
      </c>
      <c r="BP4" s="4" t="s">
        <v>634</v>
      </c>
      <c r="BQ4" s="4" t="s">
        <v>641</v>
      </c>
      <c r="BR4" s="4" t="s">
        <v>646</v>
      </c>
      <c r="BS4" s="4" t="s">
        <v>651</v>
      </c>
      <c r="BT4" s="4" t="s">
        <v>662</v>
      </c>
      <c r="BU4" s="4" t="s">
        <v>665</v>
      </c>
      <c r="BV4" s="4" t="s">
        <v>676</v>
      </c>
      <c r="BW4" s="4" t="s">
        <v>688</v>
      </c>
      <c r="BX4" s="4" t="s">
        <v>690</v>
      </c>
      <c r="BY4" s="4" t="s">
        <v>700</v>
      </c>
      <c r="BZ4" s="4" t="s">
        <v>424</v>
      </c>
      <c r="CA4" s="4" t="s">
        <v>715</v>
      </c>
      <c r="CB4" s="4" t="s">
        <v>724</v>
      </c>
      <c r="CC4" s="4" t="s">
        <v>727</v>
      </c>
      <c r="CD4" s="4" t="s">
        <v>734</v>
      </c>
      <c r="CE4" s="4" t="s">
        <v>745</v>
      </c>
      <c r="CF4" s="4" t="s">
        <v>754</v>
      </c>
      <c r="CG4" s="4" t="s">
        <v>758</v>
      </c>
      <c r="CH4" s="4" t="s">
        <v>763</v>
      </c>
      <c r="CI4" s="4" t="s">
        <v>772</v>
      </c>
      <c r="CJ4" s="4" t="s">
        <v>783</v>
      </c>
      <c r="CK4" s="4" t="s">
        <v>789</v>
      </c>
      <c r="CL4" s="4" t="s">
        <v>794</v>
      </c>
      <c r="CM4" s="4" t="s">
        <v>799</v>
      </c>
      <c r="CN4" s="4" t="s">
        <v>804</v>
      </c>
      <c r="CO4" s="4" t="s">
        <v>812</v>
      </c>
      <c r="CP4" s="4" t="s">
        <v>68</v>
      </c>
      <c r="CQ4" s="4" t="s">
        <v>816</v>
      </c>
      <c r="CR4" s="4" t="s">
        <v>822</v>
      </c>
      <c r="CS4" s="4" t="s">
        <v>825</v>
      </c>
      <c r="CT4" s="4" t="s">
        <v>828</v>
      </c>
      <c r="CU4" s="4" t="s">
        <v>833</v>
      </c>
      <c r="CV4" s="4" t="s">
        <v>490</v>
      </c>
      <c r="CW4" s="4" t="s">
        <v>839</v>
      </c>
      <c r="CX4" s="4" t="s">
        <v>11</v>
      </c>
      <c r="CY4" s="4" t="s">
        <v>572</v>
      </c>
      <c r="CZ4" s="4" t="s">
        <v>834</v>
      </c>
      <c r="DA4" s="4" t="s">
        <v>845</v>
      </c>
      <c r="DB4" s="4" t="s">
        <v>854</v>
      </c>
      <c r="DD4" s="4" t="s">
        <v>61</v>
      </c>
      <c r="DE4" s="4" t="s">
        <v>68</v>
      </c>
      <c r="DG4" s="4" t="s">
        <v>869</v>
      </c>
      <c r="DH4" s="4" t="s">
        <v>880</v>
      </c>
      <c r="DI4" s="4" t="s">
        <v>888</v>
      </c>
      <c r="DJ4" s="4" t="s">
        <v>895</v>
      </c>
      <c r="DK4" s="4" t="s">
        <v>909</v>
      </c>
      <c r="DL4" s="4" t="s">
        <v>410</v>
      </c>
      <c r="DM4" s="4" t="s">
        <v>40</v>
      </c>
      <c r="DN4" s="4" t="s">
        <v>918</v>
      </c>
      <c r="DO4" s="4" t="s">
        <v>921</v>
      </c>
      <c r="DP4" s="4" t="s">
        <v>925</v>
      </c>
      <c r="DQ4" s="4" t="s">
        <v>930</v>
      </c>
      <c r="DR4" s="4" t="s">
        <v>947</v>
      </c>
      <c r="DS4" s="4" t="s">
        <v>954</v>
      </c>
      <c r="DT4" s="4" t="s">
        <v>972</v>
      </c>
      <c r="DU4" s="4" t="s">
        <v>869</v>
      </c>
      <c r="DV4" s="4" t="s">
        <v>988</v>
      </c>
      <c r="DW4" s="4" t="s">
        <v>1000</v>
      </c>
      <c r="DX4" s="4" t="s">
        <v>493</v>
      </c>
      <c r="DY4" s="4" t="s">
        <v>62</v>
      </c>
      <c r="DZ4" s="4" t="s">
        <v>1023</v>
      </c>
      <c r="EA4" s="4" t="s">
        <v>83</v>
      </c>
      <c r="EB4" s="4" t="s">
        <v>833</v>
      </c>
      <c r="EC4" s="4" t="s">
        <v>67</v>
      </c>
      <c r="ED4" s="4" t="s">
        <v>1041</v>
      </c>
      <c r="EE4" s="4" t="s">
        <v>707</v>
      </c>
      <c r="EF4" s="4" t="s">
        <v>1056</v>
      </c>
      <c r="EG4" s="4" t="s">
        <v>483</v>
      </c>
      <c r="EH4" s="4" t="s">
        <v>472</v>
      </c>
      <c r="EI4" s="4" t="s">
        <v>1067</v>
      </c>
      <c r="EJ4" s="4" t="s">
        <v>419</v>
      </c>
      <c r="EK4" s="4" t="s">
        <v>1064</v>
      </c>
      <c r="EL4" s="4" t="s">
        <v>498</v>
      </c>
      <c r="EM4" s="4" t="s">
        <v>1085</v>
      </c>
      <c r="EN4" s="4" t="s">
        <v>1093</v>
      </c>
      <c r="EO4" s="4" t="s">
        <v>1097</v>
      </c>
      <c r="EP4" s="4" t="s">
        <v>456</v>
      </c>
      <c r="EQ4" s="4" t="s">
        <v>23</v>
      </c>
      <c r="ER4" s="4" t="s">
        <v>1109</v>
      </c>
      <c r="ES4" s="4" t="s">
        <v>470</v>
      </c>
      <c r="ET4" s="4" t="s">
        <v>1126</v>
      </c>
      <c r="EU4" s="4" t="s">
        <v>1140</v>
      </c>
      <c r="EV4" s="4" t="s">
        <v>1152</v>
      </c>
      <c r="EW4" s="4" t="s">
        <v>1155</v>
      </c>
      <c r="EX4" s="4" t="s">
        <v>1165</v>
      </c>
      <c r="EY4" s="4" t="s">
        <v>483</v>
      </c>
      <c r="EZ4" s="4" t="s">
        <v>1189</v>
      </c>
      <c r="FA4" s="4" t="s">
        <v>1202</v>
      </c>
      <c r="FB4" s="4" t="s">
        <v>1204</v>
      </c>
      <c r="FC4" s="4" t="s">
        <v>1212</v>
      </c>
      <c r="FD4" s="4" t="s">
        <v>1222</v>
      </c>
      <c r="FE4" s="4" t="s">
        <v>1227</v>
      </c>
      <c r="FF4" s="4" t="s">
        <v>50</v>
      </c>
      <c r="FG4" s="4" t="s">
        <v>1240</v>
      </c>
      <c r="FH4" s="4" t="s">
        <v>1252</v>
      </c>
      <c r="FI4" s="4" t="s">
        <v>1258</v>
      </c>
      <c r="FJ4" s="4" t="s">
        <v>1254</v>
      </c>
      <c r="FK4" s="4" t="s">
        <v>1271</v>
      </c>
      <c r="FL4" s="4" t="s">
        <v>1277</v>
      </c>
      <c r="FM4" s="4" t="s">
        <v>1286</v>
      </c>
      <c r="FN4" s="4" t="s">
        <v>1292</v>
      </c>
      <c r="FO4" s="4" t="s">
        <v>1295</v>
      </c>
      <c r="FP4" s="4" t="s">
        <v>1305</v>
      </c>
      <c r="FQ4" s="4" t="s">
        <v>1311</v>
      </c>
      <c r="FR4" s="4" t="s">
        <v>1317</v>
      </c>
      <c r="FS4" s="4" t="s">
        <v>1325</v>
      </c>
      <c r="FT4" s="4" t="s">
        <v>1329</v>
      </c>
      <c r="FU4" s="4" t="s">
        <v>364</v>
      </c>
      <c r="FV4" s="4" t="s">
        <v>1109</v>
      </c>
      <c r="FW4" s="4" t="s">
        <v>1342</v>
      </c>
      <c r="FX4" s="4" t="s">
        <v>1350</v>
      </c>
      <c r="FY4" s="4" t="s">
        <v>1352</v>
      </c>
      <c r="FZ4" s="4" t="s">
        <v>1357</v>
      </c>
      <c r="GA4" s="4" t="s">
        <v>1363</v>
      </c>
      <c r="GB4" s="4" t="s">
        <v>1212</v>
      </c>
      <c r="GC4" s="4" t="s">
        <v>1371</v>
      </c>
    </row>
    <row r="5" spans="1:185" x14ac:dyDescent="0.35">
      <c r="A5" s="8" t="s">
        <v>164</v>
      </c>
      <c r="B5" s="4" t="s">
        <v>177</v>
      </c>
      <c r="C5" s="4" t="s">
        <v>193</v>
      </c>
      <c r="D5" s="4" t="s">
        <v>201</v>
      </c>
      <c r="E5" s="4" t="s">
        <v>211</v>
      </c>
      <c r="F5" s="4" t="s">
        <v>227</v>
      </c>
      <c r="G5" s="4" t="s">
        <v>236</v>
      </c>
      <c r="H5" s="4" t="s">
        <v>251</v>
      </c>
      <c r="I5" s="4" t="s">
        <v>271</v>
      </c>
      <c r="J5" s="4" t="s">
        <v>284</v>
      </c>
      <c r="K5" s="4" t="s">
        <v>1384</v>
      </c>
      <c r="L5" s="4" t="s">
        <v>304</v>
      </c>
      <c r="M5" s="4" t="s">
        <v>314</v>
      </c>
      <c r="N5" s="3" t="s">
        <v>57</v>
      </c>
      <c r="O5" s="3" t="s">
        <v>58</v>
      </c>
      <c r="P5" s="3" t="s">
        <v>59</v>
      </c>
      <c r="Q5" s="3" t="s">
        <v>60</v>
      </c>
      <c r="R5" s="3" t="s">
        <v>29</v>
      </c>
      <c r="S5" s="3" t="s">
        <v>61</v>
      </c>
      <c r="T5" s="3" t="s">
        <v>62</v>
      </c>
      <c r="U5" s="3" t="s">
        <v>63</v>
      </c>
      <c r="V5" s="3" t="s">
        <v>64</v>
      </c>
      <c r="W5" s="3" t="s">
        <v>65</v>
      </c>
      <c r="X5" s="3" t="s">
        <v>66</v>
      </c>
      <c r="Y5" s="3" t="s">
        <v>67</v>
      </c>
      <c r="Z5" s="3" t="s">
        <v>68</v>
      </c>
      <c r="AA5" s="3" t="s">
        <v>69</v>
      </c>
      <c r="AB5" s="3" t="s">
        <v>70</v>
      </c>
      <c r="AC5" s="3" t="s">
        <v>71</v>
      </c>
      <c r="AD5" s="3" t="s">
        <v>72</v>
      </c>
      <c r="AE5" s="4" t="s">
        <v>132</v>
      </c>
      <c r="AF5" s="4" t="s">
        <v>113</v>
      </c>
      <c r="AG5" s="4" t="s">
        <v>327</v>
      </c>
      <c r="AH5" s="4" t="s">
        <v>357</v>
      </c>
      <c r="AI5" s="4" t="s">
        <v>367</v>
      </c>
      <c r="AJ5" s="4" t="s">
        <v>375</v>
      </c>
      <c r="AK5" s="4" t="s">
        <v>388</v>
      </c>
      <c r="AL5" s="4" t="s">
        <v>402</v>
      </c>
      <c r="AM5" s="4" t="s">
        <v>424</v>
      </c>
      <c r="AN5" s="4" t="s">
        <v>430</v>
      </c>
      <c r="AO5" s="4" t="s">
        <v>441</v>
      </c>
      <c r="AP5" s="4" t="s">
        <v>453</v>
      </c>
      <c r="AQ5" s="4" t="s">
        <v>448</v>
      </c>
      <c r="AR5" s="4" t="s">
        <v>466</v>
      </c>
      <c r="AS5" s="4" t="s">
        <v>473</v>
      </c>
      <c r="AT5" s="4" t="s">
        <v>487</v>
      </c>
      <c r="AU5" s="4" t="s">
        <v>490</v>
      </c>
      <c r="AV5" s="4" t="s">
        <v>498</v>
      </c>
      <c r="AW5" s="4" t="s">
        <v>500</v>
      </c>
      <c r="AX5" s="4" t="s">
        <v>508</v>
      </c>
      <c r="AY5" s="4" t="s">
        <v>512</v>
      </c>
      <c r="AZ5" s="4" t="s">
        <v>518</v>
      </c>
      <c r="BA5" s="4" t="s">
        <v>533</v>
      </c>
      <c r="BB5" s="4" t="s">
        <v>537</v>
      </c>
      <c r="BC5" s="4" t="s">
        <v>546</v>
      </c>
      <c r="BD5" s="4" t="s">
        <v>555</v>
      </c>
      <c r="BE5" s="4" t="s">
        <v>561</v>
      </c>
      <c r="BG5" s="4" t="s">
        <v>571</v>
      </c>
      <c r="BH5" s="4" t="s">
        <v>579</v>
      </c>
      <c r="BI5" s="4" t="s">
        <v>588</v>
      </c>
      <c r="BJ5" s="4" t="s">
        <v>593</v>
      </c>
      <c r="BK5" s="4" t="s">
        <v>79</v>
      </c>
      <c r="BL5" s="4" t="s">
        <v>601</v>
      </c>
      <c r="BM5" s="4" t="s">
        <v>608</v>
      </c>
      <c r="BN5" s="4" t="s">
        <v>615</v>
      </c>
      <c r="BO5" s="4" t="s">
        <v>620</v>
      </c>
      <c r="BP5" s="4" t="s">
        <v>633</v>
      </c>
      <c r="BQ5" s="4" t="s">
        <v>640</v>
      </c>
      <c r="BR5" s="4" t="s">
        <v>643</v>
      </c>
      <c r="BS5" s="4" t="s">
        <v>452</v>
      </c>
      <c r="BT5" s="4" t="s">
        <v>656</v>
      </c>
      <c r="BU5" s="4" t="s">
        <v>670</v>
      </c>
      <c r="BV5" s="4" t="s">
        <v>675</v>
      </c>
      <c r="BW5" s="4" t="s">
        <v>686</v>
      </c>
      <c r="BX5" s="4" t="s">
        <v>438</v>
      </c>
      <c r="BY5" s="4" t="s">
        <v>696</v>
      </c>
      <c r="BZ5" s="4" t="s">
        <v>419</v>
      </c>
      <c r="CA5" s="4" t="s">
        <v>714</v>
      </c>
      <c r="CB5" s="4" t="s">
        <v>723</v>
      </c>
      <c r="CC5" s="4" t="s">
        <v>726</v>
      </c>
      <c r="CD5" s="4" t="s">
        <v>733</v>
      </c>
      <c r="CE5" s="4" t="s">
        <v>744</v>
      </c>
      <c r="CF5" s="4" t="s">
        <v>753</v>
      </c>
      <c r="CG5" s="4" t="s">
        <v>757</v>
      </c>
      <c r="CH5" s="4" t="s">
        <v>762</v>
      </c>
      <c r="CI5" s="4" t="s">
        <v>771</v>
      </c>
      <c r="CJ5" s="4" t="s">
        <v>782</v>
      </c>
      <c r="CK5" s="4" t="s">
        <v>788</v>
      </c>
      <c r="CL5" s="4" t="s">
        <v>793</v>
      </c>
      <c r="CM5" s="4" t="s">
        <v>798</v>
      </c>
      <c r="CN5" s="4" t="s">
        <v>803</v>
      </c>
      <c r="CO5" s="4" t="s">
        <v>811</v>
      </c>
      <c r="CP5" s="4" t="s">
        <v>84</v>
      </c>
      <c r="CQ5" s="4" t="s">
        <v>815</v>
      </c>
      <c r="CR5" s="4" t="s">
        <v>821</v>
      </c>
      <c r="CS5" s="4" t="s">
        <v>824</v>
      </c>
      <c r="CU5" s="4" t="s">
        <v>832</v>
      </c>
      <c r="CV5" s="4" t="s">
        <v>837</v>
      </c>
      <c r="CW5" s="4" t="s">
        <v>838</v>
      </c>
      <c r="CX5" s="4" t="s">
        <v>29</v>
      </c>
      <c r="CY5" s="4" t="s">
        <v>571</v>
      </c>
      <c r="CZ5" s="4" t="s">
        <v>833</v>
      </c>
      <c r="DB5" s="4" t="s">
        <v>853</v>
      </c>
      <c r="DD5" s="4" t="s">
        <v>78</v>
      </c>
      <c r="DE5" s="4" t="s">
        <v>84</v>
      </c>
      <c r="DG5" s="4" t="s">
        <v>868</v>
      </c>
      <c r="DH5" s="4" t="s">
        <v>879</v>
      </c>
      <c r="DI5" s="4" t="s">
        <v>887</v>
      </c>
      <c r="DJ5" s="4" t="s">
        <v>894</v>
      </c>
      <c r="DK5" s="4" t="s">
        <v>709</v>
      </c>
      <c r="DL5" s="4" t="s">
        <v>913</v>
      </c>
      <c r="DM5" s="4" t="s">
        <v>58</v>
      </c>
      <c r="DN5" s="4" t="s">
        <v>917</v>
      </c>
      <c r="DO5" s="4" t="s">
        <v>919</v>
      </c>
      <c r="DP5" s="4" t="s">
        <v>924</v>
      </c>
      <c r="DQ5" s="4" t="s">
        <v>929</v>
      </c>
      <c r="DR5" s="4" t="s">
        <v>946</v>
      </c>
      <c r="DS5" s="4" t="s">
        <v>953</v>
      </c>
      <c r="DT5" s="4" t="s">
        <v>971</v>
      </c>
      <c r="DU5" s="4" t="s">
        <v>868</v>
      </c>
      <c r="DV5" s="4" t="s">
        <v>987</v>
      </c>
      <c r="DW5" s="4" t="s">
        <v>999</v>
      </c>
      <c r="DX5" s="4" t="s">
        <v>492</v>
      </c>
      <c r="DY5" s="4" t="s">
        <v>79</v>
      </c>
      <c r="DZ5" s="4" t="s">
        <v>1022</v>
      </c>
      <c r="EA5" s="4" t="s">
        <v>97</v>
      </c>
      <c r="EB5" s="4" t="s">
        <v>1030</v>
      </c>
      <c r="EC5" s="4" t="s">
        <v>83</v>
      </c>
      <c r="ED5" s="4" t="s">
        <v>1047</v>
      </c>
      <c r="EE5" s="4" t="s">
        <v>473</v>
      </c>
      <c r="EF5" s="4" t="s">
        <v>475</v>
      </c>
      <c r="EG5" s="4" t="s">
        <v>23</v>
      </c>
      <c r="EH5" s="4" t="s">
        <v>1061</v>
      </c>
      <c r="EI5" s="4" t="s">
        <v>1065</v>
      </c>
      <c r="EJ5" s="4" t="s">
        <v>1072</v>
      </c>
      <c r="EK5" s="4" t="s">
        <v>452</v>
      </c>
      <c r="EL5" s="4" t="s">
        <v>1078</v>
      </c>
      <c r="EM5" s="4" t="s">
        <v>1083</v>
      </c>
      <c r="EN5" s="4" t="s">
        <v>448</v>
      </c>
      <c r="EO5" s="4" t="s">
        <v>1096</v>
      </c>
      <c r="EP5" s="4" t="s">
        <v>424</v>
      </c>
      <c r="EQ5" s="4" t="s">
        <v>42</v>
      </c>
      <c r="ER5" s="4" t="s">
        <v>1108</v>
      </c>
      <c r="ES5" s="4" t="s">
        <v>1119</v>
      </c>
      <c r="ET5" s="4" t="s">
        <v>1125</v>
      </c>
      <c r="EU5" s="4" t="s">
        <v>1139</v>
      </c>
      <c r="EV5" s="4" t="s">
        <v>1151</v>
      </c>
      <c r="EW5" s="4" t="s">
        <v>390</v>
      </c>
      <c r="EX5" s="4" t="s">
        <v>1164</v>
      </c>
      <c r="EY5" s="4" t="s">
        <v>1175</v>
      </c>
      <c r="EZ5" s="4" t="s">
        <v>1188</v>
      </c>
      <c r="FA5" s="4" t="s">
        <v>1191</v>
      </c>
      <c r="FC5" s="4" t="s">
        <v>1211</v>
      </c>
      <c r="FD5" s="4" t="s">
        <v>1221</v>
      </c>
      <c r="FE5" s="4" t="s">
        <v>1226</v>
      </c>
      <c r="FF5" s="4" t="s">
        <v>84</v>
      </c>
      <c r="FG5" s="4" t="s">
        <v>1239</v>
      </c>
      <c r="FH5" s="4" t="s">
        <v>1251</v>
      </c>
      <c r="FI5" s="4" t="s">
        <v>1256</v>
      </c>
      <c r="FJ5" s="4" t="s">
        <v>1253</v>
      </c>
      <c r="FK5" s="4" t="s">
        <v>1234</v>
      </c>
      <c r="FL5" s="4" t="s">
        <v>1276</v>
      </c>
      <c r="FM5" s="4" t="s">
        <v>1285</v>
      </c>
      <c r="FN5" s="4" t="s">
        <v>1291</v>
      </c>
      <c r="FP5" s="4" t="s">
        <v>1304</v>
      </c>
      <c r="FQ5" s="4" t="s">
        <v>1310</v>
      </c>
      <c r="FR5" s="4" t="s">
        <v>1130</v>
      </c>
      <c r="FS5" s="4" t="s">
        <v>1322</v>
      </c>
      <c r="FT5" s="4" t="s">
        <v>1333</v>
      </c>
      <c r="FU5" s="4" t="s">
        <v>362</v>
      </c>
      <c r="FV5" s="4" t="s">
        <v>1338</v>
      </c>
      <c r="FW5" s="4" t="s">
        <v>1341</v>
      </c>
      <c r="FX5" s="4" t="s">
        <v>1349</v>
      </c>
      <c r="FY5" s="4" t="s">
        <v>1351</v>
      </c>
      <c r="FZ5" s="4" t="s">
        <v>1356</v>
      </c>
      <c r="GA5" s="4" t="s">
        <v>1362</v>
      </c>
      <c r="GB5" s="4" t="s">
        <v>1211</v>
      </c>
      <c r="GC5" s="4" t="s">
        <v>1370</v>
      </c>
    </row>
    <row r="6" spans="1:185" x14ac:dyDescent="0.35">
      <c r="A6" s="8" t="s">
        <v>165</v>
      </c>
      <c r="B6" s="4" t="s">
        <v>178</v>
      </c>
      <c r="C6" s="4" t="s">
        <v>194</v>
      </c>
      <c r="D6" s="4" t="s">
        <v>202</v>
      </c>
      <c r="E6" s="4" t="s">
        <v>212</v>
      </c>
      <c r="F6" s="4" t="s">
        <v>228</v>
      </c>
      <c r="G6" s="4" t="s">
        <v>237</v>
      </c>
      <c r="H6" s="4" t="s">
        <v>252</v>
      </c>
      <c r="I6" s="4" t="s">
        <v>272</v>
      </c>
      <c r="J6" s="4" t="s">
        <v>1391</v>
      </c>
      <c r="K6" s="4" t="s">
        <v>295</v>
      </c>
      <c r="L6" s="4" t="s">
        <v>305</v>
      </c>
      <c r="M6" s="4" t="s">
        <v>315</v>
      </c>
      <c r="N6" s="3" t="s">
        <v>75</v>
      </c>
      <c r="O6" s="3" t="s">
        <v>76</v>
      </c>
      <c r="P6" s="3" t="s">
        <v>77</v>
      </c>
      <c r="R6" s="3" t="s">
        <v>47</v>
      </c>
      <c r="S6" s="3" t="s">
        <v>78</v>
      </c>
      <c r="T6" s="3" t="s">
        <v>79</v>
      </c>
      <c r="V6" s="3" t="s">
        <v>80</v>
      </c>
      <c r="W6" s="3" t="s">
        <v>81</v>
      </c>
      <c r="X6" s="3" t="s">
        <v>82</v>
      </c>
      <c r="Y6" s="3" t="s">
        <v>83</v>
      </c>
      <c r="Z6" s="3" t="s">
        <v>84</v>
      </c>
      <c r="AA6" s="3" t="s">
        <v>85</v>
      </c>
      <c r="AB6" s="3" t="s">
        <v>86</v>
      </c>
      <c r="AC6" s="3" t="s">
        <v>87</v>
      </c>
      <c r="AD6" s="3" t="s">
        <v>88</v>
      </c>
      <c r="AE6" s="4" t="s">
        <v>153</v>
      </c>
      <c r="AF6" s="4" t="s">
        <v>19</v>
      </c>
      <c r="AG6" s="4" t="s">
        <v>328</v>
      </c>
      <c r="AH6" s="4" t="s">
        <v>344</v>
      </c>
      <c r="AI6" s="4" t="s">
        <v>365</v>
      </c>
      <c r="AJ6" s="4" t="s">
        <v>147</v>
      </c>
      <c r="AK6" s="4" t="s">
        <v>386</v>
      </c>
      <c r="AL6" s="4" t="s">
        <v>398</v>
      </c>
      <c r="AM6" s="4" t="s">
        <v>423</v>
      </c>
      <c r="AN6" s="4" t="s">
        <v>434</v>
      </c>
      <c r="AO6" s="4" t="s">
        <v>434</v>
      </c>
      <c r="AP6" s="4" t="s">
        <v>461</v>
      </c>
      <c r="AQ6" s="4" t="s">
        <v>450</v>
      </c>
      <c r="AR6" s="4" t="s">
        <v>471</v>
      </c>
      <c r="AS6" s="4" t="s">
        <v>480</v>
      </c>
      <c r="AT6" s="4" t="s">
        <v>484</v>
      </c>
      <c r="AU6" s="4" t="s">
        <v>495</v>
      </c>
      <c r="AV6" s="4" t="s">
        <v>499</v>
      </c>
      <c r="AW6" s="4" t="s">
        <v>419</v>
      </c>
      <c r="AX6" s="4" t="s">
        <v>91</v>
      </c>
      <c r="AY6" s="4" t="s">
        <v>511</v>
      </c>
      <c r="AZ6" s="4" t="s">
        <v>517</v>
      </c>
      <c r="BA6" s="4" t="s">
        <v>532</v>
      </c>
      <c r="BB6" s="4" t="s">
        <v>536</v>
      </c>
      <c r="BC6" s="4" t="s">
        <v>545</v>
      </c>
      <c r="BD6" s="4" t="s">
        <v>554</v>
      </c>
      <c r="BE6" s="4" t="s">
        <v>560</v>
      </c>
      <c r="BG6" s="4" t="s">
        <v>570</v>
      </c>
      <c r="BH6" s="4" t="s">
        <v>578</v>
      </c>
      <c r="BI6" s="4" t="s">
        <v>587</v>
      </c>
      <c r="BJ6" s="4" t="s">
        <v>592</v>
      </c>
      <c r="BL6" s="4" t="s">
        <v>600</v>
      </c>
      <c r="BM6" s="4" t="s">
        <v>607</v>
      </c>
      <c r="BN6" s="4" t="s">
        <v>614</v>
      </c>
      <c r="BO6" s="4" t="s">
        <v>619</v>
      </c>
      <c r="BP6" s="4" t="s">
        <v>632</v>
      </c>
      <c r="BQ6" s="4" t="s">
        <v>639</v>
      </c>
      <c r="BR6" s="4" t="s">
        <v>347</v>
      </c>
      <c r="BS6" s="4" t="s">
        <v>654</v>
      </c>
      <c r="BT6" s="4" t="s">
        <v>659</v>
      </c>
      <c r="BU6" s="4" t="s">
        <v>668</v>
      </c>
      <c r="BV6" s="4" t="s">
        <v>419</v>
      </c>
      <c r="BW6" s="4" t="s">
        <v>683</v>
      </c>
      <c r="BX6" s="4" t="s">
        <v>48</v>
      </c>
      <c r="BY6" s="4" t="s">
        <v>707</v>
      </c>
      <c r="BZ6" s="4" t="s">
        <v>434</v>
      </c>
      <c r="CA6" s="4" t="s">
        <v>713</v>
      </c>
      <c r="CB6" s="4" t="s">
        <v>722</v>
      </c>
      <c r="CD6" s="4" t="s">
        <v>732</v>
      </c>
      <c r="CE6" s="4" t="s">
        <v>743</v>
      </c>
      <c r="CF6" s="4" t="s">
        <v>752</v>
      </c>
      <c r="CG6" s="4" t="s">
        <v>756</v>
      </c>
      <c r="CH6" s="4" t="s">
        <v>761</v>
      </c>
      <c r="CI6" s="4" t="s">
        <v>767</v>
      </c>
      <c r="CJ6" s="4" t="s">
        <v>781</v>
      </c>
      <c r="CK6" s="4" t="s">
        <v>787</v>
      </c>
      <c r="CL6" s="4" t="s">
        <v>792</v>
      </c>
      <c r="CM6" s="4" t="s">
        <v>797</v>
      </c>
      <c r="CN6" s="4" t="s">
        <v>802</v>
      </c>
      <c r="CO6" s="4" t="s">
        <v>810</v>
      </c>
      <c r="CP6" s="4" t="s">
        <v>108</v>
      </c>
      <c r="CQ6" s="4" t="s">
        <v>814</v>
      </c>
      <c r="CR6" s="4" t="s">
        <v>820</v>
      </c>
      <c r="CU6" s="4" t="s">
        <v>831</v>
      </c>
      <c r="CX6" s="4" t="s">
        <v>47</v>
      </c>
      <c r="CY6" s="4" t="s">
        <v>570</v>
      </c>
      <c r="CZ6" s="4" t="s">
        <v>832</v>
      </c>
      <c r="DB6" s="4" t="s">
        <v>852</v>
      </c>
      <c r="DD6" s="4" t="s">
        <v>93</v>
      </c>
      <c r="DE6" s="4" t="s">
        <v>108</v>
      </c>
      <c r="DH6" s="4" t="s">
        <v>874</v>
      </c>
      <c r="DI6" s="4" t="s">
        <v>886</v>
      </c>
      <c r="DJ6" s="4" t="s">
        <v>893</v>
      </c>
      <c r="DK6" s="4" t="s">
        <v>908</v>
      </c>
      <c r="DL6" s="4" t="s">
        <v>912</v>
      </c>
      <c r="DN6" s="4" t="s">
        <v>916</v>
      </c>
      <c r="DO6" s="4" t="s">
        <v>920</v>
      </c>
      <c r="DR6" s="4" t="s">
        <v>941</v>
      </c>
      <c r="DS6" s="4" t="s">
        <v>952</v>
      </c>
      <c r="DT6" s="4" t="s">
        <v>966</v>
      </c>
      <c r="DU6" s="4" t="s">
        <v>979</v>
      </c>
      <c r="DV6" s="4" t="s">
        <v>983</v>
      </c>
      <c r="DW6" s="4" t="s">
        <v>998</v>
      </c>
      <c r="DX6" s="4" t="s">
        <v>1006</v>
      </c>
      <c r="DY6" s="4" t="s">
        <v>1014</v>
      </c>
      <c r="DZ6" s="4" t="s">
        <v>1021</v>
      </c>
      <c r="EA6" s="4" t="s">
        <v>1026</v>
      </c>
      <c r="EB6" s="4" t="s">
        <v>830</v>
      </c>
      <c r="EC6" s="4" t="s">
        <v>97</v>
      </c>
      <c r="ED6" s="4" t="s">
        <v>1046</v>
      </c>
      <c r="EE6" s="4" t="s">
        <v>1052</v>
      </c>
      <c r="EF6" s="4" t="s">
        <v>433</v>
      </c>
      <c r="EG6" s="4" t="s">
        <v>442</v>
      </c>
      <c r="EI6" s="4" t="s">
        <v>1062</v>
      </c>
      <c r="EJ6" s="4" t="s">
        <v>1070</v>
      </c>
      <c r="EK6" s="4" t="s">
        <v>424</v>
      </c>
      <c r="EL6" s="4" t="s">
        <v>42</v>
      </c>
      <c r="EM6" s="4" t="s">
        <v>448</v>
      </c>
      <c r="EN6" s="4" t="s">
        <v>473</v>
      </c>
      <c r="EO6" s="4" t="s">
        <v>1098</v>
      </c>
      <c r="EP6" s="4" t="s">
        <v>1101</v>
      </c>
      <c r="EQ6" s="4" t="s">
        <v>60</v>
      </c>
      <c r="ER6" s="4" t="s">
        <v>1107</v>
      </c>
      <c r="ES6" s="4" t="s">
        <v>1118</v>
      </c>
      <c r="ET6" s="4" t="s">
        <v>1124</v>
      </c>
      <c r="EU6" s="4" t="s">
        <v>1138</v>
      </c>
      <c r="EV6" s="4" t="s">
        <v>1145</v>
      </c>
      <c r="EW6" s="4" t="s">
        <v>1153</v>
      </c>
      <c r="EX6" s="4" t="s">
        <v>1163</v>
      </c>
      <c r="EY6" s="4" t="s">
        <v>1174</v>
      </c>
      <c r="EZ6" s="4" t="s">
        <v>1185</v>
      </c>
      <c r="FA6" s="4" t="s">
        <v>1201</v>
      </c>
      <c r="FC6" s="4" t="s">
        <v>1210</v>
      </c>
      <c r="FD6" s="4" t="s">
        <v>1216</v>
      </c>
      <c r="FE6" s="4" t="s">
        <v>1225</v>
      </c>
      <c r="FF6" s="4" t="s">
        <v>1234</v>
      </c>
      <c r="FG6" s="4" t="s">
        <v>1238</v>
      </c>
      <c r="FH6" s="4" t="s">
        <v>1250</v>
      </c>
      <c r="FI6" s="4" t="s">
        <v>1260</v>
      </c>
      <c r="FJ6" s="4" t="s">
        <v>1252</v>
      </c>
      <c r="FK6" s="4" t="s">
        <v>1270</v>
      </c>
      <c r="FL6" s="4" t="s">
        <v>1275</v>
      </c>
      <c r="FM6" s="4" t="s">
        <v>1284</v>
      </c>
      <c r="FN6" s="4" t="s">
        <v>1290</v>
      </c>
      <c r="FP6" s="4" t="s">
        <v>1303</v>
      </c>
      <c r="FQ6" s="4" t="s">
        <v>1309</v>
      </c>
      <c r="FR6" s="4" t="s">
        <v>1321</v>
      </c>
      <c r="FS6" s="4" t="s">
        <v>1324</v>
      </c>
      <c r="FT6" s="4" t="s">
        <v>1328</v>
      </c>
      <c r="FV6" s="4" t="s">
        <v>1337</v>
      </c>
      <c r="FW6" s="4" t="s">
        <v>1340</v>
      </c>
      <c r="FX6" s="4" t="s">
        <v>1348</v>
      </c>
      <c r="FZ6" s="4" t="s">
        <v>1355</v>
      </c>
      <c r="GA6" s="4" t="s">
        <v>1361</v>
      </c>
      <c r="GB6" s="4" t="s">
        <v>1210</v>
      </c>
      <c r="GC6" s="4" t="s">
        <v>1369</v>
      </c>
    </row>
    <row r="7" spans="1:185" x14ac:dyDescent="0.35">
      <c r="A7" s="8" t="s">
        <v>166</v>
      </c>
      <c r="B7" s="4" t="s">
        <v>179</v>
      </c>
      <c r="C7" s="4" t="s">
        <v>195</v>
      </c>
      <c r="D7" s="4" t="s">
        <v>203</v>
      </c>
      <c r="E7" s="4" t="s">
        <v>213</v>
      </c>
      <c r="F7" s="4" t="s">
        <v>229</v>
      </c>
      <c r="G7" s="4" t="s">
        <v>238</v>
      </c>
      <c r="H7" s="4" t="s">
        <v>253</v>
      </c>
      <c r="I7" s="4" t="s">
        <v>273</v>
      </c>
      <c r="J7" s="4" t="s">
        <v>285</v>
      </c>
      <c r="K7" s="4" t="s">
        <v>296</v>
      </c>
      <c r="L7" s="4" t="s">
        <v>306</v>
      </c>
      <c r="M7" s="4" t="s">
        <v>316</v>
      </c>
      <c r="O7" s="3" t="s">
        <v>91</v>
      </c>
      <c r="P7" s="3" t="s">
        <v>92</v>
      </c>
      <c r="R7" s="3" t="s">
        <v>65</v>
      </c>
      <c r="S7" s="3" t="s">
        <v>93</v>
      </c>
      <c r="V7" s="3" t="s">
        <v>94</v>
      </c>
      <c r="W7" s="3" t="s">
        <v>95</v>
      </c>
      <c r="X7" s="3" t="s">
        <v>96</v>
      </c>
      <c r="Y7" s="3" t="s">
        <v>97</v>
      </c>
      <c r="Z7" s="3" t="s">
        <v>98</v>
      </c>
      <c r="AA7" s="3" t="s">
        <v>99</v>
      </c>
      <c r="AB7" s="3" t="s">
        <v>100</v>
      </c>
      <c r="AC7" s="3" t="s">
        <v>101</v>
      </c>
      <c r="AD7" s="3" t="s">
        <v>102</v>
      </c>
      <c r="AE7" s="4" t="s">
        <v>89</v>
      </c>
      <c r="AF7" s="4" t="s">
        <v>38</v>
      </c>
      <c r="AG7" s="4" t="s">
        <v>330</v>
      </c>
      <c r="AH7" s="4" t="s">
        <v>356</v>
      </c>
      <c r="AI7" s="4" t="s">
        <v>358</v>
      </c>
      <c r="AJ7" s="4" t="s">
        <v>374</v>
      </c>
      <c r="AK7" s="4" t="s">
        <v>393</v>
      </c>
      <c r="AL7" s="4" t="s">
        <v>408</v>
      </c>
      <c r="AM7" s="4" t="s">
        <v>422</v>
      </c>
      <c r="AN7" s="4" t="s">
        <v>439</v>
      </c>
      <c r="AO7" s="4" t="s">
        <v>356</v>
      </c>
      <c r="AP7" s="4" t="s">
        <v>460</v>
      </c>
      <c r="AQ7" s="4" t="s">
        <v>435</v>
      </c>
      <c r="AR7" s="4" t="s">
        <v>470</v>
      </c>
      <c r="AS7" s="4" t="s">
        <v>479</v>
      </c>
      <c r="AT7" s="4" t="s">
        <v>432</v>
      </c>
      <c r="AU7" s="4" t="s">
        <v>494</v>
      </c>
      <c r="AV7" s="4" t="s">
        <v>23</v>
      </c>
      <c r="AW7" s="4" t="s">
        <v>507</v>
      </c>
      <c r="AX7" s="4" t="s">
        <v>509</v>
      </c>
      <c r="AZ7" s="4" t="s">
        <v>516</v>
      </c>
      <c r="BA7" s="4" t="s">
        <v>531</v>
      </c>
      <c r="BB7" s="4" t="s">
        <v>535</v>
      </c>
      <c r="BC7" s="4" t="s">
        <v>544</v>
      </c>
      <c r="BD7" s="4" t="s">
        <v>553</v>
      </c>
      <c r="BE7" s="4" t="s">
        <v>559</v>
      </c>
      <c r="BG7" s="4" t="s">
        <v>569</v>
      </c>
      <c r="BH7" s="4" t="s">
        <v>577</v>
      </c>
      <c r="BI7" s="4" t="s">
        <v>586</v>
      </c>
      <c r="BL7" s="4" t="s">
        <v>599</v>
      </c>
      <c r="BM7" s="4" t="s">
        <v>606</v>
      </c>
      <c r="BN7" s="4" t="s">
        <v>613</v>
      </c>
      <c r="BO7" s="4" t="s">
        <v>630</v>
      </c>
      <c r="BQ7" s="4" t="s">
        <v>638</v>
      </c>
      <c r="BR7" s="4" t="s">
        <v>644</v>
      </c>
      <c r="BS7" s="4" t="s">
        <v>510</v>
      </c>
      <c r="BT7" s="4" t="s">
        <v>657</v>
      </c>
      <c r="BU7" s="4" t="s">
        <v>663</v>
      </c>
      <c r="BV7" s="4" t="s">
        <v>665</v>
      </c>
      <c r="BW7" s="4" t="s">
        <v>680</v>
      </c>
      <c r="BX7" s="4" t="s">
        <v>66</v>
      </c>
      <c r="BY7" s="4" t="s">
        <v>706</v>
      </c>
      <c r="BZ7" s="4" t="s">
        <v>657</v>
      </c>
      <c r="CA7" s="4" t="s">
        <v>442</v>
      </c>
      <c r="CB7" s="4" t="s">
        <v>721</v>
      </c>
      <c r="CD7" s="4" t="s">
        <v>731</v>
      </c>
      <c r="CE7" s="4" t="s">
        <v>742</v>
      </c>
      <c r="CF7" s="4" t="s">
        <v>747</v>
      </c>
      <c r="CI7" s="4" t="s">
        <v>770</v>
      </c>
      <c r="CJ7" s="4" t="s">
        <v>777</v>
      </c>
      <c r="CK7" s="4" t="s">
        <v>786</v>
      </c>
      <c r="CO7" s="4" t="s">
        <v>809</v>
      </c>
      <c r="CP7" s="4" t="s">
        <v>117</v>
      </c>
      <c r="CU7" s="4" t="s">
        <v>830</v>
      </c>
      <c r="CX7" s="4" t="s">
        <v>65</v>
      </c>
      <c r="DB7" s="4" t="s">
        <v>851</v>
      </c>
      <c r="DD7" s="4" t="s">
        <v>859</v>
      </c>
      <c r="DE7" s="4" t="s">
        <v>117</v>
      </c>
      <c r="DH7" s="4" t="s">
        <v>878</v>
      </c>
      <c r="DI7" s="4" t="s">
        <v>885</v>
      </c>
      <c r="DJ7" s="4" t="s">
        <v>892</v>
      </c>
      <c r="DK7" s="4" t="s">
        <v>907</v>
      </c>
      <c r="DL7" s="4" t="s">
        <v>911</v>
      </c>
      <c r="DR7" s="4" t="s">
        <v>945</v>
      </c>
      <c r="DS7" s="4" t="s">
        <v>950</v>
      </c>
      <c r="DT7" s="4" t="s">
        <v>970</v>
      </c>
      <c r="DU7" s="4" t="s">
        <v>977</v>
      </c>
      <c r="DV7" s="4" t="s">
        <v>981</v>
      </c>
      <c r="DW7" s="4" t="s">
        <v>993</v>
      </c>
      <c r="DX7" s="4" t="s">
        <v>1010</v>
      </c>
      <c r="DY7" s="4" t="s">
        <v>1013</v>
      </c>
      <c r="DZ7" s="4" t="s">
        <v>424</v>
      </c>
      <c r="EA7" s="4" t="s">
        <v>1025</v>
      </c>
      <c r="EB7" s="4" t="s">
        <v>1032</v>
      </c>
      <c r="EC7" s="4" t="s">
        <v>1035</v>
      </c>
      <c r="ED7" s="4" t="s">
        <v>1045</v>
      </c>
      <c r="EE7" s="4" t="s">
        <v>1051</v>
      </c>
      <c r="EF7" s="4" t="s">
        <v>1057</v>
      </c>
      <c r="EI7" s="4" t="s">
        <v>1066</v>
      </c>
      <c r="EJ7" s="4" t="s">
        <v>1071</v>
      </c>
      <c r="EK7" s="4" t="s">
        <v>1074</v>
      </c>
      <c r="EL7" s="4" t="s">
        <v>432</v>
      </c>
      <c r="EM7" s="4" t="s">
        <v>1072</v>
      </c>
      <c r="EN7" s="4" t="s">
        <v>1089</v>
      </c>
      <c r="EO7" s="4" t="s">
        <v>23</v>
      </c>
      <c r="EP7" s="4" t="s">
        <v>1103</v>
      </c>
      <c r="EQ7" s="4" t="s">
        <v>1104</v>
      </c>
      <c r="ER7" s="4" t="s">
        <v>1106</v>
      </c>
      <c r="ES7" s="4" t="s">
        <v>1117</v>
      </c>
      <c r="ET7" s="4" t="s">
        <v>1123</v>
      </c>
      <c r="EU7" s="4" t="s">
        <v>1137</v>
      </c>
      <c r="EV7" s="4" t="s">
        <v>1144</v>
      </c>
      <c r="EW7" s="4" t="s">
        <v>144</v>
      </c>
      <c r="EX7" s="4" t="s">
        <v>1162</v>
      </c>
      <c r="EY7" s="4" t="s">
        <v>435</v>
      </c>
      <c r="EZ7" s="4" t="s">
        <v>1184</v>
      </c>
      <c r="FA7" s="4" t="s">
        <v>1197</v>
      </c>
      <c r="FC7" s="4" t="s">
        <v>1209</v>
      </c>
      <c r="FD7" s="4" t="s">
        <v>1220</v>
      </c>
      <c r="FF7" s="4" t="s">
        <v>1233</v>
      </c>
      <c r="FG7" s="4" t="s">
        <v>1237</v>
      </c>
      <c r="FH7" s="4" t="s">
        <v>1249</v>
      </c>
      <c r="FI7" s="4" t="s">
        <v>1206</v>
      </c>
      <c r="FJ7" s="4" t="s">
        <v>1251</v>
      </c>
      <c r="FK7" s="4" t="s">
        <v>1233</v>
      </c>
      <c r="FL7" s="4" t="s">
        <v>1274</v>
      </c>
      <c r="FM7" s="4" t="s">
        <v>1283</v>
      </c>
      <c r="FN7" s="4" t="s">
        <v>1289</v>
      </c>
      <c r="FP7" s="4" t="s">
        <v>1302</v>
      </c>
      <c r="FQ7" s="4" t="s">
        <v>1308</v>
      </c>
      <c r="FR7" s="4" t="s">
        <v>1320</v>
      </c>
      <c r="FS7" s="4" t="s">
        <v>1323</v>
      </c>
      <c r="FT7" s="4" t="s">
        <v>1330</v>
      </c>
      <c r="FV7" s="4" t="s">
        <v>1336</v>
      </c>
      <c r="FW7" s="4" t="s">
        <v>1339</v>
      </c>
      <c r="FX7" s="4" t="s">
        <v>1347</v>
      </c>
      <c r="FZ7" s="4" t="s">
        <v>1360</v>
      </c>
      <c r="GB7" s="4" t="s">
        <v>1209</v>
      </c>
      <c r="GC7" s="4" t="s">
        <v>1368</v>
      </c>
    </row>
    <row r="8" spans="1:185" x14ac:dyDescent="0.35">
      <c r="A8" s="8" t="s">
        <v>167</v>
      </c>
      <c r="B8" s="4" t="s">
        <v>180</v>
      </c>
      <c r="C8" s="4" t="s">
        <v>196</v>
      </c>
      <c r="D8" s="4" t="s">
        <v>6259</v>
      </c>
      <c r="E8" s="4" t="s">
        <v>214</v>
      </c>
      <c r="F8" s="4" t="s">
        <v>230</v>
      </c>
      <c r="G8" s="4" t="s">
        <v>239</v>
      </c>
      <c r="H8" s="4" t="s">
        <v>254</v>
      </c>
      <c r="I8" s="4" t="s">
        <v>274</v>
      </c>
      <c r="J8" s="4" t="s">
        <v>286</v>
      </c>
      <c r="K8" s="4" t="s">
        <v>297</v>
      </c>
      <c r="L8" s="4" t="s">
        <v>1394</v>
      </c>
      <c r="M8" s="4" t="s">
        <v>1389</v>
      </c>
      <c r="P8" s="3" t="s">
        <v>105</v>
      </c>
      <c r="R8" s="3" t="s">
        <v>81</v>
      </c>
      <c r="V8" s="3" t="s">
        <v>106</v>
      </c>
      <c r="X8" s="3" t="s">
        <v>107</v>
      </c>
      <c r="Z8" s="3" t="s">
        <v>108</v>
      </c>
      <c r="AB8" s="3" t="s">
        <v>109</v>
      </c>
      <c r="AC8" s="3" t="s">
        <v>110</v>
      </c>
      <c r="AD8" s="3" t="s">
        <v>111</v>
      </c>
      <c r="AE8" s="4" t="s">
        <v>126</v>
      </c>
      <c r="AF8" s="4" t="s">
        <v>133</v>
      </c>
      <c r="AG8" s="4" t="s">
        <v>331</v>
      </c>
      <c r="AH8" s="4" t="s">
        <v>350</v>
      </c>
      <c r="AI8" s="4" t="s">
        <v>371</v>
      </c>
      <c r="AJ8" s="4" t="s">
        <v>136</v>
      </c>
      <c r="AK8" s="4" t="s">
        <v>394</v>
      </c>
      <c r="AL8" s="4" t="s">
        <v>405</v>
      </c>
      <c r="AM8" s="4" t="s">
        <v>421</v>
      </c>
      <c r="AN8" s="4" t="s">
        <v>431</v>
      </c>
      <c r="AO8" s="4" t="s">
        <v>448</v>
      </c>
      <c r="AP8" s="4" t="s">
        <v>459</v>
      </c>
      <c r="AQ8" s="4" t="s">
        <v>464</v>
      </c>
      <c r="AR8" s="4" t="s">
        <v>468</v>
      </c>
      <c r="AS8" s="4" t="s">
        <v>483</v>
      </c>
      <c r="AT8" s="4" t="s">
        <v>488</v>
      </c>
      <c r="AU8" s="4" t="s">
        <v>493</v>
      </c>
      <c r="AV8" s="4" t="s">
        <v>435</v>
      </c>
      <c r="AW8" s="4" t="s">
        <v>506</v>
      </c>
      <c r="AX8" s="4" t="s">
        <v>488</v>
      </c>
      <c r="AZ8" s="4" t="s">
        <v>521</v>
      </c>
      <c r="BA8" s="4" t="s">
        <v>530</v>
      </c>
      <c r="BC8" s="4" t="s">
        <v>543</v>
      </c>
      <c r="BD8" s="4" t="s">
        <v>552</v>
      </c>
      <c r="BG8" s="4" t="s">
        <v>568</v>
      </c>
      <c r="BH8" s="4" t="s">
        <v>576</v>
      </c>
      <c r="BI8" s="4" t="s">
        <v>585</v>
      </c>
      <c r="BL8" s="4" t="s">
        <v>598</v>
      </c>
      <c r="BM8" s="4" t="s">
        <v>605</v>
      </c>
      <c r="BN8" s="4" t="s">
        <v>612</v>
      </c>
      <c r="BO8" s="4" t="s">
        <v>629</v>
      </c>
      <c r="BR8" s="4" t="s">
        <v>647</v>
      </c>
      <c r="BS8" s="4" t="s">
        <v>649</v>
      </c>
      <c r="BT8" s="4" t="s">
        <v>661</v>
      </c>
      <c r="BU8" s="4" t="s">
        <v>669</v>
      </c>
      <c r="BV8" s="4" t="s">
        <v>679</v>
      </c>
      <c r="BW8" s="4" t="s">
        <v>450</v>
      </c>
      <c r="BX8" s="4" t="s">
        <v>692</v>
      </c>
      <c r="BY8" s="4" t="s">
        <v>702</v>
      </c>
      <c r="BZ8" s="4" t="s">
        <v>483</v>
      </c>
      <c r="CB8" s="4" t="s">
        <v>720</v>
      </c>
      <c r="CD8" s="4" t="s">
        <v>730</v>
      </c>
      <c r="CE8" s="4" t="s">
        <v>741</v>
      </c>
      <c r="CF8" s="4" t="s">
        <v>751</v>
      </c>
      <c r="CI8" s="4" t="s">
        <v>766</v>
      </c>
      <c r="CJ8" s="4" t="s">
        <v>780</v>
      </c>
      <c r="CK8" s="4" t="s">
        <v>785</v>
      </c>
      <c r="CO8" s="4" t="s">
        <v>808</v>
      </c>
      <c r="CU8" s="4" t="s">
        <v>441</v>
      </c>
      <c r="CX8" s="4" t="s">
        <v>81</v>
      </c>
      <c r="DB8" s="4" t="s">
        <v>848</v>
      </c>
      <c r="DD8" s="4" t="s">
        <v>863</v>
      </c>
      <c r="DE8" s="4" t="s">
        <v>123</v>
      </c>
      <c r="DH8" s="4" t="s">
        <v>877</v>
      </c>
      <c r="DI8" s="4" t="s">
        <v>884</v>
      </c>
      <c r="DJ8" s="4" t="s">
        <v>891</v>
      </c>
      <c r="DK8" s="4" t="s">
        <v>900</v>
      </c>
      <c r="DR8" s="4" t="s">
        <v>944</v>
      </c>
      <c r="DT8" s="4" t="s">
        <v>969</v>
      </c>
      <c r="DU8" s="4" t="s">
        <v>976</v>
      </c>
      <c r="DV8" s="4" t="s">
        <v>986</v>
      </c>
      <c r="DW8" s="4" t="s">
        <v>997</v>
      </c>
      <c r="DX8" s="4" t="s">
        <v>1005</v>
      </c>
      <c r="DY8" s="4" t="s">
        <v>1012</v>
      </c>
      <c r="DZ8" s="4" t="s">
        <v>1017</v>
      </c>
      <c r="EB8" s="4" t="s">
        <v>1031</v>
      </c>
      <c r="EC8" s="4" t="s">
        <v>1038</v>
      </c>
      <c r="ED8" s="4" t="s">
        <v>1044</v>
      </c>
      <c r="EE8" s="4" t="s">
        <v>1049</v>
      </c>
      <c r="EF8" s="4" t="s">
        <v>432</v>
      </c>
      <c r="EI8" s="4" t="s">
        <v>455</v>
      </c>
      <c r="EJ8" s="4" t="s">
        <v>1068</v>
      </c>
      <c r="EK8" s="4" t="s">
        <v>483</v>
      </c>
      <c r="EL8" s="4" t="s">
        <v>1077</v>
      </c>
      <c r="EM8" s="4" t="s">
        <v>659</v>
      </c>
      <c r="EN8" s="4" t="s">
        <v>1087</v>
      </c>
      <c r="EO8" s="4" t="s">
        <v>31</v>
      </c>
      <c r="EP8" s="4" t="s">
        <v>484</v>
      </c>
      <c r="EQ8" s="4" t="s">
        <v>488</v>
      </c>
      <c r="ER8" s="4" t="s">
        <v>1115</v>
      </c>
      <c r="ES8" s="4" t="s">
        <v>1066</v>
      </c>
      <c r="ET8" s="4" t="s">
        <v>1122</v>
      </c>
      <c r="EU8" s="4" t="s">
        <v>1136</v>
      </c>
      <c r="EV8" s="4" t="s">
        <v>1150</v>
      </c>
      <c r="EW8" s="4" t="s">
        <v>1154</v>
      </c>
      <c r="EX8" s="4" t="s">
        <v>1171</v>
      </c>
      <c r="EY8" s="4" t="s">
        <v>136</v>
      </c>
      <c r="EZ8" s="4" t="s">
        <v>1182</v>
      </c>
      <c r="FA8" s="4" t="s">
        <v>1196</v>
      </c>
      <c r="FC8" s="4" t="s">
        <v>1208</v>
      </c>
      <c r="FD8" s="4" t="s">
        <v>1219</v>
      </c>
      <c r="FF8" s="4" t="s">
        <v>1232</v>
      </c>
      <c r="FG8" s="4" t="s">
        <v>1235</v>
      </c>
      <c r="FH8" s="4" t="s">
        <v>1248</v>
      </c>
      <c r="FI8" s="4" t="s">
        <v>1259</v>
      </c>
      <c r="FJ8" s="4" t="s">
        <v>1263</v>
      </c>
      <c r="FL8" s="4" t="s">
        <v>1273</v>
      </c>
      <c r="FM8" s="4" t="s">
        <v>1282</v>
      </c>
      <c r="FP8" s="4" t="s">
        <v>1301</v>
      </c>
      <c r="FR8" s="4" t="s">
        <v>1319</v>
      </c>
      <c r="FV8" s="4" t="s">
        <v>1335</v>
      </c>
      <c r="FX8" s="4" t="s">
        <v>1346</v>
      </c>
      <c r="GB8" s="4" t="s">
        <v>1366</v>
      </c>
    </row>
    <row r="9" spans="1:185" x14ac:dyDescent="0.35">
      <c r="A9" s="8" t="s">
        <v>168</v>
      </c>
      <c r="B9" s="4" t="s">
        <v>181</v>
      </c>
      <c r="C9" s="4" t="s">
        <v>197</v>
      </c>
      <c r="D9" s="4" t="s">
        <v>204</v>
      </c>
      <c r="E9" s="4" t="s">
        <v>215</v>
      </c>
      <c r="F9" s="4" t="s">
        <v>231</v>
      </c>
      <c r="G9" s="4" t="s">
        <v>240</v>
      </c>
      <c r="H9" s="4" t="s">
        <v>255</v>
      </c>
      <c r="I9" s="4" t="s">
        <v>275</v>
      </c>
      <c r="J9" s="4" t="s">
        <v>287</v>
      </c>
      <c r="K9" s="4" t="s">
        <v>298</v>
      </c>
      <c r="L9" s="4" t="s">
        <v>307</v>
      </c>
      <c r="M9" s="4" t="s">
        <v>317</v>
      </c>
      <c r="P9" s="3" t="s">
        <v>114</v>
      </c>
      <c r="R9" s="3" t="s">
        <v>95</v>
      </c>
      <c r="V9" s="3" t="s">
        <v>115</v>
      </c>
      <c r="X9" s="3" t="s">
        <v>116</v>
      </c>
      <c r="Z9" s="3" t="s">
        <v>117</v>
      </c>
      <c r="AB9" s="3" t="s">
        <v>118</v>
      </c>
      <c r="AC9" s="3" t="s">
        <v>119</v>
      </c>
      <c r="AE9" s="4" t="s">
        <v>157</v>
      </c>
      <c r="AF9" s="4" t="s">
        <v>121</v>
      </c>
      <c r="AG9" s="4" t="s">
        <v>336</v>
      </c>
      <c r="AH9" s="4" t="s">
        <v>347</v>
      </c>
      <c r="AI9" s="4" t="s">
        <v>372</v>
      </c>
      <c r="AJ9" s="4" t="s">
        <v>373</v>
      </c>
      <c r="AK9" s="4" t="s">
        <v>392</v>
      </c>
      <c r="AL9" s="4" t="s">
        <v>391</v>
      </c>
      <c r="AM9" s="4" t="s">
        <v>420</v>
      </c>
      <c r="AN9" s="4" t="s">
        <v>437</v>
      </c>
      <c r="AO9" s="4" t="s">
        <v>450</v>
      </c>
      <c r="AP9" s="4" t="s">
        <v>462</v>
      </c>
      <c r="AR9" s="4" t="s">
        <v>411</v>
      </c>
      <c r="AS9" s="4" t="s">
        <v>450</v>
      </c>
      <c r="AT9" s="4" t="s">
        <v>472</v>
      </c>
      <c r="AU9" s="4" t="s">
        <v>492</v>
      </c>
      <c r="AV9" s="4" t="s">
        <v>42</v>
      </c>
      <c r="AW9" s="4" t="s">
        <v>503</v>
      </c>
      <c r="AX9" s="4" t="s">
        <v>442</v>
      </c>
      <c r="AZ9" s="4" t="s">
        <v>42</v>
      </c>
      <c r="BA9" s="4" t="s">
        <v>529</v>
      </c>
      <c r="BC9" s="4" t="s">
        <v>542</v>
      </c>
      <c r="BD9" s="4" t="s">
        <v>551</v>
      </c>
      <c r="BH9" s="4" t="s">
        <v>575</v>
      </c>
      <c r="BI9" s="4" t="s">
        <v>584</v>
      </c>
      <c r="BL9" s="4" t="s">
        <v>597</v>
      </c>
      <c r="BO9" s="4" t="s">
        <v>628</v>
      </c>
      <c r="BR9" s="4" t="s">
        <v>442</v>
      </c>
      <c r="BS9" s="4" t="s">
        <v>652</v>
      </c>
      <c r="BT9" s="4" t="s">
        <v>658</v>
      </c>
      <c r="BU9" s="4" t="s">
        <v>652</v>
      </c>
      <c r="BV9" s="4" t="s">
        <v>678</v>
      </c>
      <c r="BW9" s="4" t="s">
        <v>687</v>
      </c>
      <c r="BX9" s="4" t="s">
        <v>691</v>
      </c>
      <c r="BY9" s="4" t="s">
        <v>475</v>
      </c>
      <c r="BZ9" s="4" t="s">
        <v>413</v>
      </c>
      <c r="CB9" s="4" t="s">
        <v>719</v>
      </c>
      <c r="CE9" s="4" t="s">
        <v>740</v>
      </c>
      <c r="CF9" s="4" t="s">
        <v>750</v>
      </c>
      <c r="CI9" s="4" t="s">
        <v>769</v>
      </c>
      <c r="CJ9" s="4" t="s">
        <v>779</v>
      </c>
      <c r="CO9" s="4" t="s">
        <v>32</v>
      </c>
      <c r="DD9" s="4" t="s">
        <v>862</v>
      </c>
      <c r="DE9" s="4" t="s">
        <v>129</v>
      </c>
      <c r="DH9" s="4" t="s">
        <v>876</v>
      </c>
      <c r="DI9" s="4" t="s">
        <v>883</v>
      </c>
      <c r="DK9" s="4" t="s">
        <v>906</v>
      </c>
      <c r="DR9" s="4" t="s">
        <v>943</v>
      </c>
      <c r="DT9" s="4" t="s">
        <v>968</v>
      </c>
      <c r="DU9" s="4" t="s">
        <v>975</v>
      </c>
      <c r="DV9" s="4" t="s">
        <v>985</v>
      </c>
      <c r="DW9" s="4" t="s">
        <v>996</v>
      </c>
      <c r="DX9" s="4" t="s">
        <v>1009</v>
      </c>
      <c r="DY9" s="4" t="s">
        <v>1011</v>
      </c>
      <c r="DZ9" s="4" t="s">
        <v>1019</v>
      </c>
      <c r="EB9" s="4" t="s">
        <v>1029</v>
      </c>
      <c r="EC9" s="4" t="s">
        <v>1026</v>
      </c>
      <c r="ED9" s="4" t="s">
        <v>1043</v>
      </c>
      <c r="EE9" s="4" t="s">
        <v>1050</v>
      </c>
      <c r="EF9" s="4" t="s">
        <v>1058</v>
      </c>
      <c r="EI9" s="4" t="s">
        <v>472</v>
      </c>
      <c r="EJ9" s="4" t="s">
        <v>455</v>
      </c>
      <c r="EK9" s="4" t="s">
        <v>488</v>
      </c>
      <c r="EL9" s="4" t="s">
        <v>1081</v>
      </c>
      <c r="EM9" s="4" t="s">
        <v>450</v>
      </c>
      <c r="EN9" s="4" t="s">
        <v>1090</v>
      </c>
      <c r="EO9" s="4" t="s">
        <v>67</v>
      </c>
      <c r="ER9" s="4" t="s">
        <v>1114</v>
      </c>
      <c r="ET9" s="4" t="s">
        <v>637</v>
      </c>
      <c r="EU9" s="4" t="s">
        <v>1129</v>
      </c>
      <c r="EV9" s="4" t="s">
        <v>1143</v>
      </c>
      <c r="EW9" s="4" t="s">
        <v>1159</v>
      </c>
      <c r="EX9" s="4" t="s">
        <v>1170</v>
      </c>
      <c r="EY9" s="4" t="s">
        <v>1066</v>
      </c>
      <c r="EZ9" s="4" t="s">
        <v>1183</v>
      </c>
      <c r="FA9" s="4" t="s">
        <v>1195</v>
      </c>
      <c r="FC9" s="4" t="s">
        <v>1207</v>
      </c>
      <c r="FD9" s="4" t="s">
        <v>1218</v>
      </c>
      <c r="FF9" s="4" t="s">
        <v>1230</v>
      </c>
      <c r="FH9" s="4" t="s">
        <v>1246</v>
      </c>
      <c r="FI9" s="4" t="s">
        <v>136</v>
      </c>
      <c r="FJ9" s="4" t="s">
        <v>1266</v>
      </c>
      <c r="FL9" s="4" t="s">
        <v>1272</v>
      </c>
      <c r="FM9" s="4" t="s">
        <v>1281</v>
      </c>
      <c r="FP9" s="4" t="s">
        <v>1300</v>
      </c>
      <c r="FR9" s="4" t="s">
        <v>1318</v>
      </c>
      <c r="GB9" s="4" t="s">
        <v>1367</v>
      </c>
    </row>
    <row r="10" spans="1:185" x14ac:dyDescent="0.35">
      <c r="A10" s="8" t="s">
        <v>169</v>
      </c>
      <c r="B10" s="4" t="s">
        <v>182</v>
      </c>
      <c r="C10"/>
      <c r="D10" s="4" t="s">
        <v>205</v>
      </c>
      <c r="E10" s="4" t="s">
        <v>216</v>
      </c>
      <c r="F10" s="4" t="s">
        <v>232</v>
      </c>
      <c r="G10" s="4" t="s">
        <v>241</v>
      </c>
      <c r="H10" s="4" t="s">
        <v>256</v>
      </c>
      <c r="I10" s="4" t="s">
        <v>276</v>
      </c>
      <c r="J10" s="4" t="s">
        <v>1395</v>
      </c>
      <c r="K10" s="4" t="s">
        <v>299</v>
      </c>
      <c r="L10" s="4" t="s">
        <v>308</v>
      </c>
      <c r="M10" s="4" t="s">
        <v>318</v>
      </c>
      <c r="V10" s="3" t="s">
        <v>122</v>
      </c>
      <c r="Z10" s="3" t="s">
        <v>123</v>
      </c>
      <c r="AB10" s="3" t="s">
        <v>124</v>
      </c>
      <c r="AC10" s="3" t="s">
        <v>125</v>
      </c>
      <c r="AE10" s="4" t="s">
        <v>37</v>
      </c>
      <c r="AF10" s="4" t="s">
        <v>137</v>
      </c>
      <c r="AG10" s="4" t="s">
        <v>133</v>
      </c>
      <c r="AH10" s="4" t="s">
        <v>346</v>
      </c>
      <c r="AI10" s="4" t="s">
        <v>363</v>
      </c>
      <c r="AJ10" s="4" t="s">
        <v>380</v>
      </c>
      <c r="AK10" s="4" t="s">
        <v>384</v>
      </c>
      <c r="AL10" s="4" t="s">
        <v>397</v>
      </c>
      <c r="AM10" s="4" t="s">
        <v>419</v>
      </c>
      <c r="AN10" s="4" t="s">
        <v>438</v>
      </c>
      <c r="AO10" s="4" t="s">
        <v>449</v>
      </c>
      <c r="AP10" s="4" t="s">
        <v>457</v>
      </c>
      <c r="AR10" s="4" t="s">
        <v>410</v>
      </c>
      <c r="AS10" s="4" t="s">
        <v>412</v>
      </c>
      <c r="AU10" s="4" t="s">
        <v>442</v>
      </c>
      <c r="AW10" s="4" t="s">
        <v>504</v>
      </c>
      <c r="BA10" s="4" t="s">
        <v>528</v>
      </c>
      <c r="BC10" s="4" t="s">
        <v>541</v>
      </c>
      <c r="BD10" s="4" t="s">
        <v>550</v>
      </c>
      <c r="BI10" s="4" t="s">
        <v>583</v>
      </c>
      <c r="BO10" s="4" t="s">
        <v>627</v>
      </c>
      <c r="BR10" s="4" t="s">
        <v>474</v>
      </c>
      <c r="BS10" s="4" t="s">
        <v>60</v>
      </c>
      <c r="BT10" s="4" t="s">
        <v>660</v>
      </c>
      <c r="BU10" s="4" t="s">
        <v>671</v>
      </c>
      <c r="BV10" s="4" t="s">
        <v>674</v>
      </c>
      <c r="BW10" s="4" t="s">
        <v>681</v>
      </c>
      <c r="BX10" s="4" t="s">
        <v>671</v>
      </c>
      <c r="BY10" s="4" t="s">
        <v>705</v>
      </c>
      <c r="BZ10" s="4" t="s">
        <v>705</v>
      </c>
      <c r="CE10" s="4" t="s">
        <v>739</v>
      </c>
      <c r="CF10" s="4" t="s">
        <v>749</v>
      </c>
      <c r="CI10" s="4" t="s">
        <v>768</v>
      </c>
      <c r="CJ10" s="4" t="s">
        <v>776</v>
      </c>
      <c r="CO10" s="4" t="s">
        <v>50</v>
      </c>
      <c r="DD10" s="4" t="s">
        <v>861</v>
      </c>
      <c r="DH10" s="4" t="s">
        <v>875</v>
      </c>
      <c r="DK10" s="4" t="s">
        <v>905</v>
      </c>
      <c r="DR10" s="4" t="s">
        <v>942</v>
      </c>
      <c r="DT10" s="4" t="s">
        <v>967</v>
      </c>
      <c r="DV10" s="4" t="s">
        <v>984</v>
      </c>
      <c r="DW10" s="4" t="s">
        <v>995</v>
      </c>
      <c r="DX10" s="4" t="s">
        <v>1008</v>
      </c>
      <c r="DZ10" s="4" t="s">
        <v>1020</v>
      </c>
      <c r="EB10" s="4" t="s">
        <v>1028</v>
      </c>
      <c r="EC10" s="4" t="s">
        <v>1025</v>
      </c>
      <c r="ED10" s="4" t="s">
        <v>1042</v>
      </c>
      <c r="EE10" s="4" t="s">
        <v>42</v>
      </c>
      <c r="EF10" s="4" t="s">
        <v>474</v>
      </c>
      <c r="EI10" s="4" t="s">
        <v>445</v>
      </c>
      <c r="EL10" s="4" t="s">
        <v>1080</v>
      </c>
      <c r="EM10" s="4" t="s">
        <v>498</v>
      </c>
      <c r="EN10" s="4" t="s">
        <v>1092</v>
      </c>
      <c r="EO10" s="4" t="s">
        <v>21</v>
      </c>
      <c r="ER10" s="4" t="s">
        <v>1113</v>
      </c>
      <c r="ET10" s="4" t="s">
        <v>642</v>
      </c>
      <c r="EU10" s="4" t="s">
        <v>1132</v>
      </c>
      <c r="EV10" s="4" t="s">
        <v>1147</v>
      </c>
      <c r="EW10" s="4" t="s">
        <v>1158</v>
      </c>
      <c r="EX10" s="4" t="s">
        <v>1169</v>
      </c>
      <c r="EY10" s="4" t="s">
        <v>1179</v>
      </c>
      <c r="EZ10" s="4" t="s">
        <v>1187</v>
      </c>
      <c r="FA10" s="4" t="s">
        <v>1194</v>
      </c>
      <c r="FD10" s="4" t="s">
        <v>1217</v>
      </c>
      <c r="FH10" s="4" t="s">
        <v>1247</v>
      </c>
      <c r="FI10" s="4" t="s">
        <v>1257</v>
      </c>
      <c r="FJ10" s="4" t="s">
        <v>1265</v>
      </c>
      <c r="FM10" s="4" t="s">
        <v>1280</v>
      </c>
      <c r="FP10" s="4" t="s">
        <v>1298</v>
      </c>
      <c r="FR10" s="4" t="s">
        <v>1314</v>
      </c>
    </row>
    <row r="11" spans="1:185" x14ac:dyDescent="0.35">
      <c r="A11" s="8" t="s">
        <v>170</v>
      </c>
      <c r="B11" s="4" t="s">
        <v>183</v>
      </c>
      <c r="C11"/>
      <c r="D11" s="4" t="s">
        <v>206</v>
      </c>
      <c r="E11" s="4" t="s">
        <v>1388</v>
      </c>
      <c r="F11"/>
      <c r="G11" s="4" t="s">
        <v>1393</v>
      </c>
      <c r="H11" s="4" t="s">
        <v>257</v>
      </c>
      <c r="I11" s="4" t="s">
        <v>277</v>
      </c>
      <c r="J11" s="4" t="s">
        <v>288</v>
      </c>
      <c r="K11" s="4" t="s">
        <v>300</v>
      </c>
      <c r="L11" s="4" t="s">
        <v>309</v>
      </c>
      <c r="M11" s="4" t="s">
        <v>319</v>
      </c>
      <c r="V11" s="3" t="s">
        <v>128</v>
      </c>
      <c r="Z11" s="3" t="s">
        <v>129</v>
      </c>
      <c r="AB11" s="3" t="s">
        <v>130</v>
      </c>
      <c r="AC11" s="3" t="s">
        <v>131</v>
      </c>
      <c r="AE11" s="4" t="s">
        <v>149</v>
      </c>
      <c r="AF11" s="4" t="s">
        <v>90</v>
      </c>
      <c r="AG11" s="4" t="s">
        <v>329</v>
      </c>
      <c r="AH11" s="4" t="s">
        <v>352</v>
      </c>
      <c r="AI11" s="4" t="s">
        <v>364</v>
      </c>
      <c r="AJ11" s="4" t="s">
        <v>361</v>
      </c>
      <c r="AK11" s="4" t="s">
        <v>385</v>
      </c>
      <c r="AL11" s="4" t="s">
        <v>407</v>
      </c>
      <c r="AM11" s="4" t="s">
        <v>356</v>
      </c>
      <c r="AN11" s="4" t="s">
        <v>433</v>
      </c>
      <c r="AO11" s="4" t="s">
        <v>446</v>
      </c>
      <c r="AP11" s="4" t="s">
        <v>428</v>
      </c>
      <c r="AR11" s="4" t="s">
        <v>42</v>
      </c>
      <c r="AS11" s="4" t="s">
        <v>476</v>
      </c>
      <c r="AU11" s="4" t="s">
        <v>445</v>
      </c>
      <c r="AW11" s="4" t="s">
        <v>442</v>
      </c>
      <c r="BA11" s="4" t="s">
        <v>527</v>
      </c>
      <c r="BC11" s="4" t="s">
        <v>488</v>
      </c>
      <c r="BO11" s="4" t="s">
        <v>626</v>
      </c>
      <c r="BS11" s="4" t="s">
        <v>76</v>
      </c>
      <c r="BU11" s="4" t="s">
        <v>42</v>
      </c>
      <c r="BV11" s="4" t="s">
        <v>442</v>
      </c>
      <c r="BW11" s="4" t="s">
        <v>136</v>
      </c>
      <c r="BX11" s="4" t="s">
        <v>503</v>
      </c>
      <c r="BY11" s="4" t="s">
        <v>42</v>
      </c>
      <c r="BZ11" s="4" t="s">
        <v>711</v>
      </c>
      <c r="CE11" s="4" t="s">
        <v>738</v>
      </c>
      <c r="CF11" s="4" t="s">
        <v>748</v>
      </c>
      <c r="CJ11" s="4" t="s">
        <v>778</v>
      </c>
      <c r="CO11" s="4" t="s">
        <v>68</v>
      </c>
      <c r="DD11" s="4" t="s">
        <v>860</v>
      </c>
      <c r="DH11" s="4" t="s">
        <v>873</v>
      </c>
      <c r="DK11" s="4" t="s">
        <v>904</v>
      </c>
      <c r="DR11" s="4" t="s">
        <v>940</v>
      </c>
      <c r="DT11" s="4" t="s">
        <v>965</v>
      </c>
      <c r="DV11" s="4" t="s">
        <v>982</v>
      </c>
      <c r="DW11" s="4" t="s">
        <v>994</v>
      </c>
      <c r="DX11" s="4" t="s">
        <v>1007</v>
      </c>
      <c r="DZ11" s="4" t="s">
        <v>1016</v>
      </c>
      <c r="EB11" s="4" t="s">
        <v>1027</v>
      </c>
      <c r="EC11" s="4" t="s">
        <v>1037</v>
      </c>
      <c r="EE11" s="4" t="s">
        <v>76</v>
      </c>
      <c r="EF11" s="4" t="s">
        <v>1055</v>
      </c>
      <c r="EL11" s="4" t="s">
        <v>1079</v>
      </c>
      <c r="EM11" s="4" t="s">
        <v>1050</v>
      </c>
      <c r="EN11" s="4" t="s">
        <v>509</v>
      </c>
      <c r="EO11" s="4" t="s">
        <v>1099</v>
      </c>
      <c r="ER11" s="4" t="s">
        <v>1112</v>
      </c>
      <c r="ET11" s="4" t="s">
        <v>1121</v>
      </c>
      <c r="EU11" s="4" t="s">
        <v>1130</v>
      </c>
      <c r="EV11" s="4" t="s">
        <v>1146</v>
      </c>
      <c r="EW11" s="4" t="s">
        <v>1115</v>
      </c>
      <c r="EX11" s="4" t="s">
        <v>1167</v>
      </c>
      <c r="EY11" s="4" t="s">
        <v>1121</v>
      </c>
      <c r="EZ11" s="4" t="s">
        <v>1186</v>
      </c>
      <c r="FA11" s="4" t="s">
        <v>1193</v>
      </c>
      <c r="FD11" s="4" t="s">
        <v>1215</v>
      </c>
      <c r="FH11" s="4" t="s">
        <v>1242</v>
      </c>
      <c r="FJ11" s="4" t="s">
        <v>121</v>
      </c>
      <c r="FP11" s="4" t="s">
        <v>1299</v>
      </c>
      <c r="FR11" s="4" t="s">
        <v>1099</v>
      </c>
    </row>
    <row r="12" spans="1:185" x14ac:dyDescent="0.35">
      <c r="A12" s="8" t="s">
        <v>171</v>
      </c>
      <c r="B12" s="4" t="s">
        <v>184</v>
      </c>
      <c r="C12"/>
      <c r="D12" s="4" t="s">
        <v>207</v>
      </c>
      <c r="E12" s="4" t="s">
        <v>217</v>
      </c>
      <c r="F12"/>
      <c r="G12" s="4" t="s">
        <v>242</v>
      </c>
      <c r="H12" s="4" t="s">
        <v>857</v>
      </c>
      <c r="I12" s="4" t="s">
        <v>278</v>
      </c>
      <c r="J12" s="4" t="s">
        <v>289</v>
      </c>
      <c r="K12"/>
      <c r="L12" s="4" t="s">
        <v>310</v>
      </c>
      <c r="M12" s="4" t="s">
        <v>320</v>
      </c>
      <c r="Z12" s="3" t="s">
        <v>134</v>
      </c>
      <c r="AC12" s="3" t="s">
        <v>135</v>
      </c>
      <c r="AE12" s="4" t="s">
        <v>151</v>
      </c>
      <c r="AF12" s="4" t="s">
        <v>74</v>
      </c>
      <c r="AG12" s="4" t="s">
        <v>335</v>
      </c>
      <c r="AH12" s="4" t="s">
        <v>349</v>
      </c>
      <c r="AI12" s="4" t="s">
        <v>362</v>
      </c>
      <c r="AJ12" s="4" t="s">
        <v>376</v>
      </c>
      <c r="AK12" s="4" t="s">
        <v>112</v>
      </c>
      <c r="AL12" s="4" t="s">
        <v>401</v>
      </c>
      <c r="AM12" s="4" t="s">
        <v>418</v>
      </c>
      <c r="AN12" s="4" t="s">
        <v>435</v>
      </c>
      <c r="AO12" s="4" t="s">
        <v>447</v>
      </c>
      <c r="AP12" s="4" t="s">
        <v>432</v>
      </c>
      <c r="AS12" s="4" t="s">
        <v>482</v>
      </c>
      <c r="BA12" s="4" t="s">
        <v>526</v>
      </c>
      <c r="BO12" s="4" t="s">
        <v>625</v>
      </c>
      <c r="BS12" s="4" t="s">
        <v>432</v>
      </c>
      <c r="BU12" s="4" t="s">
        <v>667</v>
      </c>
      <c r="BV12" s="4" t="s">
        <v>455</v>
      </c>
      <c r="BW12" s="4" t="s">
        <v>154</v>
      </c>
      <c r="BX12" s="4" t="s">
        <v>689</v>
      </c>
      <c r="BY12" s="4" t="s">
        <v>697</v>
      </c>
      <c r="BZ12" s="4" t="s">
        <v>382</v>
      </c>
      <c r="CO12" s="4" t="s">
        <v>84</v>
      </c>
      <c r="DH12" s="4" t="s">
        <v>872</v>
      </c>
      <c r="DK12" s="4" t="s">
        <v>903</v>
      </c>
      <c r="DR12" s="4" t="s">
        <v>939</v>
      </c>
      <c r="DT12" s="4" t="s">
        <v>964</v>
      </c>
      <c r="DX12" s="4" t="s">
        <v>1004</v>
      </c>
      <c r="DZ12" s="4" t="s">
        <v>909</v>
      </c>
      <c r="EC12" s="4" t="s">
        <v>1036</v>
      </c>
      <c r="EE12" s="4" t="s">
        <v>472</v>
      </c>
      <c r="EL12" s="4" t="s">
        <v>1082</v>
      </c>
      <c r="EM12" s="4" t="s">
        <v>474</v>
      </c>
      <c r="EN12" s="4" t="s">
        <v>1086</v>
      </c>
      <c r="ET12" s="4" t="s">
        <v>1120</v>
      </c>
      <c r="EU12" s="4" t="s">
        <v>1133</v>
      </c>
      <c r="EW12" s="4" t="s">
        <v>1114</v>
      </c>
      <c r="EY12" s="4" t="s">
        <v>1120</v>
      </c>
      <c r="FA12" s="4" t="s">
        <v>1199</v>
      </c>
      <c r="FH12" s="4" t="s">
        <v>136</v>
      </c>
      <c r="FJ12" s="4" t="s">
        <v>1262</v>
      </c>
      <c r="FR12" s="4" t="s">
        <v>1315</v>
      </c>
    </row>
    <row r="13" spans="1:185" x14ac:dyDescent="0.35">
      <c r="A13" s="8" t="s">
        <v>172</v>
      </c>
      <c r="B13" s="4" t="s">
        <v>185</v>
      </c>
      <c r="C13"/>
      <c r="D13" s="4" t="s">
        <v>1386</v>
      </c>
      <c r="E13" s="4" t="s">
        <v>1390</v>
      </c>
      <c r="F13"/>
      <c r="G13" s="4" t="s">
        <v>243</v>
      </c>
      <c r="H13" s="4" t="s">
        <v>1473</v>
      </c>
      <c r="I13" s="4" t="s">
        <v>279</v>
      </c>
      <c r="J13" s="4" t="s">
        <v>290</v>
      </c>
      <c r="K13"/>
      <c r="L13"/>
      <c r="M13" s="4" t="s">
        <v>321</v>
      </c>
      <c r="Z13" s="3" t="s">
        <v>138</v>
      </c>
      <c r="AC13" s="3" t="s">
        <v>139</v>
      </c>
      <c r="AE13" s="4" t="s">
        <v>55</v>
      </c>
      <c r="AF13" s="4" t="s">
        <v>152</v>
      </c>
      <c r="AG13" s="4" t="s">
        <v>334</v>
      </c>
      <c r="AH13" s="4" t="s">
        <v>354</v>
      </c>
      <c r="AI13" s="4" t="s">
        <v>368</v>
      </c>
      <c r="AJ13" s="4" t="s">
        <v>379</v>
      </c>
      <c r="AK13" s="4" t="s">
        <v>390</v>
      </c>
      <c r="AL13" s="4" t="s">
        <v>141</v>
      </c>
      <c r="AM13" s="4" t="s">
        <v>417</v>
      </c>
      <c r="AN13" s="4" t="s">
        <v>76</v>
      </c>
      <c r="AO13" s="4" t="s">
        <v>60</v>
      </c>
      <c r="AP13" s="4" t="s">
        <v>442</v>
      </c>
      <c r="AS13" s="4" t="s">
        <v>481</v>
      </c>
      <c r="BA13" s="4" t="s">
        <v>523</v>
      </c>
      <c r="BO13" s="4" t="s">
        <v>624</v>
      </c>
      <c r="BS13" s="4" t="s">
        <v>655</v>
      </c>
      <c r="BU13" s="4" t="s">
        <v>432</v>
      </c>
      <c r="BW13" s="4" t="s">
        <v>684</v>
      </c>
      <c r="BX13" s="4" t="s">
        <v>695</v>
      </c>
      <c r="BY13" s="4" t="s">
        <v>701</v>
      </c>
      <c r="BZ13" s="4" t="s">
        <v>42</v>
      </c>
      <c r="DH13" s="4" t="s">
        <v>871</v>
      </c>
      <c r="DK13" s="4" t="s">
        <v>899</v>
      </c>
      <c r="DR13" s="4" t="s">
        <v>938</v>
      </c>
      <c r="DT13" s="4" t="s">
        <v>963</v>
      </c>
      <c r="DX13" s="4" t="s">
        <v>1003</v>
      </c>
      <c r="DZ13" s="4" t="s">
        <v>709</v>
      </c>
      <c r="EE13" s="4" t="s">
        <v>445</v>
      </c>
      <c r="EM13" s="4" t="s">
        <v>1061</v>
      </c>
      <c r="EN13" s="4" t="s">
        <v>1088</v>
      </c>
      <c r="EU13" s="4" t="s">
        <v>375</v>
      </c>
      <c r="EW13" s="4" t="s">
        <v>1157</v>
      </c>
      <c r="EY13" s="4" t="s">
        <v>1178</v>
      </c>
      <c r="FA13" s="4" t="s">
        <v>1198</v>
      </c>
      <c r="FH13" s="4" t="s">
        <v>1245</v>
      </c>
    </row>
    <row r="14" spans="1:185" x14ac:dyDescent="0.35">
      <c r="B14" s="4" t="s">
        <v>186</v>
      </c>
      <c r="C14"/>
      <c r="D14"/>
      <c r="E14" s="4" t="s">
        <v>218</v>
      </c>
      <c r="F14"/>
      <c r="G14" s="4" t="s">
        <v>244</v>
      </c>
      <c r="H14" s="4" t="s">
        <v>258</v>
      </c>
      <c r="I14" s="4" t="s">
        <v>280</v>
      </c>
      <c r="J14" s="4" t="s">
        <v>291</v>
      </c>
      <c r="K14"/>
      <c r="L14"/>
      <c r="M14" s="4" t="s">
        <v>322</v>
      </c>
      <c r="AC14" s="3" t="s">
        <v>142</v>
      </c>
      <c r="AE14" s="4" t="s">
        <v>112</v>
      </c>
      <c r="AF14" s="4" t="s">
        <v>141</v>
      </c>
      <c r="AG14" s="4" t="s">
        <v>332</v>
      </c>
      <c r="AH14" s="4" t="s">
        <v>351</v>
      </c>
      <c r="AI14" s="4" t="s">
        <v>369</v>
      </c>
      <c r="AJ14" s="4" t="s">
        <v>381</v>
      </c>
      <c r="AK14" s="4" t="s">
        <v>389</v>
      </c>
      <c r="AL14" s="4" t="s">
        <v>154</v>
      </c>
      <c r="AM14" s="4" t="s">
        <v>416</v>
      </c>
      <c r="AN14" s="4" t="s">
        <v>428</v>
      </c>
      <c r="AO14" s="4" t="s">
        <v>443</v>
      </c>
      <c r="AP14" s="4" t="s">
        <v>455</v>
      </c>
      <c r="AS14" s="4" t="s">
        <v>475</v>
      </c>
      <c r="BO14" s="4" t="s">
        <v>623</v>
      </c>
      <c r="BS14" s="4" t="s">
        <v>442</v>
      </c>
      <c r="BU14" s="4" t="s">
        <v>494</v>
      </c>
      <c r="BX14" s="4" t="s">
        <v>694</v>
      </c>
      <c r="BY14" s="4" t="s">
        <v>704</v>
      </c>
      <c r="BZ14" s="4" t="s">
        <v>709</v>
      </c>
      <c r="DK14" s="4" t="s">
        <v>898</v>
      </c>
      <c r="DR14" s="4" t="s">
        <v>937</v>
      </c>
      <c r="DT14" s="4" t="s">
        <v>962</v>
      </c>
      <c r="DX14" s="4" t="s">
        <v>1002</v>
      </c>
      <c r="DZ14" s="4" t="s">
        <v>908</v>
      </c>
      <c r="EN14" s="4" t="s">
        <v>445</v>
      </c>
      <c r="EU14" s="4" t="s">
        <v>1142</v>
      </c>
      <c r="EW14" s="4" t="s">
        <v>1161</v>
      </c>
      <c r="EY14" s="4" t="s">
        <v>1060</v>
      </c>
      <c r="FA14" s="4" t="s">
        <v>1200</v>
      </c>
      <c r="FH14" s="4" t="s">
        <v>1255</v>
      </c>
    </row>
    <row r="15" spans="1:185" x14ac:dyDescent="0.35">
      <c r="B15" s="4" t="s">
        <v>187</v>
      </c>
      <c r="C15"/>
      <c r="D15"/>
      <c r="E15" s="4" t="s">
        <v>219</v>
      </c>
      <c r="F15"/>
      <c r="G15" s="4" t="s">
        <v>245</v>
      </c>
      <c r="H15" s="4" t="s">
        <v>864</v>
      </c>
      <c r="I15"/>
      <c r="J15"/>
      <c r="K15"/>
      <c r="L15"/>
      <c r="M15" s="4" t="s">
        <v>323</v>
      </c>
      <c r="AE15" s="4" t="s">
        <v>73</v>
      </c>
      <c r="AF15" s="4" t="s">
        <v>154</v>
      </c>
      <c r="AG15" s="4" t="s">
        <v>90</v>
      </c>
      <c r="AH15" s="4" t="s">
        <v>144</v>
      </c>
      <c r="AI15" s="4" t="s">
        <v>136</v>
      </c>
      <c r="AK15" s="4" t="s">
        <v>391</v>
      </c>
      <c r="AL15" s="4" t="s">
        <v>406</v>
      </c>
      <c r="AM15" s="4" t="s">
        <v>414</v>
      </c>
      <c r="AN15" s="4" t="s">
        <v>432</v>
      </c>
      <c r="AO15" s="4" t="s">
        <v>442</v>
      </c>
      <c r="AS15" s="4" t="s">
        <v>442</v>
      </c>
      <c r="BS15" s="4" t="s">
        <v>653</v>
      </c>
      <c r="BU15" s="4" t="s">
        <v>672</v>
      </c>
      <c r="BX15" s="4" t="s">
        <v>693</v>
      </c>
      <c r="BY15" s="4" t="s">
        <v>703</v>
      </c>
      <c r="BZ15" s="4" t="s">
        <v>712</v>
      </c>
      <c r="DR15" s="4" t="s">
        <v>936</v>
      </c>
      <c r="DT15" s="4" t="s">
        <v>961</v>
      </c>
      <c r="DX15" s="4" t="s">
        <v>1001</v>
      </c>
      <c r="DZ15" s="4" t="s">
        <v>660</v>
      </c>
      <c r="EU15" s="4" t="s">
        <v>1134</v>
      </c>
      <c r="EW15" s="4" t="s">
        <v>1160</v>
      </c>
      <c r="EY15" s="4" t="s">
        <v>455</v>
      </c>
      <c r="FA15" s="4" t="s">
        <v>1192</v>
      </c>
      <c r="FH15" s="4" t="s">
        <v>127</v>
      </c>
    </row>
    <row r="16" spans="1:185" x14ac:dyDescent="0.35">
      <c r="B16" s="4" t="s">
        <v>188</v>
      </c>
      <c r="C16"/>
      <c r="D16"/>
      <c r="E16" s="4" t="s">
        <v>220</v>
      </c>
      <c r="F16"/>
      <c r="G16" s="4" t="s">
        <v>246</v>
      </c>
      <c r="H16" s="4" t="s">
        <v>259</v>
      </c>
      <c r="I16"/>
      <c r="J16"/>
      <c r="K16"/>
      <c r="L16"/>
      <c r="M16" s="4" t="s">
        <v>324</v>
      </c>
      <c r="AE16" s="4" t="s">
        <v>143</v>
      </c>
      <c r="AF16" s="4" t="s">
        <v>146</v>
      </c>
      <c r="AG16" s="4" t="s">
        <v>342</v>
      </c>
      <c r="AH16" s="4" t="s">
        <v>345</v>
      </c>
      <c r="AI16" s="4" t="s">
        <v>361</v>
      </c>
      <c r="AK16" s="4" t="s">
        <v>395</v>
      </c>
      <c r="AL16" s="4" t="s">
        <v>403</v>
      </c>
      <c r="AM16" s="4" t="s">
        <v>413</v>
      </c>
      <c r="AO16" s="4" t="s">
        <v>445</v>
      </c>
      <c r="AS16" s="4" t="s">
        <v>173</v>
      </c>
      <c r="DR16" s="4" t="s">
        <v>935</v>
      </c>
      <c r="DT16" s="4" t="s">
        <v>956</v>
      </c>
      <c r="DZ16" s="4" t="s">
        <v>1018</v>
      </c>
      <c r="EU16" s="4" t="s">
        <v>1135</v>
      </c>
      <c r="EY16" s="4" t="s">
        <v>472</v>
      </c>
      <c r="FH16" s="4" t="s">
        <v>1243</v>
      </c>
    </row>
    <row r="17" spans="2:164" x14ac:dyDescent="0.35">
      <c r="B17" s="4" t="s">
        <v>189</v>
      </c>
      <c r="C17"/>
      <c r="D17"/>
      <c r="E17" s="4" t="s">
        <v>221</v>
      </c>
      <c r="F17"/>
      <c r="G17" s="4" t="s">
        <v>247</v>
      </c>
      <c r="H17" s="4" t="s">
        <v>260</v>
      </c>
      <c r="I17"/>
      <c r="J17"/>
      <c r="K17"/>
      <c r="L17"/>
      <c r="M17" s="4" t="s">
        <v>325</v>
      </c>
      <c r="AE17" s="4" t="s">
        <v>120</v>
      </c>
      <c r="AF17" s="4" t="s">
        <v>144</v>
      </c>
      <c r="AG17" s="4" t="s">
        <v>136</v>
      </c>
      <c r="AI17" s="4" t="s">
        <v>359</v>
      </c>
      <c r="AL17" s="4" t="s">
        <v>404</v>
      </c>
      <c r="AM17" s="4" t="s">
        <v>412</v>
      </c>
      <c r="AO17" s="4" t="s">
        <v>451</v>
      </c>
      <c r="AS17" s="4" t="s">
        <v>474</v>
      </c>
      <c r="DR17" s="4" t="s">
        <v>934</v>
      </c>
      <c r="DT17" s="4" t="s">
        <v>960</v>
      </c>
      <c r="EY17" s="4" t="s">
        <v>1061</v>
      </c>
      <c r="FH17" s="4" t="s">
        <v>1244</v>
      </c>
    </row>
    <row r="18" spans="2:164" x14ac:dyDescent="0.35">
      <c r="B18" s="4" t="s">
        <v>190</v>
      </c>
      <c r="C18"/>
      <c r="D18"/>
      <c r="E18" s="4" t="s">
        <v>1392</v>
      </c>
      <c r="F18"/>
      <c r="G18" s="4" t="s">
        <v>248</v>
      </c>
      <c r="H18" s="4" t="s">
        <v>261</v>
      </c>
      <c r="I18"/>
      <c r="J18"/>
      <c r="K18"/>
      <c r="L18"/>
      <c r="M18" s="4" t="s">
        <v>326</v>
      </c>
      <c r="AE18" s="4" t="s">
        <v>155</v>
      </c>
      <c r="AF18" s="4" t="s">
        <v>148</v>
      </c>
      <c r="AG18" s="4" t="s">
        <v>154</v>
      </c>
      <c r="AL18" s="4" t="s">
        <v>409</v>
      </c>
      <c r="AM18" s="4" t="s">
        <v>411</v>
      </c>
      <c r="AS18" s="4" t="s">
        <v>472</v>
      </c>
      <c r="DR18" s="4" t="s">
        <v>933</v>
      </c>
      <c r="DT18" s="4" t="s">
        <v>959</v>
      </c>
      <c r="EY18" s="4" t="s">
        <v>1173</v>
      </c>
    </row>
    <row r="19" spans="2:164" x14ac:dyDescent="0.35">
      <c r="B19"/>
      <c r="C19"/>
      <c r="D19"/>
      <c r="E19" s="4" t="s">
        <v>222</v>
      </c>
      <c r="F19"/>
      <c r="G19" s="4" t="s">
        <v>249</v>
      </c>
      <c r="H19" s="4" t="s">
        <v>262</v>
      </c>
      <c r="I19"/>
      <c r="J19"/>
      <c r="K19"/>
      <c r="L19"/>
      <c r="M19"/>
      <c r="AE19" s="4" t="s">
        <v>147</v>
      </c>
      <c r="AF19" s="4" t="s">
        <v>127</v>
      </c>
      <c r="AG19" s="4" t="s">
        <v>144</v>
      </c>
      <c r="AM19" s="4" t="s">
        <v>410</v>
      </c>
      <c r="DT19" s="4" t="s">
        <v>958</v>
      </c>
      <c r="EY19" s="4" t="s">
        <v>1177</v>
      </c>
    </row>
    <row r="20" spans="2:164" x14ac:dyDescent="0.35">
      <c r="B20"/>
      <c r="C20"/>
      <c r="D20"/>
      <c r="E20" s="4" t="s">
        <v>223</v>
      </c>
      <c r="F20"/>
      <c r="G20"/>
      <c r="H20" s="4" t="s">
        <v>910</v>
      </c>
      <c r="I20"/>
      <c r="J20"/>
      <c r="K20"/>
      <c r="L20"/>
      <c r="M20"/>
      <c r="AE20" s="4" t="s">
        <v>136</v>
      </c>
      <c r="AF20" s="4" t="s">
        <v>158</v>
      </c>
      <c r="AG20" s="4" t="s">
        <v>339</v>
      </c>
      <c r="AM20" s="4" t="s">
        <v>42</v>
      </c>
      <c r="DT20" s="4" t="s">
        <v>957</v>
      </c>
    </row>
    <row r="21" spans="2:164" x14ac:dyDescent="0.35">
      <c r="B21"/>
      <c r="C21"/>
      <c r="D21"/>
      <c r="E21"/>
      <c r="F21"/>
      <c r="G21"/>
      <c r="H21" s="4" t="s">
        <v>263</v>
      </c>
      <c r="I21"/>
      <c r="J21"/>
      <c r="K21"/>
      <c r="L21"/>
      <c r="M21"/>
      <c r="AE21" s="4" t="s">
        <v>140</v>
      </c>
      <c r="AF21" s="4" t="s">
        <v>156</v>
      </c>
      <c r="AG21" s="4" t="s">
        <v>341</v>
      </c>
      <c r="AM21" s="4" t="s">
        <v>415</v>
      </c>
    </row>
    <row r="22" spans="2:164" x14ac:dyDescent="0.35">
      <c r="B22"/>
      <c r="C22"/>
      <c r="D22"/>
      <c r="E22"/>
      <c r="F22"/>
      <c r="G22"/>
      <c r="H22" s="4" t="s">
        <v>264</v>
      </c>
      <c r="I22"/>
      <c r="J22"/>
      <c r="K22"/>
      <c r="L22"/>
      <c r="M22"/>
      <c r="AE22" s="4" t="s">
        <v>161</v>
      </c>
      <c r="AF22" s="4" t="s">
        <v>56</v>
      </c>
      <c r="AG22" s="4" t="s">
        <v>340</v>
      </c>
    </row>
    <row r="23" spans="2:164" x14ac:dyDescent="0.35">
      <c r="B23"/>
      <c r="C23"/>
      <c r="D23"/>
      <c r="E23"/>
      <c r="F23"/>
      <c r="G23"/>
      <c r="H23" s="4" t="s">
        <v>265</v>
      </c>
      <c r="I23"/>
      <c r="J23"/>
      <c r="K23"/>
      <c r="L23"/>
      <c r="M23"/>
      <c r="AE23" s="4" t="s">
        <v>159</v>
      </c>
      <c r="AG23" s="4" t="s">
        <v>333</v>
      </c>
    </row>
    <row r="24" spans="2:164" x14ac:dyDescent="0.35">
      <c r="B24"/>
      <c r="C24"/>
      <c r="D24"/>
      <c r="E24"/>
      <c r="F24"/>
      <c r="G24"/>
      <c r="H24" s="4" t="s">
        <v>266</v>
      </c>
      <c r="I24"/>
      <c r="J24"/>
      <c r="K24"/>
      <c r="L24"/>
      <c r="M24"/>
      <c r="AG24" s="4" t="s">
        <v>338</v>
      </c>
    </row>
    <row r="25" spans="2:164" x14ac:dyDescent="0.35">
      <c r="B25"/>
      <c r="C25"/>
      <c r="D25"/>
      <c r="E25"/>
      <c r="F25"/>
      <c r="G25"/>
      <c r="H25" s="4" t="s">
        <v>267</v>
      </c>
      <c r="I25"/>
      <c r="J25"/>
      <c r="K25"/>
      <c r="L25"/>
      <c r="M25"/>
    </row>
    <row r="26" spans="2:164" x14ac:dyDescent="0.35">
      <c r="B26"/>
      <c r="C26"/>
      <c r="D26"/>
      <c r="E26"/>
      <c r="F26"/>
      <c r="G26"/>
      <c r="H26" s="4" t="s">
        <v>1387</v>
      </c>
      <c r="I26"/>
      <c r="J26"/>
      <c r="K26"/>
      <c r="L26"/>
      <c r="M26"/>
    </row>
    <row r="27" spans="2:164" x14ac:dyDescent="0.35">
      <c r="B27"/>
      <c r="C27"/>
      <c r="D27"/>
      <c r="E27"/>
      <c r="F27"/>
      <c r="G27"/>
      <c r="H27"/>
      <c r="I27"/>
      <c r="J27"/>
      <c r="K27"/>
      <c r="L27"/>
      <c r="M27"/>
    </row>
    <row r="28" spans="2:164" x14ac:dyDescent="0.35">
      <c r="B28"/>
      <c r="C28"/>
      <c r="D28"/>
      <c r="E28"/>
      <c r="F28"/>
      <c r="G28"/>
      <c r="H28"/>
      <c r="I28"/>
      <c r="J28"/>
      <c r="K28"/>
      <c r="L28"/>
      <c r="M28"/>
    </row>
    <row r="29" spans="2:164" x14ac:dyDescent="0.35">
      <c r="B29"/>
      <c r="C29"/>
      <c r="D29"/>
      <c r="E29"/>
      <c r="F29"/>
      <c r="G29"/>
      <c r="H29"/>
      <c r="I29"/>
      <c r="J29"/>
      <c r="K29"/>
      <c r="L29"/>
      <c r="M29"/>
    </row>
    <row r="30" spans="2:164" x14ac:dyDescent="0.35">
      <c r="B30"/>
      <c r="C30"/>
      <c r="D30"/>
      <c r="E30"/>
      <c r="F30"/>
      <c r="G30"/>
      <c r="H30" s="4" t="s">
        <v>932</v>
      </c>
      <c r="I30"/>
      <c r="J30"/>
      <c r="K30"/>
      <c r="L30"/>
      <c r="M30"/>
    </row>
    <row r="31" spans="2:164" x14ac:dyDescent="0.35">
      <c r="B31"/>
      <c r="C31"/>
      <c r="D31"/>
      <c r="E31"/>
      <c r="F31"/>
      <c r="G31"/>
      <c r="H31" s="4" t="s">
        <v>857</v>
      </c>
      <c r="I31"/>
      <c r="J31"/>
      <c r="K31"/>
      <c r="L31"/>
      <c r="M31"/>
    </row>
    <row r="32" spans="2:164" x14ac:dyDescent="0.35">
      <c r="B32"/>
      <c r="C32"/>
      <c r="D32"/>
      <c r="E32"/>
      <c r="F32"/>
      <c r="G32"/>
      <c r="H32" s="4" t="s">
        <v>1473</v>
      </c>
      <c r="I32"/>
      <c r="J32"/>
      <c r="K32"/>
      <c r="L32"/>
      <c r="M32"/>
    </row>
    <row r="33" spans="2:13" x14ac:dyDescent="0.35">
      <c r="B33"/>
      <c r="C33"/>
      <c r="D33"/>
      <c r="E33"/>
      <c r="F33"/>
      <c r="G33"/>
      <c r="H33" s="4" t="s">
        <v>864</v>
      </c>
      <c r="I33"/>
      <c r="J33"/>
      <c r="K33"/>
      <c r="L33"/>
      <c r="M33"/>
    </row>
    <row r="34" spans="2:13" x14ac:dyDescent="0.35">
      <c r="B34"/>
      <c r="C34"/>
      <c r="D34"/>
      <c r="E34"/>
      <c r="F34"/>
      <c r="G34"/>
      <c r="H34" s="4" t="s">
        <v>910</v>
      </c>
      <c r="I34"/>
      <c r="J34"/>
      <c r="K34"/>
      <c r="L34"/>
      <c r="M34"/>
    </row>
    <row r="35" spans="2:13" x14ac:dyDescent="0.35">
      <c r="B35"/>
      <c r="C35"/>
      <c r="D35"/>
      <c r="E35"/>
      <c r="F35"/>
      <c r="G35"/>
      <c r="H35" s="4" t="s">
        <v>250</v>
      </c>
      <c r="I35"/>
      <c r="J35"/>
      <c r="K35"/>
      <c r="L35"/>
      <c r="M35"/>
    </row>
    <row r="36" spans="2:13" x14ac:dyDescent="0.35">
      <c r="B36"/>
      <c r="C36"/>
      <c r="D36"/>
      <c r="E36"/>
      <c r="F36"/>
      <c r="G36"/>
      <c r="H36" s="4" t="s">
        <v>1474</v>
      </c>
      <c r="I36"/>
      <c r="J36"/>
      <c r="K36"/>
      <c r="L36"/>
      <c r="M36"/>
    </row>
    <row r="37" spans="2:13" x14ac:dyDescent="0.35">
      <c r="B37"/>
      <c r="C37"/>
      <c r="D37"/>
      <c r="E37"/>
      <c r="F37"/>
      <c r="G37"/>
      <c r="H37" s="4" t="s">
        <v>251</v>
      </c>
      <c r="I37"/>
      <c r="J37"/>
      <c r="K37"/>
      <c r="L37"/>
      <c r="M37"/>
    </row>
    <row r="38" spans="2:13" x14ac:dyDescent="0.35">
      <c r="B38"/>
      <c r="C38"/>
      <c r="D38"/>
      <c r="E38"/>
      <c r="F38"/>
      <c r="G38"/>
      <c r="H38" s="4" t="s">
        <v>252</v>
      </c>
      <c r="I38"/>
      <c r="J38"/>
      <c r="K38"/>
      <c r="L38"/>
      <c r="M38"/>
    </row>
    <row r="39" spans="2:13" x14ac:dyDescent="0.35">
      <c r="B39"/>
      <c r="C39"/>
      <c r="D39"/>
      <c r="E39"/>
      <c r="F39"/>
      <c r="G39"/>
      <c r="H39" s="4" t="s">
        <v>253</v>
      </c>
      <c r="I39"/>
      <c r="J39"/>
      <c r="K39"/>
      <c r="L39"/>
      <c r="M39"/>
    </row>
    <row r="40" spans="2:13" x14ac:dyDescent="0.35">
      <c r="B40"/>
      <c r="C40"/>
      <c r="D40"/>
      <c r="E40"/>
      <c r="F40"/>
      <c r="G40"/>
      <c r="H40" s="4" t="s">
        <v>254</v>
      </c>
      <c r="I40"/>
      <c r="J40"/>
      <c r="K40"/>
      <c r="L40"/>
      <c r="M40"/>
    </row>
    <row r="41" spans="2:13" x14ac:dyDescent="0.35">
      <c r="B41"/>
      <c r="C41"/>
      <c r="D41"/>
      <c r="E41"/>
      <c r="F41"/>
      <c r="G41"/>
      <c r="H41" s="4" t="s">
        <v>255</v>
      </c>
      <c r="I41"/>
      <c r="J41"/>
      <c r="K41"/>
      <c r="L41"/>
      <c r="M41"/>
    </row>
    <row r="42" spans="2:13" x14ac:dyDescent="0.35">
      <c r="B42"/>
      <c r="C42"/>
      <c r="D42"/>
      <c r="E42"/>
      <c r="F42"/>
      <c r="G42"/>
      <c r="H42" s="4" t="s">
        <v>256</v>
      </c>
      <c r="I42"/>
      <c r="J42"/>
      <c r="K42"/>
      <c r="L42"/>
      <c r="M42"/>
    </row>
    <row r="43" spans="2:13" x14ac:dyDescent="0.35">
      <c r="B43"/>
      <c r="C43"/>
      <c r="D43"/>
      <c r="E43"/>
      <c r="F43"/>
      <c r="G43"/>
      <c r="H43" s="4" t="s">
        <v>257</v>
      </c>
      <c r="I43"/>
      <c r="J43"/>
      <c r="K43"/>
      <c r="L43"/>
      <c r="M43"/>
    </row>
    <row r="44" spans="2:13" x14ac:dyDescent="0.35">
      <c r="B44"/>
      <c r="C44"/>
      <c r="D44"/>
      <c r="E44"/>
      <c r="F44"/>
      <c r="G44"/>
      <c r="H44" s="4" t="s">
        <v>258</v>
      </c>
      <c r="I44"/>
      <c r="J44"/>
      <c r="K44"/>
      <c r="L44"/>
      <c r="M44"/>
    </row>
    <row r="45" spans="2:13" x14ac:dyDescent="0.35">
      <c r="B45"/>
      <c r="C45"/>
      <c r="D45"/>
      <c r="E45"/>
      <c r="F45"/>
      <c r="G45"/>
      <c r="H45" s="4" t="s">
        <v>259</v>
      </c>
      <c r="I45"/>
      <c r="J45"/>
      <c r="K45"/>
      <c r="L45"/>
      <c r="M45"/>
    </row>
    <row r="46" spans="2:13" x14ac:dyDescent="0.35">
      <c r="B46"/>
      <c r="C46"/>
      <c r="D46"/>
      <c r="E46"/>
      <c r="F46"/>
      <c r="G46"/>
      <c r="H46" s="4" t="s">
        <v>260</v>
      </c>
      <c r="I46"/>
      <c r="J46"/>
      <c r="K46"/>
      <c r="L46"/>
      <c r="M46"/>
    </row>
    <row r="47" spans="2:13" x14ac:dyDescent="0.35">
      <c r="B47"/>
      <c r="C47"/>
      <c r="D47"/>
      <c r="E47"/>
      <c r="F47"/>
      <c r="G47"/>
      <c r="H47" s="4" t="s">
        <v>261</v>
      </c>
      <c r="I47"/>
      <c r="J47"/>
      <c r="K47"/>
      <c r="L47"/>
      <c r="M47"/>
    </row>
    <row r="48" spans="2:13" x14ac:dyDescent="0.35">
      <c r="B48"/>
      <c r="C48"/>
      <c r="D48"/>
      <c r="E48"/>
      <c r="F48"/>
      <c r="G48"/>
      <c r="H48" s="4" t="s">
        <v>262</v>
      </c>
      <c r="I48"/>
      <c r="J48"/>
      <c r="K48"/>
      <c r="L48"/>
      <c r="M48"/>
    </row>
    <row r="49" spans="2:13" x14ac:dyDescent="0.35">
      <c r="B49"/>
      <c r="C49"/>
      <c r="D49"/>
      <c r="E49"/>
      <c r="F49"/>
      <c r="G49"/>
      <c r="H49" s="4" t="s">
        <v>263</v>
      </c>
      <c r="I49"/>
      <c r="J49"/>
      <c r="K49"/>
      <c r="L49"/>
      <c r="M49"/>
    </row>
    <row r="50" spans="2:13" x14ac:dyDescent="0.35">
      <c r="B50"/>
      <c r="C50"/>
      <c r="D50"/>
      <c r="E50"/>
      <c r="F50"/>
      <c r="G50"/>
      <c r="H50" s="4" t="s">
        <v>264</v>
      </c>
      <c r="I50"/>
      <c r="J50"/>
      <c r="K50"/>
      <c r="L50"/>
      <c r="M50"/>
    </row>
    <row r="51" spans="2:13" x14ac:dyDescent="0.35">
      <c r="B51"/>
      <c r="C51"/>
      <c r="D51"/>
      <c r="E51"/>
      <c r="F51"/>
      <c r="G51"/>
      <c r="H51" s="4" t="s">
        <v>265</v>
      </c>
      <c r="I51"/>
      <c r="J51"/>
      <c r="K51"/>
      <c r="L51"/>
      <c r="M51"/>
    </row>
    <row r="52" spans="2:13" x14ac:dyDescent="0.35">
      <c r="B52"/>
      <c r="C52"/>
      <c r="D52"/>
      <c r="E52"/>
      <c r="F52"/>
      <c r="G52"/>
      <c r="H52" s="4" t="s">
        <v>266</v>
      </c>
      <c r="I52"/>
      <c r="J52"/>
      <c r="K52"/>
      <c r="L52"/>
      <c r="M52"/>
    </row>
    <row r="53" spans="2:13" x14ac:dyDescent="0.35">
      <c r="B53"/>
      <c r="C53"/>
      <c r="D53"/>
      <c r="E53"/>
      <c r="F53"/>
      <c r="G53"/>
      <c r="H53" s="4" t="s">
        <v>267</v>
      </c>
      <c r="I53"/>
      <c r="J53"/>
      <c r="K53"/>
      <c r="L53"/>
      <c r="M53"/>
    </row>
    <row r="54" spans="2:13" x14ac:dyDescent="0.35">
      <c r="B54"/>
      <c r="C54"/>
      <c r="D54"/>
      <c r="E54"/>
      <c r="F54"/>
      <c r="G54"/>
      <c r="H54" s="4" t="s">
        <v>1475</v>
      </c>
      <c r="I54"/>
      <c r="J54"/>
      <c r="K54"/>
      <c r="L54"/>
      <c r="M54"/>
    </row>
    <row r="55" spans="2:13" x14ac:dyDescent="0.35">
      <c r="B55"/>
      <c r="C55"/>
      <c r="D55"/>
      <c r="E55"/>
      <c r="F55"/>
      <c r="G55"/>
      <c r="H55"/>
      <c r="I55"/>
      <c r="J55"/>
      <c r="K55"/>
      <c r="L55"/>
      <c r="M55"/>
    </row>
    <row r="56" spans="2:13" x14ac:dyDescent="0.35">
      <c r="B56"/>
      <c r="C56"/>
      <c r="D56"/>
      <c r="E56"/>
      <c r="F56"/>
      <c r="G56"/>
      <c r="I56"/>
      <c r="J56"/>
      <c r="K56"/>
      <c r="L56"/>
      <c r="M56"/>
    </row>
    <row r="57" spans="2:13" x14ac:dyDescent="0.35">
      <c r="B57"/>
      <c r="C57"/>
      <c r="D57"/>
      <c r="E57"/>
      <c r="F57"/>
      <c r="G57"/>
      <c r="I57"/>
      <c r="J57"/>
      <c r="K57"/>
      <c r="L57"/>
      <c r="M57"/>
    </row>
    <row r="58" spans="2:13" x14ac:dyDescent="0.35">
      <c r="B58"/>
      <c r="C58"/>
      <c r="D58"/>
      <c r="E58"/>
      <c r="F58"/>
      <c r="G58"/>
      <c r="I58"/>
      <c r="J58"/>
      <c r="K58"/>
      <c r="L58"/>
      <c r="M58"/>
    </row>
    <row r="59" spans="2:13" x14ac:dyDescent="0.35">
      <c r="B59"/>
      <c r="C59"/>
      <c r="D59"/>
      <c r="E59"/>
      <c r="F59"/>
      <c r="G59"/>
      <c r="I59"/>
      <c r="J59"/>
      <c r="K59"/>
      <c r="L59"/>
      <c r="M59"/>
    </row>
    <row r="60" spans="2:13" x14ac:dyDescent="0.35">
      <c r="B60"/>
      <c r="C60"/>
      <c r="D60"/>
      <c r="E60"/>
      <c r="F60"/>
      <c r="G60"/>
      <c r="I60"/>
      <c r="J60"/>
      <c r="K60"/>
      <c r="L60"/>
      <c r="M60"/>
    </row>
    <row r="61" spans="2:13" x14ac:dyDescent="0.35">
      <c r="B61"/>
      <c r="C61"/>
      <c r="D61"/>
      <c r="E61"/>
      <c r="F61"/>
      <c r="G61"/>
      <c r="H61"/>
      <c r="I61"/>
      <c r="J61"/>
      <c r="K61"/>
      <c r="L61"/>
      <c r="M61"/>
    </row>
    <row r="62" spans="2:13" x14ac:dyDescent="0.35">
      <c r="B62"/>
      <c r="C62"/>
      <c r="D62"/>
      <c r="E62"/>
      <c r="F62"/>
      <c r="G62"/>
      <c r="H62"/>
      <c r="I62"/>
      <c r="J62"/>
      <c r="K62"/>
      <c r="L62"/>
      <c r="M62"/>
    </row>
    <row r="63" spans="2:13" x14ac:dyDescent="0.35">
      <c r="B63"/>
      <c r="C63"/>
      <c r="D63"/>
      <c r="E63"/>
      <c r="F63"/>
      <c r="G63"/>
      <c r="H63"/>
      <c r="I63"/>
      <c r="J63"/>
      <c r="K63"/>
      <c r="L63"/>
      <c r="M63"/>
    </row>
    <row r="64" spans="2:13" x14ac:dyDescent="0.35">
      <c r="B64"/>
      <c r="C64"/>
      <c r="D64"/>
      <c r="E64"/>
      <c r="F64"/>
      <c r="G64"/>
      <c r="H64"/>
      <c r="I64"/>
      <c r="J64"/>
      <c r="K64"/>
      <c r="L64"/>
      <c r="M64"/>
    </row>
    <row r="65" spans="2:13" x14ac:dyDescent="0.35">
      <c r="B65"/>
      <c r="C65"/>
      <c r="D65"/>
      <c r="E65"/>
      <c r="F65"/>
      <c r="G65"/>
      <c r="H65"/>
      <c r="I65"/>
      <c r="J65"/>
      <c r="K65"/>
      <c r="L65"/>
      <c r="M65"/>
    </row>
    <row r="66" spans="2:13" x14ac:dyDescent="0.35">
      <c r="B66"/>
      <c r="C66"/>
      <c r="D66"/>
      <c r="E66"/>
      <c r="F66"/>
      <c r="G66"/>
      <c r="H66"/>
      <c r="I66"/>
      <c r="J66"/>
      <c r="K66"/>
      <c r="L66"/>
      <c r="M66"/>
    </row>
    <row r="67" spans="2:13" x14ac:dyDescent="0.35">
      <c r="B67"/>
      <c r="C67"/>
      <c r="D67"/>
      <c r="E67"/>
      <c r="F67"/>
      <c r="G67"/>
      <c r="H67"/>
      <c r="I67"/>
      <c r="J67"/>
      <c r="K67"/>
      <c r="L67"/>
      <c r="M67"/>
    </row>
    <row r="68" spans="2:13" x14ac:dyDescent="0.35">
      <c r="B68"/>
      <c r="C68"/>
      <c r="D68"/>
      <c r="E68"/>
      <c r="F68"/>
      <c r="G68"/>
      <c r="H68"/>
      <c r="I68"/>
      <c r="J68"/>
      <c r="K68"/>
      <c r="L68"/>
      <c r="M68"/>
    </row>
    <row r="69" spans="2:13" x14ac:dyDescent="0.35">
      <c r="B69"/>
      <c r="C69"/>
      <c r="D69"/>
      <c r="E69"/>
      <c r="F69"/>
      <c r="G69"/>
      <c r="H69"/>
      <c r="I69"/>
      <c r="J69"/>
      <c r="K69"/>
      <c r="L69"/>
      <c r="M69"/>
    </row>
    <row r="70" spans="2:13" x14ac:dyDescent="0.35">
      <c r="B70"/>
      <c r="C70"/>
      <c r="D70"/>
      <c r="E70"/>
      <c r="F70"/>
      <c r="G70"/>
      <c r="H70"/>
      <c r="I70"/>
      <c r="J70"/>
      <c r="K70"/>
      <c r="L70"/>
      <c r="M70"/>
    </row>
    <row r="71" spans="2:13" x14ac:dyDescent="0.35">
      <c r="B71"/>
      <c r="C71"/>
      <c r="D71"/>
      <c r="E71"/>
      <c r="F71"/>
      <c r="G71"/>
      <c r="H71"/>
      <c r="I71"/>
      <c r="J71"/>
      <c r="K71"/>
      <c r="L71"/>
      <c r="M71"/>
    </row>
    <row r="72" spans="2:13" x14ac:dyDescent="0.35">
      <c r="B72"/>
      <c r="C72"/>
      <c r="D72"/>
      <c r="E72"/>
      <c r="F72"/>
      <c r="G72"/>
      <c r="H72"/>
      <c r="I72"/>
      <c r="J72"/>
      <c r="K72"/>
      <c r="L72"/>
      <c r="M72"/>
    </row>
    <row r="73" spans="2:13" x14ac:dyDescent="0.35">
      <c r="B73"/>
      <c r="C73"/>
      <c r="D73"/>
      <c r="E73"/>
      <c r="F73"/>
      <c r="G73"/>
      <c r="H73"/>
      <c r="I73"/>
      <c r="J73"/>
      <c r="K73"/>
      <c r="L73"/>
      <c r="M73"/>
    </row>
    <row r="74" spans="2:13" x14ac:dyDescent="0.35">
      <c r="B74"/>
      <c r="C74"/>
      <c r="D74"/>
      <c r="E74"/>
      <c r="F74"/>
      <c r="G74"/>
      <c r="H74"/>
      <c r="I74"/>
      <c r="J74"/>
      <c r="K74"/>
      <c r="L74"/>
      <c r="M74"/>
    </row>
    <row r="75" spans="2:13" x14ac:dyDescent="0.35">
      <c r="B75"/>
      <c r="C75"/>
      <c r="D75"/>
      <c r="E75"/>
      <c r="F75"/>
      <c r="G75"/>
      <c r="H75"/>
      <c r="I75"/>
      <c r="J75"/>
      <c r="K75"/>
      <c r="L75"/>
      <c r="M75"/>
    </row>
    <row r="76" spans="2:13" x14ac:dyDescent="0.35">
      <c r="B76"/>
      <c r="C76"/>
      <c r="D76"/>
      <c r="E76"/>
      <c r="F76"/>
      <c r="G76"/>
      <c r="H76"/>
      <c r="I76"/>
      <c r="J76"/>
      <c r="K76"/>
      <c r="L76"/>
      <c r="M76"/>
    </row>
    <row r="77" spans="2:13" x14ac:dyDescent="0.35">
      <c r="B77"/>
      <c r="C77"/>
      <c r="D77"/>
      <c r="E77"/>
      <c r="F77"/>
      <c r="G77"/>
      <c r="H77"/>
      <c r="I77"/>
      <c r="J77"/>
      <c r="K77"/>
      <c r="L77"/>
      <c r="M77"/>
    </row>
    <row r="78" spans="2:13" x14ac:dyDescent="0.35">
      <c r="B78"/>
      <c r="C78"/>
      <c r="D78"/>
      <c r="E78"/>
      <c r="F78"/>
      <c r="G78"/>
      <c r="H78"/>
      <c r="I78"/>
      <c r="J78"/>
      <c r="K78"/>
      <c r="L78"/>
      <c r="M78"/>
    </row>
    <row r="79" spans="2:13" x14ac:dyDescent="0.35">
      <c r="B79"/>
      <c r="C79"/>
      <c r="D79"/>
      <c r="E79"/>
      <c r="F79"/>
      <c r="G79"/>
      <c r="H79"/>
      <c r="I79"/>
      <c r="J79"/>
      <c r="K79"/>
      <c r="L79"/>
      <c r="M79"/>
    </row>
    <row r="80" spans="2:13" x14ac:dyDescent="0.35">
      <c r="B80"/>
      <c r="C80"/>
      <c r="D80"/>
      <c r="E80"/>
      <c r="F80"/>
      <c r="G80"/>
      <c r="H80"/>
      <c r="I80"/>
      <c r="J80"/>
      <c r="K80"/>
      <c r="L80"/>
      <c r="M80"/>
    </row>
    <row r="81" spans="2:13" x14ac:dyDescent="0.35">
      <c r="B81"/>
      <c r="C81"/>
      <c r="D81"/>
      <c r="E81"/>
      <c r="F81"/>
      <c r="G81"/>
      <c r="H81"/>
      <c r="I81"/>
      <c r="J81"/>
      <c r="K81"/>
      <c r="L81"/>
      <c r="M81"/>
    </row>
    <row r="82" spans="2:13" x14ac:dyDescent="0.35">
      <c r="B82"/>
      <c r="C82"/>
      <c r="D82"/>
      <c r="E82"/>
      <c r="F82"/>
      <c r="G82"/>
      <c r="H82"/>
      <c r="I82"/>
      <c r="J82"/>
      <c r="K82"/>
      <c r="L82"/>
      <c r="M82"/>
    </row>
    <row r="83" spans="2:13" x14ac:dyDescent="0.35">
      <c r="B83"/>
      <c r="C83"/>
      <c r="D83"/>
      <c r="E83"/>
      <c r="F83"/>
      <c r="G83"/>
      <c r="H83"/>
      <c r="I83"/>
      <c r="J83"/>
      <c r="K83"/>
      <c r="L83"/>
      <c r="M83"/>
    </row>
    <row r="84" spans="2:13" x14ac:dyDescent="0.35">
      <c r="B84"/>
      <c r="C84"/>
      <c r="D84"/>
      <c r="E84"/>
      <c r="F84"/>
      <c r="G84"/>
      <c r="H84"/>
      <c r="I84"/>
      <c r="J84"/>
      <c r="K84"/>
      <c r="L84"/>
      <c r="M84"/>
    </row>
    <row r="85" spans="2:13" x14ac:dyDescent="0.35">
      <c r="B85"/>
      <c r="C85"/>
      <c r="D85"/>
      <c r="E85"/>
      <c r="F85"/>
      <c r="G85"/>
      <c r="H85"/>
      <c r="I85"/>
      <c r="J85"/>
      <c r="K85"/>
      <c r="L85"/>
      <c r="M85"/>
    </row>
    <row r="86" spans="2:13" x14ac:dyDescent="0.35">
      <c r="B86"/>
      <c r="C86"/>
      <c r="D86"/>
      <c r="E86"/>
      <c r="F86"/>
      <c r="G86"/>
      <c r="H86"/>
      <c r="I86"/>
      <c r="J86"/>
      <c r="K86"/>
      <c r="L86"/>
      <c r="M86"/>
    </row>
    <row r="87" spans="2:13" x14ac:dyDescent="0.35">
      <c r="B87"/>
      <c r="C87"/>
      <c r="D87"/>
      <c r="E87"/>
      <c r="F87"/>
      <c r="G87"/>
      <c r="H87"/>
      <c r="I87"/>
      <c r="J87"/>
      <c r="K87"/>
      <c r="L87"/>
      <c r="M87"/>
    </row>
    <row r="88" spans="2:13" x14ac:dyDescent="0.35">
      <c r="B88"/>
      <c r="C88"/>
      <c r="D88"/>
      <c r="E88"/>
      <c r="F88"/>
      <c r="G88"/>
      <c r="H88"/>
      <c r="I88"/>
      <c r="J88"/>
      <c r="K88"/>
      <c r="L88"/>
      <c r="M88"/>
    </row>
    <row r="89" spans="2:13" x14ac:dyDescent="0.35">
      <c r="B89"/>
      <c r="C89"/>
      <c r="D89"/>
      <c r="E89"/>
      <c r="F89"/>
      <c r="G89"/>
      <c r="H89"/>
      <c r="I89"/>
      <c r="J89"/>
      <c r="K89"/>
      <c r="L89"/>
      <c r="M89"/>
    </row>
    <row r="90" spans="2:13" x14ac:dyDescent="0.35">
      <c r="B90"/>
      <c r="C90"/>
      <c r="D90"/>
      <c r="E90"/>
      <c r="F90"/>
      <c r="G90"/>
      <c r="H90"/>
      <c r="I90"/>
      <c r="J90"/>
      <c r="K90"/>
      <c r="L90"/>
      <c r="M90"/>
    </row>
    <row r="91" spans="2:13" x14ac:dyDescent="0.35">
      <c r="B91"/>
      <c r="C91"/>
      <c r="D91"/>
      <c r="E91"/>
      <c r="F91"/>
      <c r="G91"/>
      <c r="H91"/>
      <c r="I91"/>
      <c r="J91"/>
      <c r="K91"/>
      <c r="L91"/>
      <c r="M91"/>
    </row>
    <row r="92" spans="2:13" x14ac:dyDescent="0.35">
      <c r="B92"/>
      <c r="C92"/>
      <c r="D92"/>
      <c r="E92"/>
      <c r="F92"/>
      <c r="G92"/>
      <c r="H92"/>
      <c r="I92"/>
      <c r="J92"/>
      <c r="K92"/>
      <c r="L92"/>
      <c r="M92"/>
    </row>
    <row r="93" spans="2:13" x14ac:dyDescent="0.35">
      <c r="B93"/>
      <c r="C93"/>
      <c r="D93"/>
      <c r="E93"/>
      <c r="F93"/>
      <c r="G93"/>
      <c r="H93"/>
      <c r="I93"/>
      <c r="J93"/>
      <c r="K93"/>
      <c r="L93"/>
      <c r="M93"/>
    </row>
    <row r="94" spans="2:13" x14ac:dyDescent="0.35">
      <c r="B94"/>
      <c r="C94"/>
      <c r="D94"/>
      <c r="E94"/>
      <c r="F94"/>
      <c r="G94"/>
      <c r="H94"/>
      <c r="I94"/>
      <c r="J94"/>
      <c r="K94"/>
      <c r="L94"/>
      <c r="M94"/>
    </row>
    <row r="95" spans="2:13" x14ac:dyDescent="0.35">
      <c r="B95"/>
      <c r="C95"/>
      <c r="D95"/>
      <c r="E95"/>
      <c r="F95"/>
      <c r="G95"/>
      <c r="H95"/>
      <c r="I95"/>
      <c r="J95"/>
      <c r="K95"/>
      <c r="L95"/>
      <c r="M95"/>
    </row>
    <row r="96" spans="2:13" x14ac:dyDescent="0.35">
      <c r="B96"/>
      <c r="C96"/>
      <c r="D96"/>
      <c r="E96"/>
      <c r="F96"/>
      <c r="G96"/>
      <c r="H96"/>
      <c r="I96"/>
      <c r="J96"/>
      <c r="K96"/>
      <c r="L96"/>
      <c r="M96"/>
    </row>
    <row r="97" spans="2:13" x14ac:dyDescent="0.35">
      <c r="B97"/>
      <c r="C97"/>
      <c r="D97"/>
      <c r="E97"/>
      <c r="F97"/>
      <c r="G97"/>
      <c r="H97"/>
      <c r="I97"/>
      <c r="J97"/>
      <c r="K97"/>
      <c r="L97"/>
      <c r="M97"/>
    </row>
    <row r="98" spans="2:13" x14ac:dyDescent="0.35">
      <c r="B98"/>
      <c r="C98"/>
      <c r="D98"/>
      <c r="E98"/>
      <c r="F98"/>
      <c r="G98"/>
      <c r="H98"/>
      <c r="I98"/>
      <c r="J98"/>
      <c r="K98"/>
      <c r="L98"/>
      <c r="M98"/>
    </row>
    <row r="99" spans="2:13" x14ac:dyDescent="0.35">
      <c r="B99"/>
      <c r="C99"/>
      <c r="D99"/>
      <c r="E99"/>
      <c r="F99"/>
      <c r="G99"/>
      <c r="H99"/>
      <c r="I99"/>
      <c r="J99"/>
      <c r="K99"/>
      <c r="L99"/>
      <c r="M99"/>
    </row>
    <row r="100" spans="2:13" x14ac:dyDescent="0.35">
      <c r="B100"/>
      <c r="C100"/>
      <c r="D100"/>
      <c r="E100"/>
      <c r="F100"/>
      <c r="G100"/>
      <c r="H100"/>
      <c r="I100"/>
      <c r="J100"/>
      <c r="K100"/>
      <c r="L100"/>
      <c r="M100"/>
    </row>
    <row r="101" spans="2:13" x14ac:dyDescent="0.35">
      <c r="B101"/>
      <c r="C101"/>
      <c r="D101"/>
      <c r="E101"/>
      <c r="F101"/>
      <c r="G101"/>
      <c r="H101"/>
      <c r="I101"/>
      <c r="J101"/>
      <c r="K101"/>
      <c r="L101"/>
      <c r="M101"/>
    </row>
    <row r="102" spans="2:13" x14ac:dyDescent="0.35">
      <c r="B102"/>
      <c r="C102"/>
      <c r="D102"/>
      <c r="E102"/>
      <c r="F102"/>
      <c r="G102"/>
      <c r="H102"/>
      <c r="I102"/>
      <c r="J102"/>
      <c r="K102"/>
      <c r="L102"/>
      <c r="M102"/>
    </row>
    <row r="103" spans="2:13" x14ac:dyDescent="0.35">
      <c r="B103"/>
      <c r="C103"/>
      <c r="D103"/>
      <c r="E103"/>
      <c r="F103"/>
      <c r="G103"/>
      <c r="H103"/>
      <c r="I103"/>
      <c r="J103"/>
      <c r="K103"/>
      <c r="L103"/>
      <c r="M103"/>
    </row>
    <row r="104" spans="2:13" x14ac:dyDescent="0.35">
      <c r="B104"/>
      <c r="C104"/>
      <c r="D104"/>
      <c r="E104"/>
      <c r="F104"/>
      <c r="G104"/>
      <c r="H104"/>
      <c r="I104"/>
      <c r="J104"/>
      <c r="K104"/>
      <c r="L104"/>
      <c r="M104"/>
    </row>
    <row r="105" spans="2:13" x14ac:dyDescent="0.35">
      <c r="B105"/>
      <c r="C105"/>
      <c r="D105"/>
      <c r="E105"/>
      <c r="F105"/>
      <c r="G105"/>
      <c r="H105"/>
      <c r="I105"/>
      <c r="J105"/>
      <c r="K105"/>
      <c r="L105"/>
      <c r="M105"/>
    </row>
    <row r="106" spans="2:13" x14ac:dyDescent="0.35">
      <c r="B106"/>
      <c r="C106"/>
      <c r="D106"/>
      <c r="E106"/>
      <c r="F106"/>
      <c r="G106"/>
      <c r="H106"/>
      <c r="I106"/>
      <c r="J106"/>
      <c r="K106"/>
      <c r="L106"/>
      <c r="M106"/>
    </row>
    <row r="107" spans="2:13" x14ac:dyDescent="0.35">
      <c r="B107"/>
      <c r="C107"/>
      <c r="D107"/>
      <c r="E107"/>
      <c r="F107"/>
      <c r="G107"/>
      <c r="H107"/>
      <c r="I107"/>
      <c r="J107"/>
      <c r="K107"/>
      <c r="L107"/>
      <c r="M107"/>
    </row>
    <row r="108" spans="2:13" x14ac:dyDescent="0.35">
      <c r="B108"/>
      <c r="C108"/>
      <c r="D108"/>
      <c r="E108"/>
      <c r="F108"/>
      <c r="G108"/>
      <c r="H108"/>
      <c r="I108"/>
      <c r="J108"/>
      <c r="K108"/>
      <c r="L108"/>
      <c r="M108"/>
    </row>
    <row r="109" spans="2:13" x14ac:dyDescent="0.35">
      <c r="B109"/>
      <c r="C109"/>
      <c r="D109"/>
      <c r="E109"/>
      <c r="F109"/>
      <c r="G109"/>
      <c r="H109"/>
      <c r="I109"/>
      <c r="J109"/>
      <c r="K109"/>
      <c r="L109"/>
      <c r="M109"/>
    </row>
    <row r="110" spans="2:13" x14ac:dyDescent="0.35">
      <c r="B110"/>
      <c r="C110"/>
      <c r="D110"/>
      <c r="E110"/>
      <c r="F110"/>
      <c r="G110"/>
      <c r="H110"/>
      <c r="I110"/>
      <c r="J110"/>
      <c r="K110"/>
      <c r="L110"/>
      <c r="M110"/>
    </row>
    <row r="111" spans="2:13" x14ac:dyDescent="0.35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 x14ac:dyDescent="0.35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 x14ac:dyDescent="0.35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 x14ac:dyDescent="0.35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 x14ac:dyDescent="0.35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 x14ac:dyDescent="0.35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 x14ac:dyDescent="0.35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 x14ac:dyDescent="0.35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 x14ac:dyDescent="0.35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 x14ac:dyDescent="0.35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 x14ac:dyDescent="0.35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 x14ac:dyDescent="0.35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 x14ac:dyDescent="0.35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 x14ac:dyDescent="0.35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 x14ac:dyDescent="0.35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 x14ac:dyDescent="0.35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 x14ac:dyDescent="0.35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 x14ac:dyDescent="0.35">
      <c r="B128"/>
      <c r="C128"/>
      <c r="D128"/>
      <c r="E128"/>
      <c r="F128"/>
      <c r="G128"/>
      <c r="H128"/>
      <c r="I128"/>
      <c r="J128"/>
      <c r="K128"/>
      <c r="L128"/>
      <c r="M128"/>
    </row>
    <row r="129" spans="3:9" x14ac:dyDescent="0.35">
      <c r="C129"/>
      <c r="D129"/>
      <c r="E129"/>
      <c r="H129"/>
      <c r="I129"/>
    </row>
    <row r="130" spans="3:9" x14ac:dyDescent="0.35">
      <c r="C130"/>
      <c r="D130"/>
      <c r="E130"/>
      <c r="H130"/>
      <c r="I130"/>
    </row>
    <row r="131" spans="3:9" x14ac:dyDescent="0.35">
      <c r="C131"/>
      <c r="D131"/>
      <c r="E131"/>
      <c r="H131"/>
      <c r="I131"/>
    </row>
    <row r="132" spans="3:9" x14ac:dyDescent="0.35">
      <c r="C132"/>
      <c r="D132"/>
      <c r="E132"/>
      <c r="H132"/>
      <c r="I132"/>
    </row>
    <row r="133" spans="3:9" x14ac:dyDescent="0.35">
      <c r="C133"/>
      <c r="D133"/>
      <c r="E133"/>
      <c r="H133"/>
      <c r="I133"/>
    </row>
    <row r="134" spans="3:9" x14ac:dyDescent="0.35">
      <c r="C134"/>
      <c r="D134"/>
      <c r="E134"/>
      <c r="H134"/>
      <c r="I134"/>
    </row>
    <row r="135" spans="3:9" x14ac:dyDescent="0.35">
      <c r="C135"/>
      <c r="D135"/>
      <c r="E135"/>
      <c r="H135"/>
      <c r="I135"/>
    </row>
    <row r="136" spans="3:9" x14ac:dyDescent="0.35">
      <c r="C136"/>
      <c r="D136"/>
      <c r="E136"/>
      <c r="H136"/>
      <c r="I136"/>
    </row>
    <row r="137" spans="3:9" x14ac:dyDescent="0.35">
      <c r="C137"/>
      <c r="D137"/>
      <c r="E137"/>
      <c r="H137"/>
      <c r="I137"/>
    </row>
    <row r="138" spans="3:9" x14ac:dyDescent="0.35">
      <c r="C138"/>
      <c r="D138"/>
      <c r="E138"/>
      <c r="H138"/>
      <c r="I138"/>
    </row>
    <row r="139" spans="3:9" x14ac:dyDescent="0.35">
      <c r="C139"/>
      <c r="D139"/>
      <c r="E139"/>
      <c r="H139"/>
      <c r="I139"/>
    </row>
    <row r="140" spans="3:9" x14ac:dyDescent="0.35">
      <c r="C140"/>
      <c r="D140"/>
      <c r="E140"/>
      <c r="H140"/>
      <c r="I140"/>
    </row>
    <row r="141" spans="3:9" x14ac:dyDescent="0.35">
      <c r="C141"/>
      <c r="D141"/>
      <c r="E141"/>
      <c r="H141"/>
      <c r="I141"/>
    </row>
    <row r="142" spans="3:9" x14ac:dyDescent="0.35">
      <c r="C142"/>
      <c r="D142"/>
      <c r="E142"/>
      <c r="H142"/>
      <c r="I142"/>
    </row>
    <row r="143" spans="3:9" x14ac:dyDescent="0.35">
      <c r="C143"/>
      <c r="D143"/>
      <c r="E143"/>
      <c r="I143"/>
    </row>
    <row r="144" spans="3:9" x14ac:dyDescent="0.35">
      <c r="C144"/>
      <c r="D144"/>
      <c r="E144"/>
      <c r="I144"/>
    </row>
    <row r="145" spans="3:9" x14ac:dyDescent="0.35">
      <c r="C145"/>
      <c r="D145"/>
      <c r="E145"/>
      <c r="I145"/>
    </row>
    <row r="146" spans="3:9" x14ac:dyDescent="0.35">
      <c r="C146"/>
      <c r="D146"/>
      <c r="E146"/>
      <c r="I146"/>
    </row>
    <row r="147" spans="3:9" x14ac:dyDescent="0.35">
      <c r="C147"/>
      <c r="D147"/>
      <c r="E147"/>
      <c r="I147"/>
    </row>
    <row r="148" spans="3:9" x14ac:dyDescent="0.35">
      <c r="C148"/>
      <c r="D148"/>
      <c r="E148"/>
    </row>
    <row r="149" spans="3:9" x14ac:dyDescent="0.35">
      <c r="C149"/>
      <c r="D149"/>
      <c r="E149"/>
    </row>
    <row r="150" spans="3:9" x14ac:dyDescent="0.35">
      <c r="C150"/>
      <c r="D150"/>
      <c r="E150"/>
    </row>
    <row r="151" spans="3:9" x14ac:dyDescent="0.35">
      <c r="C151"/>
      <c r="D151"/>
      <c r="E151"/>
    </row>
    <row r="152" spans="3:9" x14ac:dyDescent="0.35">
      <c r="C152"/>
      <c r="D152"/>
      <c r="E152"/>
    </row>
    <row r="153" spans="3:9" x14ac:dyDescent="0.35">
      <c r="C153"/>
      <c r="D153"/>
      <c r="E153"/>
    </row>
    <row r="154" spans="3:9" x14ac:dyDescent="0.35">
      <c r="C154"/>
      <c r="D154"/>
      <c r="E154"/>
    </row>
    <row r="155" spans="3:9" x14ac:dyDescent="0.35">
      <c r="C155"/>
      <c r="D155"/>
      <c r="E155"/>
    </row>
    <row r="156" spans="3:9" x14ac:dyDescent="0.35">
      <c r="C156"/>
      <c r="D156"/>
      <c r="E156"/>
    </row>
    <row r="157" spans="3:9" x14ac:dyDescent="0.35">
      <c r="C157"/>
      <c r="D157"/>
      <c r="E157"/>
    </row>
    <row r="158" spans="3:9" x14ac:dyDescent="0.35">
      <c r="C158"/>
      <c r="D158"/>
      <c r="E158"/>
    </row>
    <row r="159" spans="3:9" x14ac:dyDescent="0.35">
      <c r="C159"/>
      <c r="D159"/>
      <c r="E159"/>
    </row>
    <row r="160" spans="3:9" x14ac:dyDescent="0.35">
      <c r="C160"/>
      <c r="D160"/>
      <c r="E160"/>
    </row>
    <row r="161" spans="3:5" x14ac:dyDescent="0.35">
      <c r="C161"/>
      <c r="D161"/>
      <c r="E161"/>
    </row>
    <row r="162" spans="3:5" x14ac:dyDescent="0.35">
      <c r="C162"/>
      <c r="D162"/>
      <c r="E162"/>
    </row>
    <row r="163" spans="3:5" x14ac:dyDescent="0.35">
      <c r="C163"/>
      <c r="D163"/>
      <c r="E163"/>
    </row>
    <row r="164" spans="3:5" x14ac:dyDescent="0.35">
      <c r="C164"/>
      <c r="D164"/>
      <c r="E164"/>
    </row>
    <row r="165" spans="3:5" x14ac:dyDescent="0.35">
      <c r="C165"/>
      <c r="D165"/>
      <c r="E165"/>
    </row>
    <row r="166" spans="3:5" x14ac:dyDescent="0.35">
      <c r="C166"/>
      <c r="D166"/>
      <c r="E166"/>
    </row>
    <row r="167" spans="3:5" x14ac:dyDescent="0.35">
      <c r="C167"/>
      <c r="D167"/>
      <c r="E167"/>
    </row>
    <row r="168" spans="3:5" x14ac:dyDescent="0.35">
      <c r="C168"/>
      <c r="D168"/>
      <c r="E168"/>
    </row>
    <row r="169" spans="3:5" x14ac:dyDescent="0.35">
      <c r="C169"/>
      <c r="D169"/>
      <c r="E169"/>
    </row>
    <row r="170" spans="3:5" x14ac:dyDescent="0.35">
      <c r="C170"/>
      <c r="D170"/>
      <c r="E170"/>
    </row>
    <row r="171" spans="3:5" x14ac:dyDescent="0.35">
      <c r="C171"/>
      <c r="D171"/>
      <c r="E171"/>
    </row>
    <row r="172" spans="3:5" x14ac:dyDescent="0.35">
      <c r="C172"/>
      <c r="D172"/>
      <c r="E172"/>
    </row>
    <row r="173" spans="3:5" x14ac:dyDescent="0.35">
      <c r="C173"/>
      <c r="D173"/>
      <c r="E173"/>
    </row>
    <row r="174" spans="3:5" x14ac:dyDescent="0.35">
      <c r="C174"/>
      <c r="D174"/>
      <c r="E174"/>
    </row>
    <row r="175" spans="3:5" x14ac:dyDescent="0.35">
      <c r="C175"/>
      <c r="D175"/>
      <c r="E175"/>
    </row>
    <row r="176" spans="3:5" x14ac:dyDescent="0.35">
      <c r="C176"/>
      <c r="D176"/>
      <c r="E176"/>
    </row>
    <row r="177" spans="3:5" x14ac:dyDescent="0.35">
      <c r="C177"/>
      <c r="D177"/>
      <c r="E177"/>
    </row>
    <row r="178" spans="3:5" x14ac:dyDescent="0.35">
      <c r="C178"/>
      <c r="D178"/>
      <c r="E178"/>
    </row>
    <row r="179" spans="3:5" x14ac:dyDescent="0.35">
      <c r="C179"/>
      <c r="D179"/>
      <c r="E179"/>
    </row>
    <row r="180" spans="3:5" x14ac:dyDescent="0.35">
      <c r="C180"/>
      <c r="D180"/>
      <c r="E180"/>
    </row>
    <row r="181" spans="3:5" x14ac:dyDescent="0.35">
      <c r="C181"/>
      <c r="D181"/>
      <c r="E181"/>
    </row>
    <row r="182" spans="3:5" x14ac:dyDescent="0.35">
      <c r="C182"/>
      <c r="D182"/>
      <c r="E182"/>
    </row>
    <row r="183" spans="3:5" x14ac:dyDescent="0.35">
      <c r="C183"/>
      <c r="D183"/>
      <c r="E183"/>
    </row>
    <row r="184" spans="3:5" x14ac:dyDescent="0.35">
      <c r="C184"/>
      <c r="D184"/>
      <c r="E184"/>
    </row>
    <row r="185" spans="3:5" x14ac:dyDescent="0.35">
      <c r="C185"/>
      <c r="D185"/>
      <c r="E185"/>
    </row>
    <row r="186" spans="3:5" x14ac:dyDescent="0.35">
      <c r="C186"/>
      <c r="D186"/>
      <c r="E186"/>
    </row>
    <row r="187" spans="3:5" x14ac:dyDescent="0.35">
      <c r="C187"/>
      <c r="D187"/>
      <c r="E187"/>
    </row>
    <row r="188" spans="3:5" x14ac:dyDescent="0.35">
      <c r="C188"/>
      <c r="D188"/>
      <c r="E188"/>
    </row>
    <row r="189" spans="3:5" x14ac:dyDescent="0.35">
      <c r="C189"/>
      <c r="D189"/>
      <c r="E189"/>
    </row>
    <row r="190" spans="3:5" x14ac:dyDescent="0.35">
      <c r="C190"/>
      <c r="D190"/>
      <c r="E190"/>
    </row>
    <row r="191" spans="3:5" x14ac:dyDescent="0.35">
      <c r="C191"/>
      <c r="D191"/>
      <c r="E191"/>
    </row>
    <row r="192" spans="3:5" x14ac:dyDescent="0.35">
      <c r="C192"/>
      <c r="D192"/>
      <c r="E192"/>
    </row>
    <row r="193" spans="3:5" x14ac:dyDescent="0.35">
      <c r="C193"/>
      <c r="D193"/>
      <c r="E193"/>
    </row>
    <row r="194" spans="3:5" x14ac:dyDescent="0.35">
      <c r="C194"/>
      <c r="D194"/>
      <c r="E194"/>
    </row>
    <row r="195" spans="3:5" x14ac:dyDescent="0.35">
      <c r="C195"/>
      <c r="D195"/>
      <c r="E195"/>
    </row>
    <row r="196" spans="3:5" x14ac:dyDescent="0.35">
      <c r="C196"/>
      <c r="D196"/>
      <c r="E196"/>
    </row>
    <row r="197" spans="3:5" x14ac:dyDescent="0.35">
      <c r="C197"/>
      <c r="D197"/>
      <c r="E197"/>
    </row>
    <row r="198" spans="3:5" x14ac:dyDescent="0.35">
      <c r="C198"/>
      <c r="D198"/>
      <c r="E198"/>
    </row>
    <row r="199" spans="3:5" x14ac:dyDescent="0.35">
      <c r="C199"/>
      <c r="D199"/>
      <c r="E199"/>
    </row>
    <row r="200" spans="3:5" x14ac:dyDescent="0.35">
      <c r="C200"/>
      <c r="D200"/>
      <c r="E200"/>
    </row>
    <row r="201" spans="3:5" x14ac:dyDescent="0.35">
      <c r="C201"/>
      <c r="D201"/>
      <c r="E201"/>
    </row>
    <row r="202" spans="3:5" x14ac:dyDescent="0.35">
      <c r="C202"/>
      <c r="D202"/>
      <c r="E202"/>
    </row>
    <row r="203" spans="3:5" x14ac:dyDescent="0.35">
      <c r="C203"/>
      <c r="D203"/>
      <c r="E203"/>
    </row>
    <row r="204" spans="3:5" x14ac:dyDescent="0.35">
      <c r="C204"/>
      <c r="D204"/>
      <c r="E204"/>
    </row>
    <row r="205" spans="3:5" x14ac:dyDescent="0.35">
      <c r="C205"/>
      <c r="D205"/>
      <c r="E205"/>
    </row>
    <row r="206" spans="3:5" x14ac:dyDescent="0.35">
      <c r="C206"/>
      <c r="D206"/>
      <c r="E206"/>
    </row>
    <row r="207" spans="3:5" x14ac:dyDescent="0.35">
      <c r="C207"/>
      <c r="D207"/>
      <c r="E207"/>
    </row>
    <row r="208" spans="3:5" x14ac:dyDescent="0.35">
      <c r="C208"/>
      <c r="D208"/>
      <c r="E208"/>
    </row>
    <row r="209" spans="3:5" x14ac:dyDescent="0.35">
      <c r="C209"/>
      <c r="D209"/>
      <c r="E209"/>
    </row>
    <row r="210" spans="3:5" x14ac:dyDescent="0.35">
      <c r="C210"/>
      <c r="D210"/>
      <c r="E210"/>
    </row>
    <row r="211" spans="3:5" x14ac:dyDescent="0.35">
      <c r="C211"/>
      <c r="D211"/>
      <c r="E211"/>
    </row>
    <row r="212" spans="3:5" x14ac:dyDescent="0.35">
      <c r="C212"/>
      <c r="D212"/>
      <c r="E212"/>
    </row>
    <row r="213" spans="3:5" x14ac:dyDescent="0.35">
      <c r="C213"/>
      <c r="D213"/>
      <c r="E213"/>
    </row>
    <row r="214" spans="3:5" x14ac:dyDescent="0.35">
      <c r="C214"/>
      <c r="D214"/>
      <c r="E214"/>
    </row>
    <row r="215" spans="3:5" x14ac:dyDescent="0.35">
      <c r="C215"/>
      <c r="D215"/>
      <c r="E215"/>
    </row>
    <row r="216" spans="3:5" x14ac:dyDescent="0.35">
      <c r="C216"/>
      <c r="D216"/>
      <c r="E216"/>
    </row>
    <row r="217" spans="3:5" x14ac:dyDescent="0.35">
      <c r="C217"/>
      <c r="D217"/>
      <c r="E217"/>
    </row>
    <row r="218" spans="3:5" x14ac:dyDescent="0.35">
      <c r="C218"/>
      <c r="D218"/>
      <c r="E218"/>
    </row>
    <row r="219" spans="3:5" x14ac:dyDescent="0.35">
      <c r="C219"/>
      <c r="D219"/>
      <c r="E219"/>
    </row>
    <row r="220" spans="3:5" x14ac:dyDescent="0.35">
      <c r="C220"/>
      <c r="D220"/>
      <c r="E220"/>
    </row>
    <row r="221" spans="3:5" x14ac:dyDescent="0.35">
      <c r="C221"/>
      <c r="D221"/>
      <c r="E221"/>
    </row>
    <row r="222" spans="3:5" x14ac:dyDescent="0.35">
      <c r="C222"/>
      <c r="D222"/>
      <c r="E222"/>
    </row>
    <row r="223" spans="3:5" x14ac:dyDescent="0.35">
      <c r="C223"/>
      <c r="D223"/>
      <c r="E223"/>
    </row>
    <row r="224" spans="3:5" x14ac:dyDescent="0.35">
      <c r="C224"/>
      <c r="D224"/>
      <c r="E224"/>
    </row>
    <row r="225" spans="3:5" x14ac:dyDescent="0.35">
      <c r="C225"/>
      <c r="D225"/>
      <c r="E225"/>
    </row>
    <row r="226" spans="3:5" x14ac:dyDescent="0.35">
      <c r="C226"/>
      <c r="D226"/>
      <c r="E226"/>
    </row>
    <row r="227" spans="3:5" x14ac:dyDescent="0.35">
      <c r="C227"/>
      <c r="D227"/>
      <c r="E227"/>
    </row>
    <row r="228" spans="3:5" x14ac:dyDescent="0.35">
      <c r="C228"/>
      <c r="D228"/>
      <c r="E228"/>
    </row>
    <row r="229" spans="3:5" x14ac:dyDescent="0.35">
      <c r="C229"/>
      <c r="D229"/>
      <c r="E229"/>
    </row>
    <row r="230" spans="3:5" x14ac:dyDescent="0.35">
      <c r="C230"/>
      <c r="D230"/>
      <c r="E230"/>
    </row>
    <row r="231" spans="3:5" x14ac:dyDescent="0.35">
      <c r="C231"/>
      <c r="D231"/>
      <c r="E231"/>
    </row>
    <row r="232" spans="3:5" x14ac:dyDescent="0.35">
      <c r="C232"/>
      <c r="D232"/>
      <c r="E232"/>
    </row>
    <row r="233" spans="3:5" x14ac:dyDescent="0.35">
      <c r="C233"/>
      <c r="D233"/>
      <c r="E233"/>
    </row>
    <row r="234" spans="3:5" x14ac:dyDescent="0.35">
      <c r="C234"/>
      <c r="D234"/>
      <c r="E234"/>
    </row>
    <row r="235" spans="3:5" x14ac:dyDescent="0.35">
      <c r="C235"/>
      <c r="D235"/>
      <c r="E235"/>
    </row>
    <row r="236" spans="3:5" x14ac:dyDescent="0.35">
      <c r="C236"/>
      <c r="D236"/>
      <c r="E236"/>
    </row>
    <row r="237" spans="3:5" x14ac:dyDescent="0.35">
      <c r="C237"/>
      <c r="D237"/>
      <c r="E237"/>
    </row>
    <row r="238" spans="3:5" x14ac:dyDescent="0.35">
      <c r="C238"/>
      <c r="D238"/>
      <c r="E238"/>
    </row>
    <row r="239" spans="3:5" x14ac:dyDescent="0.35">
      <c r="C239"/>
      <c r="D239"/>
      <c r="E239"/>
    </row>
    <row r="240" spans="3:5" x14ac:dyDescent="0.35">
      <c r="C240"/>
      <c r="D240"/>
      <c r="E240"/>
    </row>
    <row r="241" spans="3:5" x14ac:dyDescent="0.35">
      <c r="C241"/>
      <c r="D241"/>
      <c r="E241"/>
    </row>
    <row r="242" spans="3:5" x14ac:dyDescent="0.35">
      <c r="C242"/>
      <c r="D242"/>
      <c r="E242"/>
    </row>
    <row r="243" spans="3:5" x14ac:dyDescent="0.35">
      <c r="C243"/>
      <c r="D243"/>
      <c r="E243"/>
    </row>
    <row r="244" spans="3:5" x14ac:dyDescent="0.35">
      <c r="C244"/>
      <c r="D244"/>
      <c r="E244"/>
    </row>
    <row r="245" spans="3:5" x14ac:dyDescent="0.35">
      <c r="C245"/>
      <c r="D245"/>
      <c r="E245"/>
    </row>
    <row r="246" spans="3:5" x14ac:dyDescent="0.35">
      <c r="C246"/>
      <c r="D246"/>
      <c r="E246"/>
    </row>
    <row r="247" spans="3:5" x14ac:dyDescent="0.35">
      <c r="C247"/>
      <c r="D247"/>
      <c r="E247"/>
    </row>
    <row r="248" spans="3:5" x14ac:dyDescent="0.35">
      <c r="C248"/>
      <c r="D248"/>
      <c r="E248"/>
    </row>
    <row r="249" spans="3:5" x14ac:dyDescent="0.35">
      <c r="C249"/>
      <c r="D249"/>
      <c r="E249"/>
    </row>
    <row r="250" spans="3:5" x14ac:dyDescent="0.35">
      <c r="C250"/>
      <c r="D250"/>
      <c r="E250"/>
    </row>
    <row r="251" spans="3:5" x14ac:dyDescent="0.35">
      <c r="C251"/>
      <c r="D251"/>
      <c r="E251"/>
    </row>
    <row r="252" spans="3:5" x14ac:dyDescent="0.35">
      <c r="C252"/>
      <c r="D252"/>
      <c r="E252"/>
    </row>
    <row r="253" spans="3:5" x14ac:dyDescent="0.35">
      <c r="C253"/>
      <c r="D253"/>
      <c r="E253"/>
    </row>
    <row r="254" spans="3:5" x14ac:dyDescent="0.35">
      <c r="C254"/>
      <c r="D254"/>
      <c r="E254"/>
    </row>
    <row r="255" spans="3:5" x14ac:dyDescent="0.35">
      <c r="C255"/>
      <c r="D255"/>
      <c r="E255"/>
    </row>
    <row r="256" spans="3:5" x14ac:dyDescent="0.35">
      <c r="C256"/>
      <c r="D256"/>
      <c r="E256"/>
    </row>
    <row r="257" spans="3:5" x14ac:dyDescent="0.35">
      <c r="C257"/>
      <c r="D257"/>
      <c r="E257"/>
    </row>
    <row r="258" spans="3:5" x14ac:dyDescent="0.35">
      <c r="C258"/>
      <c r="D258"/>
      <c r="E258"/>
    </row>
    <row r="259" spans="3:5" x14ac:dyDescent="0.35">
      <c r="C259"/>
      <c r="D259"/>
      <c r="E259"/>
    </row>
    <row r="260" spans="3:5" x14ac:dyDescent="0.35">
      <c r="C260"/>
      <c r="D260"/>
      <c r="E260"/>
    </row>
    <row r="261" spans="3:5" x14ac:dyDescent="0.35">
      <c r="C261"/>
      <c r="D261"/>
      <c r="E261"/>
    </row>
    <row r="262" spans="3:5" x14ac:dyDescent="0.35">
      <c r="C262"/>
      <c r="D262"/>
      <c r="E262"/>
    </row>
    <row r="263" spans="3:5" x14ac:dyDescent="0.35">
      <c r="C263"/>
      <c r="D263"/>
      <c r="E263"/>
    </row>
    <row r="264" spans="3:5" x14ac:dyDescent="0.35">
      <c r="C264"/>
      <c r="D264"/>
      <c r="E264"/>
    </row>
    <row r="265" spans="3:5" x14ac:dyDescent="0.35">
      <c r="C265"/>
      <c r="D265"/>
      <c r="E265"/>
    </row>
    <row r="266" spans="3:5" x14ac:dyDescent="0.35">
      <c r="C266"/>
      <c r="D266"/>
      <c r="E266"/>
    </row>
    <row r="267" spans="3:5" x14ac:dyDescent="0.35">
      <c r="C267"/>
      <c r="D267"/>
      <c r="E267"/>
    </row>
    <row r="268" spans="3:5" x14ac:dyDescent="0.35">
      <c r="C268"/>
      <c r="D268"/>
      <c r="E268"/>
    </row>
    <row r="269" spans="3:5" x14ac:dyDescent="0.35">
      <c r="C269"/>
      <c r="D269"/>
      <c r="E269"/>
    </row>
    <row r="270" spans="3:5" x14ac:dyDescent="0.35">
      <c r="C270"/>
      <c r="D270"/>
      <c r="E270"/>
    </row>
    <row r="271" spans="3:5" x14ac:dyDescent="0.35">
      <c r="C271"/>
      <c r="D271"/>
      <c r="E271"/>
    </row>
    <row r="272" spans="3:5" x14ac:dyDescent="0.35">
      <c r="C272"/>
      <c r="D272"/>
      <c r="E272"/>
    </row>
    <row r="273" spans="3:5" x14ac:dyDescent="0.35">
      <c r="C273"/>
      <c r="D273"/>
      <c r="E273"/>
    </row>
    <row r="274" spans="3:5" x14ac:dyDescent="0.35">
      <c r="C274"/>
      <c r="D274"/>
      <c r="E274"/>
    </row>
    <row r="275" spans="3:5" x14ac:dyDescent="0.35">
      <c r="C275"/>
      <c r="D275"/>
      <c r="E275"/>
    </row>
    <row r="276" spans="3:5" x14ac:dyDescent="0.35">
      <c r="C276"/>
      <c r="D276"/>
      <c r="E276"/>
    </row>
    <row r="277" spans="3:5" x14ac:dyDescent="0.35">
      <c r="C277"/>
      <c r="D277"/>
      <c r="E277"/>
    </row>
    <row r="278" spans="3:5" x14ac:dyDescent="0.35">
      <c r="C278"/>
      <c r="D278"/>
      <c r="E278"/>
    </row>
    <row r="279" spans="3:5" x14ac:dyDescent="0.35">
      <c r="C279"/>
      <c r="D279"/>
      <c r="E279"/>
    </row>
    <row r="280" spans="3:5" x14ac:dyDescent="0.35">
      <c r="C280"/>
      <c r="D280"/>
      <c r="E280"/>
    </row>
    <row r="281" spans="3:5" x14ac:dyDescent="0.35">
      <c r="C281"/>
      <c r="D281"/>
      <c r="E281"/>
    </row>
    <row r="282" spans="3:5" x14ac:dyDescent="0.35">
      <c r="C282"/>
      <c r="D282"/>
      <c r="E282"/>
    </row>
    <row r="283" spans="3:5" x14ac:dyDescent="0.35">
      <c r="C283"/>
      <c r="D283"/>
      <c r="E283"/>
    </row>
    <row r="284" spans="3:5" x14ac:dyDescent="0.35">
      <c r="C284"/>
      <c r="D284"/>
      <c r="E284"/>
    </row>
    <row r="285" spans="3:5" x14ac:dyDescent="0.35">
      <c r="C285"/>
      <c r="D285"/>
      <c r="E285"/>
    </row>
    <row r="286" spans="3:5" x14ac:dyDescent="0.35">
      <c r="C286"/>
      <c r="D286"/>
      <c r="E286"/>
    </row>
    <row r="287" spans="3:5" x14ac:dyDescent="0.35">
      <c r="C287"/>
      <c r="D287"/>
      <c r="E287"/>
    </row>
    <row r="288" spans="3:5" x14ac:dyDescent="0.35">
      <c r="C288"/>
      <c r="D288"/>
      <c r="E288"/>
    </row>
    <row r="289" spans="3:5" x14ac:dyDescent="0.35">
      <c r="C289"/>
      <c r="D289"/>
      <c r="E289"/>
    </row>
    <row r="290" spans="3:5" x14ac:dyDescent="0.35">
      <c r="C290"/>
      <c r="D290"/>
      <c r="E290"/>
    </row>
    <row r="291" spans="3:5" x14ac:dyDescent="0.35">
      <c r="C291"/>
      <c r="D291"/>
      <c r="E291"/>
    </row>
    <row r="292" spans="3:5" x14ac:dyDescent="0.35">
      <c r="C292"/>
      <c r="D292"/>
      <c r="E292"/>
    </row>
    <row r="293" spans="3:5" x14ac:dyDescent="0.35">
      <c r="C293"/>
      <c r="D293"/>
      <c r="E293"/>
    </row>
    <row r="294" spans="3:5" x14ac:dyDescent="0.35">
      <c r="C294"/>
      <c r="D294"/>
      <c r="E294"/>
    </row>
    <row r="295" spans="3:5" x14ac:dyDescent="0.35">
      <c r="C295"/>
      <c r="D295"/>
      <c r="E295"/>
    </row>
    <row r="296" spans="3:5" x14ac:dyDescent="0.35">
      <c r="C296"/>
      <c r="D296"/>
      <c r="E296"/>
    </row>
    <row r="297" spans="3:5" x14ac:dyDescent="0.35">
      <c r="C297"/>
      <c r="D297"/>
      <c r="E297"/>
    </row>
    <row r="298" spans="3:5" x14ac:dyDescent="0.35">
      <c r="C298"/>
      <c r="D298"/>
      <c r="E298"/>
    </row>
    <row r="299" spans="3:5" x14ac:dyDescent="0.35">
      <c r="C299"/>
      <c r="D299"/>
      <c r="E299"/>
    </row>
    <row r="300" spans="3:5" x14ac:dyDescent="0.35">
      <c r="C300"/>
      <c r="D300"/>
      <c r="E300"/>
    </row>
    <row r="301" spans="3:5" x14ac:dyDescent="0.35">
      <c r="C301"/>
      <c r="D301"/>
      <c r="E301"/>
    </row>
    <row r="302" spans="3:5" x14ac:dyDescent="0.35">
      <c r="C302"/>
      <c r="D302"/>
      <c r="E302"/>
    </row>
    <row r="303" spans="3:5" x14ac:dyDescent="0.35">
      <c r="C303"/>
      <c r="D303"/>
      <c r="E303"/>
    </row>
    <row r="304" spans="3:5" x14ac:dyDescent="0.35">
      <c r="C304"/>
      <c r="D304"/>
      <c r="E304"/>
    </row>
    <row r="305" spans="3:5" x14ac:dyDescent="0.35">
      <c r="C305"/>
      <c r="D305"/>
      <c r="E305"/>
    </row>
    <row r="306" spans="3:5" x14ac:dyDescent="0.35">
      <c r="C306"/>
      <c r="D306"/>
      <c r="E306"/>
    </row>
    <row r="307" spans="3:5" x14ac:dyDescent="0.35">
      <c r="C307"/>
      <c r="D307"/>
      <c r="E307"/>
    </row>
    <row r="308" spans="3:5" x14ac:dyDescent="0.35">
      <c r="C308"/>
      <c r="D308"/>
      <c r="E308"/>
    </row>
    <row r="309" spans="3:5" x14ac:dyDescent="0.35">
      <c r="C309"/>
      <c r="D309"/>
      <c r="E309"/>
    </row>
    <row r="310" spans="3:5" x14ac:dyDescent="0.35">
      <c r="C310"/>
      <c r="D310"/>
      <c r="E310"/>
    </row>
    <row r="311" spans="3:5" x14ac:dyDescent="0.35">
      <c r="C311"/>
      <c r="D311"/>
      <c r="E311"/>
    </row>
    <row r="312" spans="3:5" x14ac:dyDescent="0.35">
      <c r="C312"/>
      <c r="D312"/>
      <c r="E312"/>
    </row>
    <row r="313" spans="3:5" x14ac:dyDescent="0.35">
      <c r="C313"/>
      <c r="D313"/>
      <c r="E313"/>
    </row>
    <row r="314" spans="3:5" x14ac:dyDescent="0.35">
      <c r="C314"/>
      <c r="D314"/>
      <c r="E314"/>
    </row>
    <row r="315" spans="3:5" x14ac:dyDescent="0.35">
      <c r="C315"/>
      <c r="D315"/>
      <c r="E315"/>
    </row>
    <row r="316" spans="3:5" x14ac:dyDescent="0.35">
      <c r="C316"/>
      <c r="D316"/>
      <c r="E316"/>
    </row>
    <row r="317" spans="3:5" x14ac:dyDescent="0.35">
      <c r="C317"/>
      <c r="D317"/>
      <c r="E317"/>
    </row>
    <row r="318" spans="3:5" x14ac:dyDescent="0.35">
      <c r="C318"/>
      <c r="D318"/>
      <c r="E318"/>
    </row>
    <row r="319" spans="3:5" x14ac:dyDescent="0.35">
      <c r="C319"/>
      <c r="D319"/>
      <c r="E319"/>
    </row>
    <row r="320" spans="3:5" x14ac:dyDescent="0.35">
      <c r="C320"/>
      <c r="D320"/>
      <c r="E320"/>
    </row>
    <row r="321" spans="3:5" x14ac:dyDescent="0.35">
      <c r="C321"/>
      <c r="D321"/>
      <c r="E321"/>
    </row>
    <row r="322" spans="3:5" x14ac:dyDescent="0.35">
      <c r="C322"/>
      <c r="D322"/>
      <c r="E322"/>
    </row>
    <row r="323" spans="3:5" x14ac:dyDescent="0.35">
      <c r="C323"/>
      <c r="D323"/>
      <c r="E323"/>
    </row>
    <row r="324" spans="3:5" x14ac:dyDescent="0.35">
      <c r="C324"/>
      <c r="D324"/>
      <c r="E324"/>
    </row>
    <row r="325" spans="3:5" x14ac:dyDescent="0.35">
      <c r="C325"/>
      <c r="D325"/>
      <c r="E325"/>
    </row>
    <row r="326" spans="3:5" x14ac:dyDescent="0.35">
      <c r="C326"/>
      <c r="D326"/>
      <c r="E326"/>
    </row>
    <row r="327" spans="3:5" x14ac:dyDescent="0.35">
      <c r="C327"/>
      <c r="D327"/>
      <c r="E327"/>
    </row>
    <row r="328" spans="3:5" x14ac:dyDescent="0.35">
      <c r="C328"/>
      <c r="D328"/>
      <c r="E328"/>
    </row>
    <row r="329" spans="3:5" x14ac:dyDescent="0.35">
      <c r="C329"/>
      <c r="D329"/>
      <c r="E329"/>
    </row>
    <row r="330" spans="3:5" x14ac:dyDescent="0.35">
      <c r="C330"/>
      <c r="D330"/>
      <c r="E330"/>
    </row>
    <row r="331" spans="3:5" x14ac:dyDescent="0.35">
      <c r="C331"/>
      <c r="D331"/>
      <c r="E331"/>
    </row>
    <row r="332" spans="3:5" x14ac:dyDescent="0.35">
      <c r="C332"/>
      <c r="D332"/>
      <c r="E332"/>
    </row>
    <row r="333" spans="3:5" x14ac:dyDescent="0.35">
      <c r="C333"/>
      <c r="D333"/>
      <c r="E333"/>
    </row>
    <row r="334" spans="3:5" x14ac:dyDescent="0.35">
      <c r="C334"/>
      <c r="D334"/>
      <c r="E334"/>
    </row>
    <row r="335" spans="3:5" x14ac:dyDescent="0.35">
      <c r="C335"/>
      <c r="D335"/>
      <c r="E335"/>
    </row>
    <row r="336" spans="3:5" x14ac:dyDescent="0.35">
      <c r="C336"/>
      <c r="D336"/>
      <c r="E336"/>
    </row>
    <row r="337" spans="3:5" x14ac:dyDescent="0.35">
      <c r="C337"/>
      <c r="D337"/>
      <c r="E337"/>
    </row>
    <row r="338" spans="3:5" x14ac:dyDescent="0.35">
      <c r="C338"/>
      <c r="D338"/>
      <c r="E338"/>
    </row>
    <row r="339" spans="3:5" x14ac:dyDescent="0.35">
      <c r="C339"/>
      <c r="D339"/>
      <c r="E339"/>
    </row>
    <row r="340" spans="3:5" x14ac:dyDescent="0.35">
      <c r="C340"/>
      <c r="D340"/>
      <c r="E340"/>
    </row>
    <row r="341" spans="3:5" x14ac:dyDescent="0.35">
      <c r="C341"/>
      <c r="D341"/>
      <c r="E341"/>
    </row>
    <row r="342" spans="3:5" x14ac:dyDescent="0.35">
      <c r="C342"/>
      <c r="D342"/>
      <c r="E342"/>
    </row>
    <row r="343" spans="3:5" x14ac:dyDescent="0.35">
      <c r="C343"/>
      <c r="D343"/>
      <c r="E343"/>
    </row>
    <row r="344" spans="3:5" x14ac:dyDescent="0.35">
      <c r="C344"/>
      <c r="D344"/>
      <c r="E344"/>
    </row>
    <row r="345" spans="3:5" x14ac:dyDescent="0.35">
      <c r="C345"/>
      <c r="D345"/>
      <c r="E345"/>
    </row>
    <row r="346" spans="3:5" x14ac:dyDescent="0.35">
      <c r="C346"/>
      <c r="D346"/>
      <c r="E346"/>
    </row>
    <row r="347" spans="3:5" x14ac:dyDescent="0.35">
      <c r="C347"/>
      <c r="D347"/>
      <c r="E347"/>
    </row>
    <row r="348" spans="3:5" x14ac:dyDescent="0.35">
      <c r="C348"/>
      <c r="D348"/>
      <c r="E348"/>
    </row>
    <row r="349" spans="3:5" x14ac:dyDescent="0.35">
      <c r="C349"/>
      <c r="D349"/>
      <c r="E349"/>
    </row>
    <row r="350" spans="3:5" x14ac:dyDescent="0.35">
      <c r="C350"/>
      <c r="D350"/>
      <c r="E350"/>
    </row>
    <row r="351" spans="3:5" x14ac:dyDescent="0.35">
      <c r="C351"/>
      <c r="D351"/>
      <c r="E351"/>
    </row>
    <row r="352" spans="3:5" x14ac:dyDescent="0.35">
      <c r="C352"/>
      <c r="D352"/>
      <c r="E352"/>
    </row>
    <row r="353" spans="3:5" x14ac:dyDescent="0.35">
      <c r="C353"/>
      <c r="D353"/>
      <c r="E353"/>
    </row>
    <row r="354" spans="3:5" x14ac:dyDescent="0.35">
      <c r="C354"/>
      <c r="D354"/>
      <c r="E354"/>
    </row>
    <row r="355" spans="3:5" x14ac:dyDescent="0.35">
      <c r="C355"/>
      <c r="D355"/>
      <c r="E355"/>
    </row>
    <row r="356" spans="3:5" x14ac:dyDescent="0.35">
      <c r="C356"/>
      <c r="D356"/>
      <c r="E356"/>
    </row>
    <row r="357" spans="3:5" x14ac:dyDescent="0.35">
      <c r="C357"/>
      <c r="D357"/>
      <c r="E357"/>
    </row>
    <row r="358" spans="3:5" x14ac:dyDescent="0.35">
      <c r="C358"/>
      <c r="D358"/>
      <c r="E358"/>
    </row>
    <row r="359" spans="3:5" x14ac:dyDescent="0.35">
      <c r="C359"/>
      <c r="D359"/>
      <c r="E359"/>
    </row>
    <row r="360" spans="3:5" x14ac:dyDescent="0.35">
      <c r="C360"/>
      <c r="D360"/>
      <c r="E360"/>
    </row>
    <row r="361" spans="3:5" x14ac:dyDescent="0.35">
      <c r="C361"/>
      <c r="D361"/>
      <c r="E361"/>
    </row>
    <row r="362" spans="3:5" x14ac:dyDescent="0.35">
      <c r="C362"/>
      <c r="D362"/>
      <c r="E362"/>
    </row>
    <row r="363" spans="3:5" x14ac:dyDescent="0.35">
      <c r="C363"/>
      <c r="D363"/>
      <c r="E363"/>
    </row>
    <row r="364" spans="3:5" x14ac:dyDescent="0.35">
      <c r="C364"/>
      <c r="D364"/>
      <c r="E364"/>
    </row>
    <row r="365" spans="3:5" x14ac:dyDescent="0.35">
      <c r="C365"/>
      <c r="D365"/>
      <c r="E365"/>
    </row>
    <row r="366" spans="3:5" x14ac:dyDescent="0.35">
      <c r="C366"/>
      <c r="D366"/>
      <c r="E366"/>
    </row>
    <row r="367" spans="3:5" x14ac:dyDescent="0.35">
      <c r="C367"/>
      <c r="D367"/>
      <c r="E367"/>
    </row>
    <row r="368" spans="3:5" x14ac:dyDescent="0.35">
      <c r="C368"/>
      <c r="D368"/>
      <c r="E368"/>
    </row>
    <row r="369" spans="3:5" x14ac:dyDescent="0.35">
      <c r="C369"/>
      <c r="D369"/>
      <c r="E369"/>
    </row>
    <row r="370" spans="3:5" x14ac:dyDescent="0.35">
      <c r="C370"/>
      <c r="D370"/>
      <c r="E370"/>
    </row>
    <row r="371" spans="3:5" x14ac:dyDescent="0.35">
      <c r="C371"/>
      <c r="D371"/>
      <c r="E371"/>
    </row>
    <row r="372" spans="3:5" x14ac:dyDescent="0.35">
      <c r="C372"/>
      <c r="D372"/>
      <c r="E372"/>
    </row>
    <row r="373" spans="3:5" x14ac:dyDescent="0.35">
      <c r="C373"/>
      <c r="D373"/>
      <c r="E373"/>
    </row>
    <row r="374" spans="3:5" x14ac:dyDescent="0.35">
      <c r="C374"/>
      <c r="D374"/>
      <c r="E374"/>
    </row>
    <row r="375" spans="3:5" x14ac:dyDescent="0.35">
      <c r="C375"/>
      <c r="D375"/>
      <c r="E375"/>
    </row>
    <row r="376" spans="3:5" x14ac:dyDescent="0.35">
      <c r="C376"/>
      <c r="D376"/>
      <c r="E376"/>
    </row>
    <row r="377" spans="3:5" x14ac:dyDescent="0.35">
      <c r="C377"/>
      <c r="D377"/>
      <c r="E377"/>
    </row>
    <row r="378" spans="3:5" x14ac:dyDescent="0.35">
      <c r="C378"/>
      <c r="D378"/>
      <c r="E378"/>
    </row>
    <row r="379" spans="3:5" x14ac:dyDescent="0.35">
      <c r="C379"/>
      <c r="D379"/>
      <c r="E379"/>
    </row>
    <row r="380" spans="3:5" x14ac:dyDescent="0.35">
      <c r="C380"/>
      <c r="D380"/>
      <c r="E380"/>
    </row>
    <row r="381" spans="3:5" x14ac:dyDescent="0.35">
      <c r="C381"/>
      <c r="D381"/>
      <c r="E381"/>
    </row>
    <row r="382" spans="3:5" x14ac:dyDescent="0.35">
      <c r="C382"/>
      <c r="D382"/>
      <c r="E382"/>
    </row>
    <row r="383" spans="3:5" x14ac:dyDescent="0.35">
      <c r="C383"/>
      <c r="D383"/>
      <c r="E383"/>
    </row>
    <row r="384" spans="3:5" x14ac:dyDescent="0.35">
      <c r="C384"/>
      <c r="D384"/>
      <c r="E384"/>
    </row>
    <row r="385" spans="3:5" x14ac:dyDescent="0.35">
      <c r="C385"/>
      <c r="D385"/>
      <c r="E385"/>
    </row>
    <row r="386" spans="3:5" x14ac:dyDescent="0.35">
      <c r="C386"/>
      <c r="D386"/>
      <c r="E386"/>
    </row>
    <row r="387" spans="3:5" x14ac:dyDescent="0.35">
      <c r="C387"/>
      <c r="D387"/>
      <c r="E387"/>
    </row>
    <row r="388" spans="3:5" x14ac:dyDescent="0.35">
      <c r="C388"/>
      <c r="D388"/>
      <c r="E388"/>
    </row>
    <row r="389" spans="3:5" x14ac:dyDescent="0.35">
      <c r="C389"/>
      <c r="D389"/>
      <c r="E389"/>
    </row>
    <row r="390" spans="3:5" x14ac:dyDescent="0.35">
      <c r="C390"/>
      <c r="D390"/>
      <c r="E390"/>
    </row>
    <row r="391" spans="3:5" x14ac:dyDescent="0.35">
      <c r="C391"/>
      <c r="D391"/>
      <c r="E391"/>
    </row>
    <row r="392" spans="3:5" x14ac:dyDescent="0.35">
      <c r="C392"/>
      <c r="D392"/>
      <c r="E392"/>
    </row>
    <row r="393" spans="3:5" x14ac:dyDescent="0.35">
      <c r="C393"/>
      <c r="D393"/>
      <c r="E393"/>
    </row>
    <row r="394" spans="3:5" x14ac:dyDescent="0.35">
      <c r="C394"/>
      <c r="D394"/>
      <c r="E394"/>
    </row>
    <row r="395" spans="3:5" x14ac:dyDescent="0.35">
      <c r="C395"/>
      <c r="D395"/>
      <c r="E395"/>
    </row>
    <row r="396" spans="3:5" x14ac:dyDescent="0.35">
      <c r="C396"/>
      <c r="D396"/>
      <c r="E396"/>
    </row>
    <row r="397" spans="3:5" x14ac:dyDescent="0.35">
      <c r="C397"/>
      <c r="D397"/>
      <c r="E397"/>
    </row>
    <row r="398" spans="3:5" x14ac:dyDescent="0.35">
      <c r="C398"/>
      <c r="D398"/>
      <c r="E398"/>
    </row>
    <row r="399" spans="3:5" x14ac:dyDescent="0.35">
      <c r="C399"/>
      <c r="D399"/>
      <c r="E399"/>
    </row>
    <row r="400" spans="3:5" x14ac:dyDescent="0.35">
      <c r="C400"/>
      <c r="D400"/>
      <c r="E400"/>
    </row>
    <row r="401" spans="3:5" x14ac:dyDescent="0.35">
      <c r="C401"/>
      <c r="D401"/>
      <c r="E401"/>
    </row>
    <row r="402" spans="3:5" x14ac:dyDescent="0.35">
      <c r="C402"/>
      <c r="D402"/>
      <c r="E402"/>
    </row>
    <row r="403" spans="3:5" x14ac:dyDescent="0.35">
      <c r="C403"/>
      <c r="D403"/>
      <c r="E403"/>
    </row>
    <row r="404" spans="3:5" x14ac:dyDescent="0.35">
      <c r="C404"/>
      <c r="D404"/>
      <c r="E404"/>
    </row>
    <row r="405" spans="3:5" x14ac:dyDescent="0.35">
      <c r="C405"/>
      <c r="D405"/>
      <c r="E405"/>
    </row>
    <row r="406" spans="3:5" x14ac:dyDescent="0.35">
      <c r="C406"/>
      <c r="D406"/>
      <c r="E406"/>
    </row>
    <row r="407" spans="3:5" x14ac:dyDescent="0.35">
      <c r="C407"/>
      <c r="D407"/>
      <c r="E407"/>
    </row>
    <row r="408" spans="3:5" x14ac:dyDescent="0.35">
      <c r="C408"/>
      <c r="D408"/>
      <c r="E408"/>
    </row>
    <row r="409" spans="3:5" x14ac:dyDescent="0.35">
      <c r="C409"/>
      <c r="D409"/>
      <c r="E409"/>
    </row>
    <row r="410" spans="3:5" x14ac:dyDescent="0.35">
      <c r="C410"/>
      <c r="D410"/>
      <c r="E410"/>
    </row>
    <row r="411" spans="3:5" x14ac:dyDescent="0.35">
      <c r="C411"/>
      <c r="D411"/>
      <c r="E411"/>
    </row>
    <row r="412" spans="3:5" x14ac:dyDescent="0.35">
      <c r="C412"/>
      <c r="D412"/>
      <c r="E412"/>
    </row>
    <row r="413" spans="3:5" x14ac:dyDescent="0.35">
      <c r="C413"/>
      <c r="D413"/>
      <c r="E413"/>
    </row>
    <row r="414" spans="3:5" x14ac:dyDescent="0.35">
      <c r="C414"/>
      <c r="D414"/>
      <c r="E414"/>
    </row>
    <row r="415" spans="3:5" x14ac:dyDescent="0.35">
      <c r="C415"/>
      <c r="D415"/>
      <c r="E415"/>
    </row>
    <row r="416" spans="3:5" x14ac:dyDescent="0.35">
      <c r="C416"/>
      <c r="D416"/>
      <c r="E416"/>
    </row>
    <row r="417" spans="3:5" x14ac:dyDescent="0.35">
      <c r="C417"/>
      <c r="D417"/>
      <c r="E417"/>
    </row>
    <row r="418" spans="3:5" x14ac:dyDescent="0.35">
      <c r="C418"/>
      <c r="D418"/>
      <c r="E418"/>
    </row>
    <row r="419" spans="3:5" x14ac:dyDescent="0.35">
      <c r="C419"/>
      <c r="D419"/>
      <c r="E419"/>
    </row>
    <row r="420" spans="3:5" x14ac:dyDescent="0.35">
      <c r="C420"/>
      <c r="D420"/>
      <c r="E420"/>
    </row>
    <row r="421" spans="3:5" x14ac:dyDescent="0.35">
      <c r="C421"/>
      <c r="D421"/>
      <c r="E421"/>
    </row>
    <row r="422" spans="3:5" x14ac:dyDescent="0.35">
      <c r="C422"/>
      <c r="D422"/>
      <c r="E422"/>
    </row>
    <row r="423" spans="3:5" x14ac:dyDescent="0.35">
      <c r="C423"/>
      <c r="D423"/>
      <c r="E423"/>
    </row>
    <row r="424" spans="3:5" x14ac:dyDescent="0.35">
      <c r="C424"/>
      <c r="D424"/>
      <c r="E424"/>
    </row>
    <row r="425" spans="3:5" x14ac:dyDescent="0.35">
      <c r="C425"/>
      <c r="D425"/>
      <c r="E425"/>
    </row>
    <row r="426" spans="3:5" x14ac:dyDescent="0.35">
      <c r="C426"/>
      <c r="D426"/>
      <c r="E426"/>
    </row>
    <row r="427" spans="3:5" x14ac:dyDescent="0.35">
      <c r="C427"/>
      <c r="D427"/>
      <c r="E427"/>
    </row>
    <row r="428" spans="3:5" x14ac:dyDescent="0.35">
      <c r="C428"/>
      <c r="D428"/>
      <c r="E428"/>
    </row>
    <row r="429" spans="3:5" x14ac:dyDescent="0.35">
      <c r="C429"/>
      <c r="D429"/>
      <c r="E429"/>
    </row>
    <row r="430" spans="3:5" x14ac:dyDescent="0.35">
      <c r="C430"/>
      <c r="D430"/>
      <c r="E430"/>
    </row>
    <row r="431" spans="3:5" x14ac:dyDescent="0.35">
      <c r="C431"/>
      <c r="D431"/>
      <c r="E431"/>
    </row>
    <row r="432" spans="3:5" x14ac:dyDescent="0.35">
      <c r="C432"/>
      <c r="D432"/>
      <c r="E432"/>
    </row>
    <row r="433" spans="3:5" x14ac:dyDescent="0.35">
      <c r="C433"/>
      <c r="D433"/>
      <c r="E433"/>
    </row>
    <row r="434" spans="3:5" x14ac:dyDescent="0.35">
      <c r="C434"/>
      <c r="D434"/>
      <c r="E434"/>
    </row>
    <row r="435" spans="3:5" x14ac:dyDescent="0.35">
      <c r="C435"/>
      <c r="D435"/>
      <c r="E435"/>
    </row>
    <row r="436" spans="3:5" x14ac:dyDescent="0.35">
      <c r="C436"/>
      <c r="D436"/>
      <c r="E436"/>
    </row>
    <row r="437" spans="3:5" x14ac:dyDescent="0.35">
      <c r="C437"/>
      <c r="D437"/>
      <c r="E437"/>
    </row>
    <row r="438" spans="3:5" x14ac:dyDescent="0.35">
      <c r="C438"/>
      <c r="D438"/>
      <c r="E438"/>
    </row>
    <row r="439" spans="3:5" x14ac:dyDescent="0.35">
      <c r="C439"/>
      <c r="D439"/>
      <c r="E439"/>
    </row>
    <row r="440" spans="3:5" x14ac:dyDescent="0.35">
      <c r="C440"/>
      <c r="D440"/>
      <c r="E440"/>
    </row>
    <row r="441" spans="3:5" x14ac:dyDescent="0.35">
      <c r="C441"/>
      <c r="D441"/>
      <c r="E441"/>
    </row>
    <row r="442" spans="3:5" x14ac:dyDescent="0.35">
      <c r="C442"/>
      <c r="D442"/>
      <c r="E442"/>
    </row>
    <row r="443" spans="3:5" x14ac:dyDescent="0.35">
      <c r="C443"/>
      <c r="D443"/>
      <c r="E443"/>
    </row>
    <row r="444" spans="3:5" x14ac:dyDescent="0.35">
      <c r="C444"/>
      <c r="D444"/>
      <c r="E444"/>
    </row>
    <row r="445" spans="3:5" x14ac:dyDescent="0.35">
      <c r="C445"/>
      <c r="D445"/>
      <c r="E445"/>
    </row>
    <row r="446" spans="3:5" x14ac:dyDescent="0.35">
      <c r="C446"/>
      <c r="D446"/>
      <c r="E446"/>
    </row>
    <row r="447" spans="3:5" x14ac:dyDescent="0.35">
      <c r="C447"/>
      <c r="D447"/>
      <c r="E447"/>
    </row>
    <row r="448" spans="3:5" x14ac:dyDescent="0.35">
      <c r="C448"/>
      <c r="D448"/>
      <c r="E448"/>
    </row>
    <row r="449" spans="3:5" x14ac:dyDescent="0.35">
      <c r="C449"/>
      <c r="D449"/>
      <c r="E449"/>
    </row>
    <row r="450" spans="3:5" x14ac:dyDescent="0.35">
      <c r="C450"/>
      <c r="D450"/>
      <c r="E450"/>
    </row>
    <row r="451" spans="3:5" x14ac:dyDescent="0.35">
      <c r="C451"/>
      <c r="D451"/>
      <c r="E451"/>
    </row>
    <row r="452" spans="3:5" x14ac:dyDescent="0.35">
      <c r="C452"/>
      <c r="D452"/>
      <c r="E452"/>
    </row>
    <row r="453" spans="3:5" x14ac:dyDescent="0.35">
      <c r="C453"/>
      <c r="D453"/>
      <c r="E453"/>
    </row>
    <row r="454" spans="3:5" x14ac:dyDescent="0.35">
      <c r="C454"/>
      <c r="D454"/>
      <c r="E454"/>
    </row>
    <row r="455" spans="3:5" x14ac:dyDescent="0.35">
      <c r="C455"/>
      <c r="D455"/>
      <c r="E455"/>
    </row>
    <row r="456" spans="3:5" x14ac:dyDescent="0.35">
      <c r="C456"/>
      <c r="D456"/>
      <c r="E456"/>
    </row>
    <row r="457" spans="3:5" x14ac:dyDescent="0.35">
      <c r="C457"/>
      <c r="D457"/>
      <c r="E457"/>
    </row>
    <row r="458" spans="3:5" x14ac:dyDescent="0.35">
      <c r="C458"/>
      <c r="D458"/>
      <c r="E458"/>
    </row>
    <row r="459" spans="3:5" x14ac:dyDescent="0.35">
      <c r="C459"/>
      <c r="D459"/>
      <c r="E459"/>
    </row>
    <row r="460" spans="3:5" x14ac:dyDescent="0.35">
      <c r="C460"/>
      <c r="D460"/>
      <c r="E460"/>
    </row>
    <row r="461" spans="3:5" x14ac:dyDescent="0.35">
      <c r="C461"/>
      <c r="D461"/>
      <c r="E461"/>
    </row>
    <row r="462" spans="3:5" x14ac:dyDescent="0.35">
      <c r="C462"/>
      <c r="D462"/>
      <c r="E462"/>
    </row>
    <row r="463" spans="3:5" x14ac:dyDescent="0.35">
      <c r="C463"/>
      <c r="D463"/>
      <c r="E463"/>
    </row>
    <row r="464" spans="3:5" x14ac:dyDescent="0.35">
      <c r="C464"/>
      <c r="D464"/>
      <c r="E464"/>
    </row>
    <row r="465" spans="3:5" x14ac:dyDescent="0.35">
      <c r="C465"/>
      <c r="D465"/>
      <c r="E465"/>
    </row>
    <row r="466" spans="3:5" x14ac:dyDescent="0.35">
      <c r="C466"/>
      <c r="D466"/>
      <c r="E466"/>
    </row>
    <row r="467" spans="3:5" x14ac:dyDescent="0.35">
      <c r="C467"/>
      <c r="D467"/>
      <c r="E467"/>
    </row>
    <row r="468" spans="3:5" x14ac:dyDescent="0.35">
      <c r="C468"/>
      <c r="D468"/>
      <c r="E468"/>
    </row>
    <row r="469" spans="3:5" x14ac:dyDescent="0.35">
      <c r="C469"/>
      <c r="D469"/>
      <c r="E469"/>
    </row>
    <row r="470" spans="3:5" x14ac:dyDescent="0.35">
      <c r="C470"/>
      <c r="D470"/>
      <c r="E470"/>
    </row>
    <row r="471" spans="3:5" x14ac:dyDescent="0.35">
      <c r="C471"/>
      <c r="D471"/>
      <c r="E471"/>
    </row>
    <row r="472" spans="3:5" x14ac:dyDescent="0.35">
      <c r="C472"/>
      <c r="D472"/>
      <c r="E472"/>
    </row>
    <row r="473" spans="3:5" x14ac:dyDescent="0.35">
      <c r="C473"/>
      <c r="D473"/>
      <c r="E473"/>
    </row>
    <row r="474" spans="3:5" x14ac:dyDescent="0.35">
      <c r="C474"/>
      <c r="D474"/>
      <c r="E474"/>
    </row>
    <row r="475" spans="3:5" x14ac:dyDescent="0.35">
      <c r="C475"/>
      <c r="D475"/>
      <c r="E475"/>
    </row>
    <row r="476" spans="3:5" x14ac:dyDescent="0.35">
      <c r="C476"/>
      <c r="D476"/>
      <c r="E476"/>
    </row>
    <row r="477" spans="3:5" x14ac:dyDescent="0.35">
      <c r="C477"/>
      <c r="D477"/>
      <c r="E477"/>
    </row>
    <row r="478" spans="3:5" x14ac:dyDescent="0.35">
      <c r="C478"/>
      <c r="D478"/>
      <c r="E478"/>
    </row>
    <row r="479" spans="3:5" x14ac:dyDescent="0.35">
      <c r="C479"/>
      <c r="D479"/>
      <c r="E479"/>
    </row>
    <row r="480" spans="3:5" x14ac:dyDescent="0.35">
      <c r="C480"/>
      <c r="D480"/>
      <c r="E480"/>
    </row>
    <row r="481" spans="3:5" x14ac:dyDescent="0.35">
      <c r="C481"/>
      <c r="D481"/>
      <c r="E481"/>
    </row>
    <row r="482" spans="3:5" x14ac:dyDescent="0.35">
      <c r="C482"/>
      <c r="D482"/>
      <c r="E482"/>
    </row>
    <row r="483" spans="3:5" x14ac:dyDescent="0.35">
      <c r="C483"/>
      <c r="D483"/>
      <c r="E483"/>
    </row>
    <row r="484" spans="3:5" x14ac:dyDescent="0.35">
      <c r="C484"/>
      <c r="D484"/>
      <c r="E484"/>
    </row>
    <row r="485" spans="3:5" x14ac:dyDescent="0.35">
      <c r="C485"/>
      <c r="D485"/>
      <c r="E485"/>
    </row>
    <row r="486" spans="3:5" x14ac:dyDescent="0.35">
      <c r="C486"/>
      <c r="D486"/>
      <c r="E486"/>
    </row>
    <row r="487" spans="3:5" x14ac:dyDescent="0.35">
      <c r="C487"/>
      <c r="D487"/>
      <c r="E487"/>
    </row>
    <row r="488" spans="3:5" x14ac:dyDescent="0.35">
      <c r="C488"/>
      <c r="D488"/>
      <c r="E488"/>
    </row>
    <row r="489" spans="3:5" x14ac:dyDescent="0.35">
      <c r="C489"/>
      <c r="D489"/>
      <c r="E489"/>
    </row>
    <row r="490" spans="3:5" x14ac:dyDescent="0.35">
      <c r="C490"/>
      <c r="D490"/>
      <c r="E490"/>
    </row>
    <row r="491" spans="3:5" x14ac:dyDescent="0.35">
      <c r="C491"/>
      <c r="D491"/>
      <c r="E491"/>
    </row>
    <row r="492" spans="3:5" x14ac:dyDescent="0.35">
      <c r="C492"/>
      <c r="D492"/>
      <c r="E492"/>
    </row>
    <row r="493" spans="3:5" x14ac:dyDescent="0.35">
      <c r="C493"/>
      <c r="D493"/>
      <c r="E493"/>
    </row>
    <row r="494" spans="3:5" x14ac:dyDescent="0.35">
      <c r="C494"/>
      <c r="D494"/>
      <c r="E494"/>
    </row>
    <row r="495" spans="3:5" x14ac:dyDescent="0.35">
      <c r="C495"/>
      <c r="D495"/>
      <c r="E495"/>
    </row>
    <row r="496" spans="3:5" x14ac:dyDescent="0.35">
      <c r="C496"/>
      <c r="D496"/>
      <c r="E496"/>
    </row>
    <row r="497" spans="3:5" x14ac:dyDescent="0.35">
      <c r="C497"/>
      <c r="D497"/>
      <c r="E497"/>
    </row>
    <row r="498" spans="3:5" x14ac:dyDescent="0.35">
      <c r="C498"/>
      <c r="D498"/>
      <c r="E498"/>
    </row>
    <row r="499" spans="3:5" x14ac:dyDescent="0.35">
      <c r="C499"/>
      <c r="D499"/>
      <c r="E499"/>
    </row>
    <row r="500" spans="3:5" x14ac:dyDescent="0.35">
      <c r="C500"/>
      <c r="D500"/>
      <c r="E500"/>
    </row>
    <row r="501" spans="3:5" x14ac:dyDescent="0.35">
      <c r="C501"/>
      <c r="D501"/>
      <c r="E501"/>
    </row>
    <row r="502" spans="3:5" x14ac:dyDescent="0.35">
      <c r="C502"/>
      <c r="D502"/>
      <c r="E502"/>
    </row>
    <row r="503" spans="3:5" x14ac:dyDescent="0.35">
      <c r="C503"/>
      <c r="D503"/>
      <c r="E503"/>
    </row>
    <row r="504" spans="3:5" x14ac:dyDescent="0.35">
      <c r="C504"/>
      <c r="D504"/>
      <c r="E504"/>
    </row>
    <row r="505" spans="3:5" x14ac:dyDescent="0.35">
      <c r="C505"/>
      <c r="D505"/>
      <c r="E505"/>
    </row>
    <row r="506" spans="3:5" x14ac:dyDescent="0.35">
      <c r="C506"/>
      <c r="D506"/>
      <c r="E506"/>
    </row>
    <row r="507" spans="3:5" x14ac:dyDescent="0.35">
      <c r="C507"/>
      <c r="D507"/>
      <c r="E507"/>
    </row>
    <row r="508" spans="3:5" x14ac:dyDescent="0.35">
      <c r="C508"/>
      <c r="D508"/>
      <c r="E508"/>
    </row>
    <row r="509" spans="3:5" x14ac:dyDescent="0.35">
      <c r="C509"/>
      <c r="D509"/>
      <c r="E509"/>
    </row>
    <row r="510" spans="3:5" x14ac:dyDescent="0.35">
      <c r="C510"/>
      <c r="D510"/>
      <c r="E510"/>
    </row>
    <row r="511" spans="3:5" x14ac:dyDescent="0.35">
      <c r="C511"/>
      <c r="D511"/>
      <c r="E511"/>
    </row>
    <row r="512" spans="3:5" x14ac:dyDescent="0.35">
      <c r="C512"/>
      <c r="D512"/>
      <c r="E512"/>
    </row>
    <row r="513" spans="3:5" x14ac:dyDescent="0.35">
      <c r="C513"/>
      <c r="D513"/>
      <c r="E513"/>
    </row>
    <row r="514" spans="3:5" x14ac:dyDescent="0.35">
      <c r="C514"/>
      <c r="D514"/>
      <c r="E514"/>
    </row>
    <row r="515" spans="3:5" x14ac:dyDescent="0.35">
      <c r="C515"/>
      <c r="D515"/>
      <c r="E515"/>
    </row>
    <row r="516" spans="3:5" x14ac:dyDescent="0.35">
      <c r="C516"/>
      <c r="D516"/>
      <c r="E516"/>
    </row>
    <row r="517" spans="3:5" x14ac:dyDescent="0.35">
      <c r="C517"/>
      <c r="D517"/>
      <c r="E517"/>
    </row>
    <row r="518" spans="3:5" x14ac:dyDescent="0.35">
      <c r="C518"/>
      <c r="D518"/>
      <c r="E518"/>
    </row>
    <row r="519" spans="3:5" x14ac:dyDescent="0.35">
      <c r="C519"/>
      <c r="D519"/>
      <c r="E519"/>
    </row>
    <row r="520" spans="3:5" x14ac:dyDescent="0.35">
      <c r="C520"/>
      <c r="D520"/>
      <c r="E520"/>
    </row>
    <row r="521" spans="3:5" x14ac:dyDescent="0.35">
      <c r="C521"/>
      <c r="D521"/>
      <c r="E521"/>
    </row>
    <row r="522" spans="3:5" x14ac:dyDescent="0.35">
      <c r="C522"/>
      <c r="D522"/>
      <c r="E522"/>
    </row>
    <row r="523" spans="3:5" x14ac:dyDescent="0.35">
      <c r="C523"/>
      <c r="D523"/>
      <c r="E523"/>
    </row>
    <row r="524" spans="3:5" x14ac:dyDescent="0.35">
      <c r="C524"/>
      <c r="D524"/>
      <c r="E524"/>
    </row>
    <row r="525" spans="3:5" x14ac:dyDescent="0.35">
      <c r="C525"/>
      <c r="D525"/>
      <c r="E525"/>
    </row>
    <row r="526" spans="3:5" x14ac:dyDescent="0.35">
      <c r="C526"/>
      <c r="D526"/>
      <c r="E526"/>
    </row>
    <row r="527" spans="3:5" x14ac:dyDescent="0.35">
      <c r="C527"/>
      <c r="D527"/>
      <c r="E527"/>
    </row>
    <row r="528" spans="3:5" x14ac:dyDescent="0.35">
      <c r="C528"/>
      <c r="D528"/>
      <c r="E528"/>
    </row>
    <row r="529" spans="3:5" x14ac:dyDescent="0.35">
      <c r="C529"/>
      <c r="D529"/>
      <c r="E529"/>
    </row>
    <row r="530" spans="3:5" x14ac:dyDescent="0.35">
      <c r="C530"/>
      <c r="D530"/>
      <c r="E530"/>
    </row>
    <row r="531" spans="3:5" x14ac:dyDescent="0.35">
      <c r="C531"/>
      <c r="D531"/>
      <c r="E531"/>
    </row>
    <row r="532" spans="3:5" x14ac:dyDescent="0.35">
      <c r="C532"/>
      <c r="D532"/>
      <c r="E532"/>
    </row>
    <row r="533" spans="3:5" x14ac:dyDescent="0.35">
      <c r="C533"/>
      <c r="D533"/>
      <c r="E533"/>
    </row>
    <row r="534" spans="3:5" x14ac:dyDescent="0.35">
      <c r="C534"/>
      <c r="D534"/>
      <c r="E534"/>
    </row>
    <row r="535" spans="3:5" x14ac:dyDescent="0.35">
      <c r="C535"/>
      <c r="D535"/>
      <c r="E535"/>
    </row>
    <row r="536" spans="3:5" x14ac:dyDescent="0.35">
      <c r="C536"/>
      <c r="D536"/>
      <c r="E536"/>
    </row>
    <row r="537" spans="3:5" x14ac:dyDescent="0.35">
      <c r="C537"/>
      <c r="D537"/>
      <c r="E537"/>
    </row>
    <row r="538" spans="3:5" x14ac:dyDescent="0.35">
      <c r="C538"/>
      <c r="D538"/>
      <c r="E538"/>
    </row>
    <row r="539" spans="3:5" x14ac:dyDescent="0.35">
      <c r="C539"/>
      <c r="D539"/>
      <c r="E539"/>
    </row>
    <row r="540" spans="3:5" x14ac:dyDescent="0.35">
      <c r="C540"/>
      <c r="D540"/>
      <c r="E540"/>
    </row>
    <row r="541" spans="3:5" x14ac:dyDescent="0.35">
      <c r="C541"/>
      <c r="D541"/>
      <c r="E541"/>
    </row>
    <row r="542" spans="3:5" x14ac:dyDescent="0.35">
      <c r="C542"/>
      <c r="D542"/>
      <c r="E542"/>
    </row>
    <row r="543" spans="3:5" x14ac:dyDescent="0.35">
      <c r="C543"/>
      <c r="D543"/>
      <c r="E543"/>
    </row>
    <row r="544" spans="3:5" x14ac:dyDescent="0.35">
      <c r="C544"/>
      <c r="D544"/>
      <c r="E544"/>
    </row>
    <row r="545" spans="3:5" x14ac:dyDescent="0.35">
      <c r="C545"/>
      <c r="D545"/>
      <c r="E545"/>
    </row>
    <row r="546" spans="3:5" x14ac:dyDescent="0.35">
      <c r="C546"/>
      <c r="D546"/>
      <c r="E546"/>
    </row>
    <row r="547" spans="3:5" x14ac:dyDescent="0.35">
      <c r="C547"/>
      <c r="D547"/>
      <c r="E547"/>
    </row>
    <row r="548" spans="3:5" x14ac:dyDescent="0.35">
      <c r="C548"/>
      <c r="D548"/>
      <c r="E548"/>
    </row>
    <row r="549" spans="3:5" x14ac:dyDescent="0.35">
      <c r="C549"/>
      <c r="D549"/>
      <c r="E549"/>
    </row>
    <row r="550" spans="3:5" x14ac:dyDescent="0.35">
      <c r="C550"/>
      <c r="D550"/>
      <c r="E550"/>
    </row>
    <row r="551" spans="3:5" x14ac:dyDescent="0.35">
      <c r="C551"/>
      <c r="D551"/>
      <c r="E551"/>
    </row>
    <row r="552" spans="3:5" x14ac:dyDescent="0.35">
      <c r="C552"/>
      <c r="D552"/>
      <c r="E552"/>
    </row>
    <row r="553" spans="3:5" x14ac:dyDescent="0.35">
      <c r="C553"/>
      <c r="D553"/>
      <c r="E553"/>
    </row>
    <row r="554" spans="3:5" x14ac:dyDescent="0.35">
      <c r="C554"/>
      <c r="D554"/>
      <c r="E554"/>
    </row>
    <row r="555" spans="3:5" x14ac:dyDescent="0.35">
      <c r="C555"/>
      <c r="D555"/>
      <c r="E555"/>
    </row>
    <row r="556" spans="3:5" x14ac:dyDescent="0.35">
      <c r="C556"/>
      <c r="D556"/>
      <c r="E556"/>
    </row>
    <row r="557" spans="3:5" x14ac:dyDescent="0.35">
      <c r="C557"/>
      <c r="D557"/>
      <c r="E557"/>
    </row>
    <row r="558" spans="3:5" x14ac:dyDescent="0.35">
      <c r="C558"/>
      <c r="D558"/>
      <c r="E558"/>
    </row>
    <row r="559" spans="3:5" x14ac:dyDescent="0.35">
      <c r="C559"/>
      <c r="D559"/>
      <c r="E559"/>
    </row>
    <row r="560" spans="3:5" x14ac:dyDescent="0.35">
      <c r="C560"/>
      <c r="D560"/>
      <c r="E560"/>
    </row>
    <row r="561" spans="3:5" x14ac:dyDescent="0.35">
      <c r="C561"/>
      <c r="D561"/>
      <c r="E561"/>
    </row>
    <row r="562" spans="3:5" x14ac:dyDescent="0.35">
      <c r="C562"/>
      <c r="D562"/>
      <c r="E562"/>
    </row>
    <row r="563" spans="3:5" x14ac:dyDescent="0.35">
      <c r="C563"/>
      <c r="D563"/>
      <c r="E563"/>
    </row>
    <row r="564" spans="3:5" x14ac:dyDescent="0.35">
      <c r="C564"/>
      <c r="D564"/>
      <c r="E564"/>
    </row>
    <row r="565" spans="3:5" x14ac:dyDescent="0.35">
      <c r="C565"/>
      <c r="D565"/>
      <c r="E565"/>
    </row>
    <row r="566" spans="3:5" x14ac:dyDescent="0.35">
      <c r="C566"/>
      <c r="D566"/>
      <c r="E566"/>
    </row>
    <row r="567" spans="3:5" x14ac:dyDescent="0.35">
      <c r="C567"/>
      <c r="D567"/>
      <c r="E567"/>
    </row>
    <row r="568" spans="3:5" x14ac:dyDescent="0.35">
      <c r="C568"/>
      <c r="D568"/>
      <c r="E568"/>
    </row>
    <row r="569" spans="3:5" x14ac:dyDescent="0.35">
      <c r="C569"/>
      <c r="D569"/>
      <c r="E569"/>
    </row>
    <row r="570" spans="3:5" x14ac:dyDescent="0.35">
      <c r="C570"/>
      <c r="D570"/>
      <c r="E570"/>
    </row>
    <row r="571" spans="3:5" x14ac:dyDescent="0.35">
      <c r="C571"/>
      <c r="D571"/>
      <c r="E571"/>
    </row>
    <row r="572" spans="3:5" x14ac:dyDescent="0.35">
      <c r="C572"/>
      <c r="D572"/>
      <c r="E572"/>
    </row>
    <row r="573" spans="3:5" x14ac:dyDescent="0.35">
      <c r="C573"/>
      <c r="D573"/>
      <c r="E573"/>
    </row>
    <row r="574" spans="3:5" x14ac:dyDescent="0.35">
      <c r="C574"/>
      <c r="D574"/>
      <c r="E574"/>
    </row>
    <row r="575" spans="3:5" x14ac:dyDescent="0.35">
      <c r="C575"/>
      <c r="D575"/>
      <c r="E575"/>
    </row>
    <row r="576" spans="3:5" x14ac:dyDescent="0.35">
      <c r="C576"/>
      <c r="D576"/>
      <c r="E576"/>
    </row>
    <row r="577" spans="3:5" x14ac:dyDescent="0.35">
      <c r="C577"/>
      <c r="D577"/>
      <c r="E577"/>
    </row>
    <row r="578" spans="3:5" x14ac:dyDescent="0.35">
      <c r="C578"/>
      <c r="D578"/>
      <c r="E578"/>
    </row>
    <row r="579" spans="3:5" x14ac:dyDescent="0.35">
      <c r="C579"/>
      <c r="D579"/>
      <c r="E579"/>
    </row>
    <row r="580" spans="3:5" x14ac:dyDescent="0.35">
      <c r="C580"/>
      <c r="D580"/>
      <c r="E580"/>
    </row>
    <row r="581" spans="3:5" x14ac:dyDescent="0.35">
      <c r="C581"/>
      <c r="D581"/>
      <c r="E581"/>
    </row>
    <row r="582" spans="3:5" x14ac:dyDescent="0.35">
      <c r="C582"/>
      <c r="D582"/>
      <c r="E582"/>
    </row>
    <row r="583" spans="3:5" x14ac:dyDescent="0.35">
      <c r="C583"/>
      <c r="D583"/>
      <c r="E583"/>
    </row>
    <row r="584" spans="3:5" x14ac:dyDescent="0.35">
      <c r="C584"/>
      <c r="D584"/>
      <c r="E584"/>
    </row>
    <row r="585" spans="3:5" x14ac:dyDescent="0.35">
      <c r="C585"/>
      <c r="D585"/>
      <c r="E585"/>
    </row>
    <row r="586" spans="3:5" x14ac:dyDescent="0.35">
      <c r="C586"/>
      <c r="D586"/>
      <c r="E586"/>
    </row>
    <row r="587" spans="3:5" x14ac:dyDescent="0.35">
      <c r="C587"/>
      <c r="D587"/>
      <c r="E587"/>
    </row>
    <row r="588" spans="3:5" x14ac:dyDescent="0.35">
      <c r="C588"/>
      <c r="D588"/>
      <c r="E588"/>
    </row>
    <row r="589" spans="3:5" x14ac:dyDescent="0.35">
      <c r="C589"/>
      <c r="D589"/>
      <c r="E589"/>
    </row>
    <row r="590" spans="3:5" x14ac:dyDescent="0.35">
      <c r="C590"/>
      <c r="D590"/>
      <c r="E590"/>
    </row>
    <row r="591" spans="3:5" x14ac:dyDescent="0.35">
      <c r="C591"/>
      <c r="D591"/>
      <c r="E591"/>
    </row>
    <row r="592" spans="3:5" x14ac:dyDescent="0.35">
      <c r="C592"/>
      <c r="D592"/>
      <c r="E592"/>
    </row>
    <row r="593" spans="3:5" x14ac:dyDescent="0.35">
      <c r="C593"/>
      <c r="D593"/>
      <c r="E593"/>
    </row>
    <row r="594" spans="3:5" x14ac:dyDescent="0.35">
      <c r="C594"/>
      <c r="D594"/>
      <c r="E594"/>
    </row>
    <row r="595" spans="3:5" x14ac:dyDescent="0.35">
      <c r="C595"/>
      <c r="D595"/>
      <c r="E595"/>
    </row>
    <row r="596" spans="3:5" x14ac:dyDescent="0.35">
      <c r="C596"/>
      <c r="D596"/>
      <c r="E596"/>
    </row>
    <row r="597" spans="3:5" x14ac:dyDescent="0.35">
      <c r="C597"/>
      <c r="D597"/>
      <c r="E597"/>
    </row>
    <row r="598" spans="3:5" x14ac:dyDescent="0.35">
      <c r="C598"/>
      <c r="D598"/>
      <c r="E598"/>
    </row>
    <row r="599" spans="3:5" x14ac:dyDescent="0.35">
      <c r="C599"/>
      <c r="D599"/>
      <c r="E599"/>
    </row>
    <row r="600" spans="3:5" x14ac:dyDescent="0.35">
      <c r="C600"/>
      <c r="D600"/>
      <c r="E600"/>
    </row>
    <row r="601" spans="3:5" x14ac:dyDescent="0.35">
      <c r="C601"/>
      <c r="D601"/>
      <c r="E601"/>
    </row>
    <row r="602" spans="3:5" x14ac:dyDescent="0.35">
      <c r="C602"/>
      <c r="D602"/>
      <c r="E602"/>
    </row>
    <row r="603" spans="3:5" x14ac:dyDescent="0.35">
      <c r="C603"/>
      <c r="D603"/>
      <c r="E603"/>
    </row>
    <row r="604" spans="3:5" x14ac:dyDescent="0.35">
      <c r="C604"/>
      <c r="D604"/>
      <c r="E604"/>
    </row>
    <row r="605" spans="3:5" x14ac:dyDescent="0.35">
      <c r="C605"/>
      <c r="D605"/>
      <c r="E605"/>
    </row>
    <row r="606" spans="3:5" x14ac:dyDescent="0.35">
      <c r="C606"/>
      <c r="D606"/>
      <c r="E606"/>
    </row>
    <row r="607" spans="3:5" x14ac:dyDescent="0.35">
      <c r="C607"/>
      <c r="D607"/>
      <c r="E607"/>
    </row>
    <row r="608" spans="3:5" x14ac:dyDescent="0.35">
      <c r="C608"/>
      <c r="D608"/>
      <c r="E608"/>
    </row>
    <row r="609" spans="3:5" x14ac:dyDescent="0.35">
      <c r="C609"/>
      <c r="D609"/>
      <c r="E609"/>
    </row>
    <row r="610" spans="3:5" x14ac:dyDescent="0.35">
      <c r="C610"/>
      <c r="D610"/>
      <c r="E610"/>
    </row>
    <row r="611" spans="3:5" x14ac:dyDescent="0.35">
      <c r="C611"/>
      <c r="D611"/>
      <c r="E611"/>
    </row>
    <row r="612" spans="3:5" x14ac:dyDescent="0.35">
      <c r="C612"/>
      <c r="D612"/>
      <c r="E612"/>
    </row>
    <row r="613" spans="3:5" x14ac:dyDescent="0.35">
      <c r="C613"/>
      <c r="D613"/>
      <c r="E613"/>
    </row>
    <row r="614" spans="3:5" x14ac:dyDescent="0.35">
      <c r="C614"/>
      <c r="D614"/>
      <c r="E614"/>
    </row>
    <row r="615" spans="3:5" x14ac:dyDescent="0.35">
      <c r="C615"/>
      <c r="D615"/>
      <c r="E615"/>
    </row>
    <row r="616" spans="3:5" x14ac:dyDescent="0.35">
      <c r="C616"/>
      <c r="D616"/>
      <c r="E616"/>
    </row>
    <row r="617" spans="3:5" x14ac:dyDescent="0.35">
      <c r="C617"/>
      <c r="D617"/>
      <c r="E617"/>
    </row>
    <row r="618" spans="3:5" x14ac:dyDescent="0.35">
      <c r="C618"/>
      <c r="D618"/>
      <c r="E618"/>
    </row>
    <row r="619" spans="3:5" x14ac:dyDescent="0.35">
      <c r="C619"/>
      <c r="D619"/>
      <c r="E619"/>
    </row>
    <row r="620" spans="3:5" x14ac:dyDescent="0.35">
      <c r="C620"/>
      <c r="D620"/>
      <c r="E620"/>
    </row>
    <row r="621" spans="3:5" x14ac:dyDescent="0.35">
      <c r="C621"/>
      <c r="D621"/>
      <c r="E621"/>
    </row>
    <row r="622" spans="3:5" x14ac:dyDescent="0.35">
      <c r="C622"/>
      <c r="D622"/>
      <c r="E622"/>
    </row>
    <row r="623" spans="3:5" x14ac:dyDescent="0.35">
      <c r="C623"/>
      <c r="D623"/>
      <c r="E623"/>
    </row>
    <row r="624" spans="3:5" x14ac:dyDescent="0.35">
      <c r="C624"/>
      <c r="D624"/>
      <c r="E624"/>
    </row>
    <row r="625" spans="3:5" x14ac:dyDescent="0.35">
      <c r="C625"/>
      <c r="D625"/>
      <c r="E625"/>
    </row>
    <row r="626" spans="3:5" x14ac:dyDescent="0.35">
      <c r="C626"/>
      <c r="D626"/>
      <c r="E626"/>
    </row>
    <row r="627" spans="3:5" x14ac:dyDescent="0.35">
      <c r="C627"/>
      <c r="D627"/>
      <c r="E627"/>
    </row>
    <row r="628" spans="3:5" x14ac:dyDescent="0.35">
      <c r="C628"/>
      <c r="D628"/>
      <c r="E628"/>
    </row>
    <row r="629" spans="3:5" x14ac:dyDescent="0.35">
      <c r="C629"/>
      <c r="D629"/>
      <c r="E629"/>
    </row>
    <row r="630" spans="3:5" x14ac:dyDescent="0.35">
      <c r="C630"/>
      <c r="D630"/>
      <c r="E630"/>
    </row>
    <row r="631" spans="3:5" x14ac:dyDescent="0.35">
      <c r="C631"/>
      <c r="D631"/>
      <c r="E631"/>
    </row>
    <row r="632" spans="3:5" x14ac:dyDescent="0.35">
      <c r="C632"/>
      <c r="D632"/>
      <c r="E632"/>
    </row>
    <row r="633" spans="3:5" x14ac:dyDescent="0.35">
      <c r="C633"/>
      <c r="D633"/>
      <c r="E633"/>
    </row>
    <row r="634" spans="3:5" x14ac:dyDescent="0.35">
      <c r="C634"/>
      <c r="D634"/>
      <c r="E634"/>
    </row>
    <row r="635" spans="3:5" x14ac:dyDescent="0.35">
      <c r="C635"/>
      <c r="D635"/>
      <c r="E635"/>
    </row>
    <row r="636" spans="3:5" x14ac:dyDescent="0.35">
      <c r="C636"/>
      <c r="D636"/>
      <c r="E636"/>
    </row>
    <row r="637" spans="3:5" x14ac:dyDescent="0.35">
      <c r="C637"/>
      <c r="D637"/>
      <c r="E637"/>
    </row>
    <row r="638" spans="3:5" x14ac:dyDescent="0.35">
      <c r="C638"/>
      <c r="D638"/>
      <c r="E638"/>
    </row>
    <row r="639" spans="3:5" x14ac:dyDescent="0.35">
      <c r="C639"/>
      <c r="D639"/>
      <c r="E639"/>
    </row>
    <row r="640" spans="3:5" x14ac:dyDescent="0.35">
      <c r="C640"/>
      <c r="D640"/>
      <c r="E640"/>
    </row>
    <row r="641" spans="3:5" x14ac:dyDescent="0.35">
      <c r="C641"/>
      <c r="D641"/>
      <c r="E641"/>
    </row>
    <row r="642" spans="3:5" x14ac:dyDescent="0.35">
      <c r="C642"/>
      <c r="D642"/>
      <c r="E642"/>
    </row>
    <row r="643" spans="3:5" x14ac:dyDescent="0.35">
      <c r="C643"/>
      <c r="D643"/>
      <c r="E643"/>
    </row>
    <row r="644" spans="3:5" x14ac:dyDescent="0.35">
      <c r="C644"/>
      <c r="D644"/>
      <c r="E644"/>
    </row>
    <row r="645" spans="3:5" x14ac:dyDescent="0.35">
      <c r="C645"/>
      <c r="D645"/>
      <c r="E645"/>
    </row>
    <row r="646" spans="3:5" x14ac:dyDescent="0.35">
      <c r="C646"/>
      <c r="D646"/>
      <c r="E646"/>
    </row>
    <row r="647" spans="3:5" x14ac:dyDescent="0.35">
      <c r="C647"/>
      <c r="D647"/>
      <c r="E647"/>
    </row>
    <row r="648" spans="3:5" x14ac:dyDescent="0.35">
      <c r="C648"/>
      <c r="D648"/>
      <c r="E648"/>
    </row>
    <row r="649" spans="3:5" x14ac:dyDescent="0.35">
      <c r="C649"/>
      <c r="D649"/>
      <c r="E649"/>
    </row>
    <row r="650" spans="3:5" x14ac:dyDescent="0.35">
      <c r="C650"/>
      <c r="D650"/>
      <c r="E650"/>
    </row>
    <row r="651" spans="3:5" x14ac:dyDescent="0.35">
      <c r="C651"/>
      <c r="D651"/>
      <c r="E651"/>
    </row>
    <row r="652" spans="3:5" x14ac:dyDescent="0.35">
      <c r="C652"/>
      <c r="D652"/>
      <c r="E652"/>
    </row>
    <row r="653" spans="3:5" x14ac:dyDescent="0.35">
      <c r="C653"/>
      <c r="D653"/>
      <c r="E653"/>
    </row>
    <row r="654" spans="3:5" x14ac:dyDescent="0.35">
      <c r="C654"/>
      <c r="D654"/>
      <c r="E654"/>
    </row>
    <row r="655" spans="3:5" x14ac:dyDescent="0.35">
      <c r="C655"/>
      <c r="D655"/>
      <c r="E655"/>
    </row>
    <row r="656" spans="3:5" x14ac:dyDescent="0.35">
      <c r="C656"/>
      <c r="D656"/>
      <c r="E656"/>
    </row>
    <row r="657" spans="3:5" x14ac:dyDescent="0.35">
      <c r="C657"/>
      <c r="D657"/>
      <c r="E657"/>
    </row>
    <row r="658" spans="3:5" x14ac:dyDescent="0.35">
      <c r="C658"/>
      <c r="D658"/>
      <c r="E658"/>
    </row>
    <row r="659" spans="3:5" x14ac:dyDescent="0.35">
      <c r="C659"/>
      <c r="D659"/>
      <c r="E659"/>
    </row>
    <row r="660" spans="3:5" x14ac:dyDescent="0.35">
      <c r="C660"/>
      <c r="D660"/>
      <c r="E660"/>
    </row>
    <row r="661" spans="3:5" x14ac:dyDescent="0.35">
      <c r="C661"/>
      <c r="D661"/>
      <c r="E661"/>
    </row>
    <row r="662" spans="3:5" x14ac:dyDescent="0.35">
      <c r="C662"/>
      <c r="D662"/>
      <c r="E662"/>
    </row>
    <row r="663" spans="3:5" x14ac:dyDescent="0.35">
      <c r="C663"/>
      <c r="D663"/>
      <c r="E663"/>
    </row>
    <row r="664" spans="3:5" x14ac:dyDescent="0.35">
      <c r="C664"/>
      <c r="D664"/>
      <c r="E664"/>
    </row>
    <row r="665" spans="3:5" x14ac:dyDescent="0.35">
      <c r="C665"/>
      <c r="D665"/>
      <c r="E665"/>
    </row>
    <row r="666" spans="3:5" x14ac:dyDescent="0.35">
      <c r="C666"/>
      <c r="D666"/>
      <c r="E666"/>
    </row>
    <row r="667" spans="3:5" x14ac:dyDescent="0.35">
      <c r="C667"/>
      <c r="D667"/>
      <c r="E667"/>
    </row>
    <row r="668" spans="3:5" x14ac:dyDescent="0.35">
      <c r="C668"/>
      <c r="D668"/>
      <c r="E668"/>
    </row>
    <row r="669" spans="3:5" x14ac:dyDescent="0.35">
      <c r="C669"/>
      <c r="D669"/>
      <c r="E669"/>
    </row>
    <row r="670" spans="3:5" x14ac:dyDescent="0.35">
      <c r="C670"/>
      <c r="D670"/>
      <c r="E670"/>
    </row>
    <row r="671" spans="3:5" x14ac:dyDescent="0.35">
      <c r="C671"/>
      <c r="D671"/>
      <c r="E671"/>
    </row>
    <row r="672" spans="3:5" x14ac:dyDescent="0.35">
      <c r="C672"/>
      <c r="D672"/>
      <c r="E672"/>
    </row>
    <row r="673" spans="3:5" x14ac:dyDescent="0.35">
      <c r="C673"/>
      <c r="D673"/>
      <c r="E673"/>
    </row>
    <row r="674" spans="3:5" x14ac:dyDescent="0.35">
      <c r="C674"/>
      <c r="D674"/>
      <c r="E674"/>
    </row>
    <row r="675" spans="3:5" x14ac:dyDescent="0.35">
      <c r="C675"/>
      <c r="D675"/>
      <c r="E675"/>
    </row>
    <row r="676" spans="3:5" x14ac:dyDescent="0.35">
      <c r="C676"/>
      <c r="D676"/>
      <c r="E676"/>
    </row>
    <row r="677" spans="3:5" x14ac:dyDescent="0.35">
      <c r="C677"/>
      <c r="D677"/>
      <c r="E677"/>
    </row>
    <row r="678" spans="3:5" x14ac:dyDescent="0.35">
      <c r="C678"/>
      <c r="D678"/>
      <c r="E678"/>
    </row>
    <row r="679" spans="3:5" x14ac:dyDescent="0.35">
      <c r="C679"/>
      <c r="D679"/>
      <c r="E679"/>
    </row>
    <row r="680" spans="3:5" x14ac:dyDescent="0.35">
      <c r="C680"/>
      <c r="D680"/>
      <c r="E680"/>
    </row>
    <row r="681" spans="3:5" x14ac:dyDescent="0.35">
      <c r="C681"/>
      <c r="D681"/>
      <c r="E681"/>
    </row>
    <row r="682" spans="3:5" x14ac:dyDescent="0.35">
      <c r="C682"/>
      <c r="D682"/>
      <c r="E682"/>
    </row>
    <row r="683" spans="3:5" x14ac:dyDescent="0.35">
      <c r="C683"/>
      <c r="D683"/>
      <c r="E683"/>
    </row>
    <row r="684" spans="3:5" x14ac:dyDescent="0.35">
      <c r="C684"/>
      <c r="D684"/>
      <c r="E684"/>
    </row>
    <row r="685" spans="3:5" x14ac:dyDescent="0.35">
      <c r="C685"/>
      <c r="D685"/>
      <c r="E685"/>
    </row>
    <row r="686" spans="3:5" x14ac:dyDescent="0.35">
      <c r="C686"/>
      <c r="D686"/>
      <c r="E686"/>
    </row>
    <row r="687" spans="3:5" x14ac:dyDescent="0.35">
      <c r="C687"/>
      <c r="D687"/>
      <c r="E687"/>
    </row>
    <row r="688" spans="3:5" x14ac:dyDescent="0.35">
      <c r="C688"/>
      <c r="D688"/>
      <c r="E688"/>
    </row>
    <row r="689" spans="3:5" x14ac:dyDescent="0.35">
      <c r="C689"/>
      <c r="D689"/>
      <c r="E689"/>
    </row>
    <row r="690" spans="3:5" x14ac:dyDescent="0.35">
      <c r="C690"/>
      <c r="D690"/>
      <c r="E690"/>
    </row>
    <row r="691" spans="3:5" x14ac:dyDescent="0.35">
      <c r="C691"/>
      <c r="D691"/>
      <c r="E691"/>
    </row>
    <row r="692" spans="3:5" x14ac:dyDescent="0.35">
      <c r="C692"/>
      <c r="D692"/>
      <c r="E692"/>
    </row>
    <row r="693" spans="3:5" x14ac:dyDescent="0.35">
      <c r="C693"/>
      <c r="D693"/>
      <c r="E693"/>
    </row>
    <row r="694" spans="3:5" x14ac:dyDescent="0.35">
      <c r="C694"/>
      <c r="D694"/>
      <c r="E694"/>
    </row>
    <row r="695" spans="3:5" x14ac:dyDescent="0.35">
      <c r="C695"/>
      <c r="D695"/>
      <c r="E695"/>
    </row>
    <row r="696" spans="3:5" x14ac:dyDescent="0.35">
      <c r="C696"/>
      <c r="D696"/>
      <c r="E696"/>
    </row>
    <row r="697" spans="3:5" x14ac:dyDescent="0.35">
      <c r="C697"/>
      <c r="D697"/>
      <c r="E697"/>
    </row>
    <row r="698" spans="3:5" x14ac:dyDescent="0.35">
      <c r="C698"/>
      <c r="D698"/>
      <c r="E698"/>
    </row>
    <row r="699" spans="3:5" x14ac:dyDescent="0.35">
      <c r="C699"/>
      <c r="D699"/>
      <c r="E699"/>
    </row>
    <row r="700" spans="3:5" x14ac:dyDescent="0.35">
      <c r="C700"/>
      <c r="D700"/>
      <c r="E700"/>
    </row>
    <row r="701" spans="3:5" x14ac:dyDescent="0.35">
      <c r="C701"/>
      <c r="D701"/>
      <c r="E701"/>
    </row>
    <row r="702" spans="3:5" x14ac:dyDescent="0.35">
      <c r="C702"/>
      <c r="D702"/>
      <c r="E702"/>
    </row>
    <row r="703" spans="3:5" x14ac:dyDescent="0.35">
      <c r="C703"/>
      <c r="D703"/>
      <c r="E703"/>
    </row>
    <row r="704" spans="3:5" x14ac:dyDescent="0.35">
      <c r="C704"/>
      <c r="D704"/>
      <c r="E704"/>
    </row>
    <row r="705" spans="3:5" x14ac:dyDescent="0.35">
      <c r="C705"/>
      <c r="D705"/>
      <c r="E705"/>
    </row>
    <row r="706" spans="3:5" x14ac:dyDescent="0.35">
      <c r="C706"/>
      <c r="D706"/>
      <c r="E706"/>
    </row>
    <row r="707" spans="3:5" x14ac:dyDescent="0.35">
      <c r="C707"/>
      <c r="D707"/>
      <c r="E707"/>
    </row>
    <row r="708" spans="3:5" x14ac:dyDescent="0.35">
      <c r="C708"/>
      <c r="D708"/>
      <c r="E708"/>
    </row>
    <row r="709" spans="3:5" x14ac:dyDescent="0.35">
      <c r="C709"/>
      <c r="D709"/>
      <c r="E709"/>
    </row>
    <row r="710" spans="3:5" x14ac:dyDescent="0.35">
      <c r="C710"/>
      <c r="D710"/>
      <c r="E710"/>
    </row>
    <row r="711" spans="3:5" x14ac:dyDescent="0.35">
      <c r="C711"/>
      <c r="D711"/>
      <c r="E711"/>
    </row>
    <row r="712" spans="3:5" x14ac:dyDescent="0.35">
      <c r="C712"/>
      <c r="D712"/>
      <c r="E712"/>
    </row>
    <row r="713" spans="3:5" x14ac:dyDescent="0.35">
      <c r="C713"/>
      <c r="D713"/>
      <c r="E713"/>
    </row>
    <row r="714" spans="3:5" x14ac:dyDescent="0.35">
      <c r="C714"/>
      <c r="D714"/>
      <c r="E714"/>
    </row>
    <row r="715" spans="3:5" x14ac:dyDescent="0.35">
      <c r="C715"/>
      <c r="D715"/>
      <c r="E715"/>
    </row>
    <row r="716" spans="3:5" x14ac:dyDescent="0.35">
      <c r="C716"/>
      <c r="D716"/>
      <c r="E716"/>
    </row>
    <row r="717" spans="3:5" x14ac:dyDescent="0.35">
      <c r="C717"/>
      <c r="D717"/>
      <c r="E717"/>
    </row>
    <row r="718" spans="3:5" x14ac:dyDescent="0.35">
      <c r="C718"/>
      <c r="D718"/>
      <c r="E718"/>
    </row>
    <row r="719" spans="3:5" x14ac:dyDescent="0.35">
      <c r="C719"/>
      <c r="D719"/>
      <c r="E719"/>
    </row>
    <row r="720" spans="3:5" x14ac:dyDescent="0.35">
      <c r="C720"/>
      <c r="D720"/>
      <c r="E720"/>
    </row>
    <row r="721" spans="3:5" x14ac:dyDescent="0.35">
      <c r="C721"/>
      <c r="D721"/>
      <c r="E721"/>
    </row>
    <row r="722" spans="3:5" x14ac:dyDescent="0.35">
      <c r="C722"/>
      <c r="D722"/>
      <c r="E722"/>
    </row>
    <row r="723" spans="3:5" x14ac:dyDescent="0.35">
      <c r="C723"/>
      <c r="D723"/>
      <c r="E723"/>
    </row>
    <row r="724" spans="3:5" x14ac:dyDescent="0.35">
      <c r="C724"/>
      <c r="D724"/>
      <c r="E724"/>
    </row>
    <row r="725" spans="3:5" x14ac:dyDescent="0.35">
      <c r="C725"/>
      <c r="D725"/>
      <c r="E725"/>
    </row>
    <row r="726" spans="3:5" x14ac:dyDescent="0.35">
      <c r="C726"/>
      <c r="D726"/>
      <c r="E726"/>
    </row>
    <row r="727" spans="3:5" x14ac:dyDescent="0.35">
      <c r="C727"/>
      <c r="D727"/>
      <c r="E727"/>
    </row>
    <row r="728" spans="3:5" x14ac:dyDescent="0.35">
      <c r="C728"/>
      <c r="D728"/>
      <c r="E728"/>
    </row>
    <row r="729" spans="3:5" x14ac:dyDescent="0.35">
      <c r="C729"/>
      <c r="D729"/>
      <c r="E729"/>
    </row>
    <row r="730" spans="3:5" x14ac:dyDescent="0.35">
      <c r="C730"/>
      <c r="D730"/>
      <c r="E730"/>
    </row>
    <row r="731" spans="3:5" x14ac:dyDescent="0.35">
      <c r="C731"/>
      <c r="D731"/>
      <c r="E731"/>
    </row>
    <row r="732" spans="3:5" x14ac:dyDescent="0.35">
      <c r="C732"/>
      <c r="D732"/>
      <c r="E732"/>
    </row>
    <row r="733" spans="3:5" x14ac:dyDescent="0.35">
      <c r="C733"/>
      <c r="D733"/>
      <c r="E733"/>
    </row>
    <row r="734" spans="3:5" x14ac:dyDescent="0.35">
      <c r="C734"/>
      <c r="D734"/>
      <c r="E734"/>
    </row>
    <row r="735" spans="3:5" x14ac:dyDescent="0.35">
      <c r="C735"/>
      <c r="D735"/>
      <c r="E735"/>
    </row>
    <row r="736" spans="3:5" x14ac:dyDescent="0.35">
      <c r="C736"/>
      <c r="D736"/>
      <c r="E736"/>
    </row>
    <row r="737" spans="3:5" x14ac:dyDescent="0.35">
      <c r="C737"/>
      <c r="D737"/>
      <c r="E737"/>
    </row>
    <row r="738" spans="3:5" x14ac:dyDescent="0.35">
      <c r="C738"/>
      <c r="D738"/>
      <c r="E738"/>
    </row>
    <row r="739" spans="3:5" x14ac:dyDescent="0.35">
      <c r="C739"/>
      <c r="D739"/>
      <c r="E739"/>
    </row>
    <row r="740" spans="3:5" x14ac:dyDescent="0.35">
      <c r="C740"/>
      <c r="D740"/>
      <c r="E740"/>
    </row>
    <row r="741" spans="3:5" x14ac:dyDescent="0.35">
      <c r="C741"/>
      <c r="D741"/>
      <c r="E741"/>
    </row>
    <row r="742" spans="3:5" x14ac:dyDescent="0.35">
      <c r="C742"/>
      <c r="D742"/>
      <c r="E742"/>
    </row>
    <row r="743" spans="3:5" x14ac:dyDescent="0.35">
      <c r="C743"/>
      <c r="D743"/>
      <c r="E743"/>
    </row>
    <row r="744" spans="3:5" x14ac:dyDescent="0.35">
      <c r="C744"/>
      <c r="D744"/>
      <c r="E744"/>
    </row>
    <row r="745" spans="3:5" x14ac:dyDescent="0.35">
      <c r="C745"/>
      <c r="D745"/>
      <c r="E745"/>
    </row>
    <row r="746" spans="3:5" x14ac:dyDescent="0.35">
      <c r="C746"/>
      <c r="D746"/>
      <c r="E746"/>
    </row>
    <row r="747" spans="3:5" x14ac:dyDescent="0.35">
      <c r="C747"/>
      <c r="D747"/>
      <c r="E747"/>
    </row>
    <row r="748" spans="3:5" x14ac:dyDescent="0.35">
      <c r="C748"/>
      <c r="D748"/>
      <c r="E748"/>
    </row>
    <row r="749" spans="3:5" x14ac:dyDescent="0.35">
      <c r="C749"/>
      <c r="D749"/>
      <c r="E749"/>
    </row>
    <row r="750" spans="3:5" x14ac:dyDescent="0.35">
      <c r="C750"/>
      <c r="D750"/>
      <c r="E750"/>
    </row>
    <row r="751" spans="3:5" x14ac:dyDescent="0.35">
      <c r="C751"/>
      <c r="D751"/>
      <c r="E751"/>
    </row>
    <row r="752" spans="3:5" x14ac:dyDescent="0.35">
      <c r="C752"/>
      <c r="D752"/>
      <c r="E752"/>
    </row>
    <row r="753" spans="3:5" x14ac:dyDescent="0.35">
      <c r="C753"/>
      <c r="D753"/>
      <c r="E753"/>
    </row>
    <row r="754" spans="3:5" x14ac:dyDescent="0.35">
      <c r="C754"/>
      <c r="D754"/>
      <c r="E754"/>
    </row>
    <row r="755" spans="3:5" x14ac:dyDescent="0.35">
      <c r="C755"/>
      <c r="D755"/>
      <c r="E755"/>
    </row>
    <row r="756" spans="3:5" x14ac:dyDescent="0.35">
      <c r="C756"/>
      <c r="D756"/>
      <c r="E756"/>
    </row>
    <row r="757" spans="3:5" x14ac:dyDescent="0.35">
      <c r="C757"/>
      <c r="D757"/>
      <c r="E757"/>
    </row>
    <row r="758" spans="3:5" x14ac:dyDescent="0.35">
      <c r="C758"/>
      <c r="D758"/>
      <c r="E758"/>
    </row>
    <row r="759" spans="3:5" x14ac:dyDescent="0.35">
      <c r="C759"/>
      <c r="D759"/>
      <c r="E759"/>
    </row>
    <row r="760" spans="3:5" x14ac:dyDescent="0.35">
      <c r="C760"/>
      <c r="D760"/>
      <c r="E760"/>
    </row>
    <row r="761" spans="3:5" x14ac:dyDescent="0.35">
      <c r="C761"/>
      <c r="D761"/>
      <c r="E761"/>
    </row>
    <row r="762" spans="3:5" x14ac:dyDescent="0.35">
      <c r="C762"/>
      <c r="D762"/>
      <c r="E762"/>
    </row>
    <row r="763" spans="3:5" x14ac:dyDescent="0.35">
      <c r="C763"/>
      <c r="D763"/>
      <c r="E763"/>
    </row>
    <row r="764" spans="3:5" x14ac:dyDescent="0.35">
      <c r="C764"/>
      <c r="D764"/>
      <c r="E764"/>
    </row>
    <row r="765" spans="3:5" x14ac:dyDescent="0.35">
      <c r="C765"/>
      <c r="D765"/>
      <c r="E765"/>
    </row>
    <row r="766" spans="3:5" x14ac:dyDescent="0.35">
      <c r="C766"/>
      <c r="D766"/>
      <c r="E766"/>
    </row>
    <row r="767" spans="3:5" x14ac:dyDescent="0.35">
      <c r="C767"/>
      <c r="D767"/>
      <c r="E767"/>
    </row>
    <row r="768" spans="3:5" x14ac:dyDescent="0.35">
      <c r="C768"/>
      <c r="D768"/>
      <c r="E768"/>
    </row>
    <row r="769" spans="3:5" x14ac:dyDescent="0.35">
      <c r="C769"/>
      <c r="D769"/>
      <c r="E769"/>
    </row>
    <row r="770" spans="3:5" x14ac:dyDescent="0.35">
      <c r="C770"/>
      <c r="D770"/>
      <c r="E770"/>
    </row>
    <row r="771" spans="3:5" x14ac:dyDescent="0.35">
      <c r="C771"/>
      <c r="D771"/>
      <c r="E771"/>
    </row>
    <row r="772" spans="3:5" x14ac:dyDescent="0.35">
      <c r="C772"/>
      <c r="D772"/>
      <c r="E772"/>
    </row>
    <row r="773" spans="3:5" x14ac:dyDescent="0.35">
      <c r="C773"/>
      <c r="D773"/>
      <c r="E773"/>
    </row>
    <row r="774" spans="3:5" x14ac:dyDescent="0.35">
      <c r="C774"/>
      <c r="D774"/>
      <c r="E774"/>
    </row>
    <row r="775" spans="3:5" x14ac:dyDescent="0.35">
      <c r="C775"/>
      <c r="D775"/>
      <c r="E775"/>
    </row>
    <row r="776" spans="3:5" x14ac:dyDescent="0.35">
      <c r="C776"/>
      <c r="D776"/>
      <c r="E776"/>
    </row>
    <row r="777" spans="3:5" x14ac:dyDescent="0.35">
      <c r="C777"/>
      <c r="D777"/>
      <c r="E777"/>
    </row>
    <row r="778" spans="3:5" x14ac:dyDescent="0.35">
      <c r="C778"/>
      <c r="D778"/>
      <c r="E778"/>
    </row>
    <row r="779" spans="3:5" x14ac:dyDescent="0.35">
      <c r="C779"/>
      <c r="D779"/>
      <c r="E779"/>
    </row>
    <row r="780" spans="3:5" x14ac:dyDescent="0.35">
      <c r="C780"/>
      <c r="D780"/>
      <c r="E780"/>
    </row>
    <row r="781" spans="3:5" x14ac:dyDescent="0.35">
      <c r="C781"/>
      <c r="D781"/>
      <c r="E781"/>
    </row>
    <row r="782" spans="3:5" x14ac:dyDescent="0.35">
      <c r="C782"/>
      <c r="D782"/>
      <c r="E782"/>
    </row>
    <row r="783" spans="3:5" x14ac:dyDescent="0.35">
      <c r="C783"/>
      <c r="D783"/>
      <c r="E783"/>
    </row>
    <row r="784" spans="3:5" x14ac:dyDescent="0.35">
      <c r="C784"/>
      <c r="D784"/>
      <c r="E784"/>
    </row>
    <row r="785" spans="3:5" x14ac:dyDescent="0.35">
      <c r="C785"/>
      <c r="D785"/>
      <c r="E785"/>
    </row>
    <row r="786" spans="3:5" x14ac:dyDescent="0.35">
      <c r="C786"/>
      <c r="D786"/>
      <c r="E786"/>
    </row>
    <row r="787" spans="3:5" x14ac:dyDescent="0.35">
      <c r="C787"/>
      <c r="D787"/>
      <c r="E787"/>
    </row>
    <row r="788" spans="3:5" x14ac:dyDescent="0.35">
      <c r="C788"/>
      <c r="D788"/>
      <c r="E788"/>
    </row>
    <row r="789" spans="3:5" x14ac:dyDescent="0.35">
      <c r="C789"/>
      <c r="D789"/>
      <c r="E789"/>
    </row>
    <row r="790" spans="3:5" x14ac:dyDescent="0.35">
      <c r="C790"/>
      <c r="D790"/>
      <c r="E790"/>
    </row>
    <row r="791" spans="3:5" x14ac:dyDescent="0.35">
      <c r="C791"/>
      <c r="D791"/>
      <c r="E791"/>
    </row>
    <row r="792" spans="3:5" x14ac:dyDescent="0.35">
      <c r="C792"/>
      <c r="D792"/>
      <c r="E792"/>
    </row>
    <row r="793" spans="3:5" x14ac:dyDescent="0.35">
      <c r="C793"/>
      <c r="D793"/>
      <c r="E793"/>
    </row>
    <row r="794" spans="3:5" x14ac:dyDescent="0.35">
      <c r="C794"/>
      <c r="D794"/>
      <c r="E794"/>
    </row>
    <row r="795" spans="3:5" x14ac:dyDescent="0.35">
      <c r="C795"/>
      <c r="D795"/>
      <c r="E795"/>
    </row>
    <row r="796" spans="3:5" x14ac:dyDescent="0.35">
      <c r="C796"/>
      <c r="D796"/>
      <c r="E796"/>
    </row>
    <row r="797" spans="3:5" x14ac:dyDescent="0.35">
      <c r="C797"/>
      <c r="D797"/>
      <c r="E797"/>
    </row>
    <row r="798" spans="3:5" x14ac:dyDescent="0.35">
      <c r="C798"/>
      <c r="D798"/>
      <c r="E798"/>
    </row>
    <row r="799" spans="3:5" x14ac:dyDescent="0.35">
      <c r="C799"/>
      <c r="D799"/>
      <c r="E799"/>
    </row>
    <row r="800" spans="3:5" x14ac:dyDescent="0.35">
      <c r="C800"/>
      <c r="D800"/>
      <c r="E800"/>
    </row>
    <row r="801" spans="3:5" x14ac:dyDescent="0.35">
      <c r="C801"/>
      <c r="D801"/>
      <c r="E801"/>
    </row>
    <row r="802" spans="3:5" x14ac:dyDescent="0.35">
      <c r="C802"/>
      <c r="D802"/>
      <c r="E802"/>
    </row>
    <row r="803" spans="3:5" x14ac:dyDescent="0.35">
      <c r="C803"/>
      <c r="D803"/>
      <c r="E803"/>
    </row>
    <row r="804" spans="3:5" x14ac:dyDescent="0.35">
      <c r="C804"/>
      <c r="D804"/>
      <c r="E804"/>
    </row>
    <row r="805" spans="3:5" x14ac:dyDescent="0.35">
      <c r="C805"/>
      <c r="D805"/>
      <c r="E805"/>
    </row>
    <row r="806" spans="3:5" x14ac:dyDescent="0.35">
      <c r="C806"/>
      <c r="D806"/>
      <c r="E806"/>
    </row>
    <row r="807" spans="3:5" x14ac:dyDescent="0.35">
      <c r="C807"/>
      <c r="D807"/>
      <c r="E807"/>
    </row>
    <row r="808" spans="3:5" x14ac:dyDescent="0.35">
      <c r="C808"/>
      <c r="D808"/>
      <c r="E808"/>
    </row>
    <row r="809" spans="3:5" x14ac:dyDescent="0.35">
      <c r="C809"/>
      <c r="D809"/>
      <c r="E809"/>
    </row>
    <row r="810" spans="3:5" x14ac:dyDescent="0.35">
      <c r="C810"/>
      <c r="D810"/>
      <c r="E810"/>
    </row>
    <row r="811" spans="3:5" x14ac:dyDescent="0.35">
      <c r="C811"/>
      <c r="D811"/>
      <c r="E811"/>
    </row>
    <row r="812" spans="3:5" x14ac:dyDescent="0.35">
      <c r="C812"/>
      <c r="D812"/>
      <c r="E812"/>
    </row>
    <row r="813" spans="3:5" x14ac:dyDescent="0.35">
      <c r="C813"/>
      <c r="D813"/>
      <c r="E813"/>
    </row>
    <row r="814" spans="3:5" x14ac:dyDescent="0.35">
      <c r="C814"/>
      <c r="D814"/>
      <c r="E814"/>
    </row>
    <row r="815" spans="3:5" x14ac:dyDescent="0.35">
      <c r="C815"/>
      <c r="D815"/>
      <c r="E815"/>
    </row>
    <row r="816" spans="3:5" x14ac:dyDescent="0.35">
      <c r="C816"/>
      <c r="D816"/>
      <c r="E816"/>
    </row>
    <row r="817" spans="3:5" x14ac:dyDescent="0.35">
      <c r="C817"/>
      <c r="D817"/>
      <c r="E817"/>
    </row>
    <row r="818" spans="3:5" x14ac:dyDescent="0.35">
      <c r="C818"/>
      <c r="D818"/>
      <c r="E818"/>
    </row>
    <row r="819" spans="3:5" x14ac:dyDescent="0.35">
      <c r="C819"/>
      <c r="D819"/>
      <c r="E819"/>
    </row>
    <row r="820" spans="3:5" x14ac:dyDescent="0.35">
      <c r="C820"/>
      <c r="D820"/>
      <c r="E820"/>
    </row>
    <row r="821" spans="3:5" x14ac:dyDescent="0.35">
      <c r="C821"/>
      <c r="D821"/>
      <c r="E821"/>
    </row>
    <row r="822" spans="3:5" x14ac:dyDescent="0.35">
      <c r="C822"/>
      <c r="D822"/>
      <c r="E822"/>
    </row>
    <row r="823" spans="3:5" x14ac:dyDescent="0.35">
      <c r="C823"/>
      <c r="D823"/>
      <c r="E823"/>
    </row>
    <row r="824" spans="3:5" x14ac:dyDescent="0.35">
      <c r="C824"/>
      <c r="D824"/>
      <c r="E824"/>
    </row>
    <row r="825" spans="3:5" x14ac:dyDescent="0.35">
      <c r="C825"/>
      <c r="D825"/>
      <c r="E825"/>
    </row>
    <row r="826" spans="3:5" x14ac:dyDescent="0.35">
      <c r="C826"/>
      <c r="D826"/>
      <c r="E826"/>
    </row>
    <row r="827" spans="3:5" x14ac:dyDescent="0.35">
      <c r="C827"/>
      <c r="D827"/>
      <c r="E827"/>
    </row>
    <row r="828" spans="3:5" x14ac:dyDescent="0.35">
      <c r="C828"/>
      <c r="D828"/>
      <c r="E828"/>
    </row>
    <row r="829" spans="3:5" x14ac:dyDescent="0.35">
      <c r="C829"/>
      <c r="D829"/>
      <c r="E829"/>
    </row>
    <row r="830" spans="3:5" x14ac:dyDescent="0.35">
      <c r="C830"/>
      <c r="D830"/>
      <c r="E830"/>
    </row>
    <row r="831" spans="3:5" x14ac:dyDescent="0.35">
      <c r="C831"/>
      <c r="D831"/>
      <c r="E831"/>
    </row>
    <row r="832" spans="3:5" x14ac:dyDescent="0.35">
      <c r="C832"/>
      <c r="D832"/>
      <c r="E832"/>
    </row>
    <row r="833" spans="3:5" x14ac:dyDescent="0.35">
      <c r="C833"/>
      <c r="D833"/>
      <c r="E833"/>
    </row>
    <row r="834" spans="3:5" x14ac:dyDescent="0.35">
      <c r="C834"/>
      <c r="D834"/>
      <c r="E834"/>
    </row>
    <row r="835" spans="3:5" x14ac:dyDescent="0.35">
      <c r="C835"/>
      <c r="D835"/>
      <c r="E835"/>
    </row>
    <row r="836" spans="3:5" x14ac:dyDescent="0.35">
      <c r="C836"/>
      <c r="D836"/>
      <c r="E836"/>
    </row>
    <row r="837" spans="3:5" x14ac:dyDescent="0.35">
      <c r="C837"/>
      <c r="D837"/>
      <c r="E837"/>
    </row>
    <row r="838" spans="3:5" x14ac:dyDescent="0.35">
      <c r="C838"/>
      <c r="D838"/>
      <c r="E838"/>
    </row>
    <row r="839" spans="3:5" x14ac:dyDescent="0.35">
      <c r="C839"/>
      <c r="D839"/>
      <c r="E839"/>
    </row>
    <row r="840" spans="3:5" x14ac:dyDescent="0.35">
      <c r="C840"/>
      <c r="D840"/>
      <c r="E840"/>
    </row>
    <row r="841" spans="3:5" x14ac:dyDescent="0.35">
      <c r="C841"/>
      <c r="D841"/>
      <c r="E841"/>
    </row>
    <row r="842" spans="3:5" x14ac:dyDescent="0.35">
      <c r="C842"/>
      <c r="D842"/>
      <c r="E842"/>
    </row>
    <row r="843" spans="3:5" x14ac:dyDescent="0.35">
      <c r="C843"/>
      <c r="D843"/>
      <c r="E843"/>
    </row>
    <row r="844" spans="3:5" x14ac:dyDescent="0.35">
      <c r="C844"/>
      <c r="D844"/>
      <c r="E844"/>
    </row>
    <row r="845" spans="3:5" x14ac:dyDescent="0.35">
      <c r="C845"/>
      <c r="D845"/>
      <c r="E845"/>
    </row>
    <row r="846" spans="3:5" x14ac:dyDescent="0.35">
      <c r="C846"/>
      <c r="D846"/>
      <c r="E846"/>
    </row>
    <row r="847" spans="3:5" x14ac:dyDescent="0.35">
      <c r="C847"/>
      <c r="D847"/>
      <c r="E847"/>
    </row>
    <row r="848" spans="3:5" x14ac:dyDescent="0.35">
      <c r="C848"/>
      <c r="D848"/>
      <c r="E848"/>
    </row>
    <row r="849" spans="3:5" x14ac:dyDescent="0.35">
      <c r="C849"/>
      <c r="D849"/>
      <c r="E849"/>
    </row>
    <row r="850" spans="3:5" x14ac:dyDescent="0.35">
      <c r="C850"/>
      <c r="D850"/>
      <c r="E850"/>
    </row>
    <row r="851" spans="3:5" x14ac:dyDescent="0.35">
      <c r="C851"/>
      <c r="D851"/>
      <c r="E851"/>
    </row>
    <row r="852" spans="3:5" x14ac:dyDescent="0.35">
      <c r="C852"/>
      <c r="D852"/>
      <c r="E852"/>
    </row>
    <row r="853" spans="3:5" x14ac:dyDescent="0.35">
      <c r="C853"/>
      <c r="D853"/>
      <c r="E853"/>
    </row>
    <row r="854" spans="3:5" x14ac:dyDescent="0.35">
      <c r="C854"/>
      <c r="D854"/>
      <c r="E854"/>
    </row>
    <row r="855" spans="3:5" x14ac:dyDescent="0.35">
      <c r="C855"/>
      <c r="D855"/>
      <c r="E855"/>
    </row>
    <row r="856" spans="3:5" x14ac:dyDescent="0.35">
      <c r="C856"/>
      <c r="D856"/>
      <c r="E856"/>
    </row>
    <row r="857" spans="3:5" x14ac:dyDescent="0.35">
      <c r="C857"/>
      <c r="D857"/>
      <c r="E857"/>
    </row>
    <row r="858" spans="3:5" x14ac:dyDescent="0.35">
      <c r="C858"/>
      <c r="D858"/>
      <c r="E858"/>
    </row>
    <row r="859" spans="3:5" x14ac:dyDescent="0.35">
      <c r="C859"/>
      <c r="D859"/>
      <c r="E859"/>
    </row>
    <row r="860" spans="3:5" x14ac:dyDescent="0.35">
      <c r="C860"/>
      <c r="D860"/>
      <c r="E860"/>
    </row>
    <row r="861" spans="3:5" x14ac:dyDescent="0.35">
      <c r="C861"/>
      <c r="D861"/>
      <c r="E861"/>
    </row>
    <row r="862" spans="3:5" x14ac:dyDescent="0.35">
      <c r="C862"/>
      <c r="D862"/>
      <c r="E862"/>
    </row>
    <row r="863" spans="3:5" x14ac:dyDescent="0.35">
      <c r="C863"/>
      <c r="D863"/>
      <c r="E863"/>
    </row>
    <row r="864" spans="3:5" x14ac:dyDescent="0.35">
      <c r="C864"/>
      <c r="D864"/>
      <c r="E864"/>
    </row>
    <row r="865" spans="3:5" x14ac:dyDescent="0.35">
      <c r="C865"/>
      <c r="D865"/>
      <c r="E865"/>
    </row>
    <row r="866" spans="3:5" x14ac:dyDescent="0.35">
      <c r="C866"/>
      <c r="D866"/>
      <c r="E866"/>
    </row>
    <row r="867" spans="3:5" x14ac:dyDescent="0.35">
      <c r="C867"/>
      <c r="D867"/>
      <c r="E867"/>
    </row>
    <row r="868" spans="3:5" x14ac:dyDescent="0.35">
      <c r="C868"/>
      <c r="D868"/>
      <c r="E868"/>
    </row>
    <row r="869" spans="3:5" x14ac:dyDescent="0.35">
      <c r="C869"/>
      <c r="D869"/>
      <c r="E869"/>
    </row>
    <row r="870" spans="3:5" x14ac:dyDescent="0.35">
      <c r="C870"/>
      <c r="D870"/>
      <c r="E870"/>
    </row>
    <row r="871" spans="3:5" x14ac:dyDescent="0.35">
      <c r="C871"/>
      <c r="D871"/>
      <c r="E871"/>
    </row>
    <row r="872" spans="3:5" x14ac:dyDescent="0.35">
      <c r="C872"/>
      <c r="D872"/>
      <c r="E872"/>
    </row>
    <row r="873" spans="3:5" x14ac:dyDescent="0.35">
      <c r="C873"/>
      <c r="D873"/>
      <c r="E873"/>
    </row>
    <row r="874" spans="3:5" x14ac:dyDescent="0.35">
      <c r="C874"/>
      <c r="D874"/>
      <c r="E874"/>
    </row>
    <row r="875" spans="3:5" x14ac:dyDescent="0.35">
      <c r="C875"/>
      <c r="D875"/>
      <c r="E875"/>
    </row>
    <row r="876" spans="3:5" x14ac:dyDescent="0.35">
      <c r="C876"/>
      <c r="D876"/>
      <c r="E876"/>
    </row>
    <row r="877" spans="3:5" x14ac:dyDescent="0.35">
      <c r="C877"/>
      <c r="D877"/>
      <c r="E877"/>
    </row>
    <row r="878" spans="3:5" x14ac:dyDescent="0.35">
      <c r="C878"/>
      <c r="D878"/>
      <c r="E878"/>
    </row>
    <row r="879" spans="3:5" x14ac:dyDescent="0.35">
      <c r="C879"/>
      <c r="D879"/>
      <c r="E879"/>
    </row>
    <row r="880" spans="3:5" x14ac:dyDescent="0.35">
      <c r="C880"/>
      <c r="D880"/>
      <c r="E880"/>
    </row>
    <row r="881" spans="3:5" x14ac:dyDescent="0.35">
      <c r="C881"/>
      <c r="D881"/>
      <c r="E881"/>
    </row>
    <row r="882" spans="3:5" x14ac:dyDescent="0.35">
      <c r="C882"/>
      <c r="D882"/>
      <c r="E882"/>
    </row>
    <row r="883" spans="3:5" x14ac:dyDescent="0.35">
      <c r="C883"/>
      <c r="D883"/>
      <c r="E883"/>
    </row>
    <row r="884" spans="3:5" x14ac:dyDescent="0.35">
      <c r="C884"/>
      <c r="D884"/>
      <c r="E884"/>
    </row>
    <row r="885" spans="3:5" x14ac:dyDescent="0.35">
      <c r="C885"/>
      <c r="D885"/>
      <c r="E885"/>
    </row>
    <row r="886" spans="3:5" x14ac:dyDescent="0.35">
      <c r="C886"/>
      <c r="D886"/>
      <c r="E886"/>
    </row>
    <row r="887" spans="3:5" x14ac:dyDescent="0.35">
      <c r="C887"/>
      <c r="D887"/>
      <c r="E887"/>
    </row>
    <row r="888" spans="3:5" x14ac:dyDescent="0.35">
      <c r="C888"/>
      <c r="D888"/>
      <c r="E888"/>
    </row>
    <row r="889" spans="3:5" x14ac:dyDescent="0.35">
      <c r="C889"/>
      <c r="D889"/>
      <c r="E889"/>
    </row>
    <row r="890" spans="3:5" x14ac:dyDescent="0.35">
      <c r="C890"/>
      <c r="D890"/>
      <c r="E890"/>
    </row>
    <row r="891" spans="3:5" x14ac:dyDescent="0.35">
      <c r="C891"/>
      <c r="D891"/>
      <c r="E891"/>
    </row>
    <row r="892" spans="3:5" x14ac:dyDescent="0.35">
      <c r="C892"/>
      <c r="D892"/>
      <c r="E892"/>
    </row>
    <row r="893" spans="3:5" x14ac:dyDescent="0.35">
      <c r="C893"/>
      <c r="D893"/>
      <c r="E893"/>
    </row>
    <row r="894" spans="3:5" x14ac:dyDescent="0.35">
      <c r="C894"/>
      <c r="D894"/>
      <c r="E894"/>
    </row>
    <row r="895" spans="3:5" x14ac:dyDescent="0.35">
      <c r="C895"/>
      <c r="D895"/>
      <c r="E895"/>
    </row>
    <row r="896" spans="3:5" x14ac:dyDescent="0.35">
      <c r="C896"/>
      <c r="D896"/>
      <c r="E896"/>
    </row>
    <row r="897" spans="3:5" x14ac:dyDescent="0.35">
      <c r="C897"/>
      <c r="D897"/>
      <c r="E897"/>
    </row>
    <row r="898" spans="3:5" x14ac:dyDescent="0.35">
      <c r="C898"/>
      <c r="D898"/>
      <c r="E898"/>
    </row>
    <row r="899" spans="3:5" x14ac:dyDescent="0.35">
      <c r="C899"/>
      <c r="D899"/>
      <c r="E899"/>
    </row>
    <row r="900" spans="3:5" x14ac:dyDescent="0.35">
      <c r="C900"/>
      <c r="D900"/>
      <c r="E900"/>
    </row>
    <row r="901" spans="3:5" x14ac:dyDescent="0.35">
      <c r="C901"/>
      <c r="D901"/>
      <c r="E901"/>
    </row>
    <row r="902" spans="3:5" x14ac:dyDescent="0.35">
      <c r="C902"/>
      <c r="D902"/>
      <c r="E902"/>
    </row>
    <row r="903" spans="3:5" x14ac:dyDescent="0.35">
      <c r="C903"/>
      <c r="D903"/>
      <c r="E903"/>
    </row>
    <row r="904" spans="3:5" x14ac:dyDescent="0.35">
      <c r="C904"/>
      <c r="D904"/>
      <c r="E904"/>
    </row>
    <row r="905" spans="3:5" x14ac:dyDescent="0.35">
      <c r="C905"/>
      <c r="D905"/>
      <c r="E905"/>
    </row>
    <row r="906" spans="3:5" x14ac:dyDescent="0.35">
      <c r="C906"/>
      <c r="D906"/>
      <c r="E906"/>
    </row>
    <row r="907" spans="3:5" x14ac:dyDescent="0.35">
      <c r="C907"/>
      <c r="D907"/>
      <c r="E907"/>
    </row>
    <row r="908" spans="3:5" x14ac:dyDescent="0.35">
      <c r="C908"/>
      <c r="D908"/>
      <c r="E908"/>
    </row>
    <row r="909" spans="3:5" x14ac:dyDescent="0.35">
      <c r="C909"/>
      <c r="D909"/>
      <c r="E909"/>
    </row>
    <row r="910" spans="3:5" x14ac:dyDescent="0.35">
      <c r="C910"/>
      <c r="D910"/>
      <c r="E910"/>
    </row>
    <row r="911" spans="3:5" x14ac:dyDescent="0.35">
      <c r="C911"/>
      <c r="D911"/>
      <c r="E911"/>
    </row>
    <row r="912" spans="3:5" x14ac:dyDescent="0.35">
      <c r="C912"/>
      <c r="D912"/>
      <c r="E912"/>
    </row>
    <row r="913" spans="3:5" x14ac:dyDescent="0.35">
      <c r="C913"/>
      <c r="D913"/>
      <c r="E913"/>
    </row>
    <row r="914" spans="3:5" x14ac:dyDescent="0.35">
      <c r="C914"/>
      <c r="D914"/>
      <c r="E914"/>
    </row>
    <row r="915" spans="3:5" x14ac:dyDescent="0.35">
      <c r="C915"/>
      <c r="D915"/>
      <c r="E915"/>
    </row>
    <row r="916" spans="3:5" x14ac:dyDescent="0.35">
      <c r="C916"/>
      <c r="D916"/>
      <c r="E916"/>
    </row>
    <row r="917" spans="3:5" x14ac:dyDescent="0.35">
      <c r="C917"/>
      <c r="D917"/>
      <c r="E917"/>
    </row>
    <row r="918" spans="3:5" x14ac:dyDescent="0.35">
      <c r="C918"/>
      <c r="D918"/>
      <c r="E918"/>
    </row>
    <row r="919" spans="3:5" x14ac:dyDescent="0.35">
      <c r="C919"/>
      <c r="D919"/>
      <c r="E919"/>
    </row>
    <row r="920" spans="3:5" x14ac:dyDescent="0.35">
      <c r="C920"/>
      <c r="D920"/>
      <c r="E920"/>
    </row>
    <row r="921" spans="3:5" x14ac:dyDescent="0.35">
      <c r="C921"/>
      <c r="D921"/>
      <c r="E921"/>
    </row>
    <row r="922" spans="3:5" x14ac:dyDescent="0.35">
      <c r="C922"/>
      <c r="D922"/>
      <c r="E922"/>
    </row>
    <row r="923" spans="3:5" x14ac:dyDescent="0.35">
      <c r="C923"/>
      <c r="D923"/>
      <c r="E923"/>
    </row>
    <row r="924" spans="3:5" x14ac:dyDescent="0.35">
      <c r="C924"/>
      <c r="D924"/>
      <c r="E924"/>
    </row>
    <row r="925" spans="3:5" x14ac:dyDescent="0.35">
      <c r="C925"/>
      <c r="D925"/>
      <c r="E925"/>
    </row>
    <row r="926" spans="3:5" x14ac:dyDescent="0.35">
      <c r="C926"/>
      <c r="D926"/>
      <c r="E926"/>
    </row>
    <row r="927" spans="3:5" x14ac:dyDescent="0.35">
      <c r="C927"/>
      <c r="D927"/>
      <c r="E927"/>
    </row>
    <row r="928" spans="3:5" x14ac:dyDescent="0.35">
      <c r="C928"/>
      <c r="D928"/>
      <c r="E928"/>
    </row>
    <row r="929" spans="3:5" x14ac:dyDescent="0.35">
      <c r="C929"/>
      <c r="D929"/>
      <c r="E929"/>
    </row>
    <row r="930" spans="3:5" x14ac:dyDescent="0.35">
      <c r="C930"/>
      <c r="D930"/>
      <c r="E930"/>
    </row>
    <row r="931" spans="3:5" x14ac:dyDescent="0.35">
      <c r="C931"/>
      <c r="D931"/>
      <c r="E931"/>
    </row>
    <row r="932" spans="3:5" x14ac:dyDescent="0.35">
      <c r="C932"/>
      <c r="D932"/>
      <c r="E932"/>
    </row>
    <row r="933" spans="3:5" x14ac:dyDescent="0.35">
      <c r="C933"/>
      <c r="D933"/>
      <c r="E933"/>
    </row>
    <row r="934" spans="3:5" x14ac:dyDescent="0.35">
      <c r="C934"/>
      <c r="D934"/>
      <c r="E934"/>
    </row>
    <row r="935" spans="3:5" x14ac:dyDescent="0.35">
      <c r="C935"/>
      <c r="D935"/>
      <c r="E935"/>
    </row>
    <row r="936" spans="3:5" x14ac:dyDescent="0.35">
      <c r="C936"/>
      <c r="D936"/>
      <c r="E936"/>
    </row>
    <row r="937" spans="3:5" x14ac:dyDescent="0.35">
      <c r="C937"/>
      <c r="D937"/>
      <c r="E937"/>
    </row>
    <row r="938" spans="3:5" x14ac:dyDescent="0.35">
      <c r="C938"/>
      <c r="D938"/>
      <c r="E938"/>
    </row>
    <row r="939" spans="3:5" x14ac:dyDescent="0.35">
      <c r="C939"/>
      <c r="D939"/>
      <c r="E939"/>
    </row>
    <row r="940" spans="3:5" x14ac:dyDescent="0.35">
      <c r="C940"/>
      <c r="D940"/>
      <c r="E940"/>
    </row>
    <row r="941" spans="3:5" x14ac:dyDescent="0.35">
      <c r="C941"/>
      <c r="D941"/>
      <c r="E941"/>
    </row>
    <row r="942" spans="3:5" x14ac:dyDescent="0.35">
      <c r="C942"/>
      <c r="D942"/>
      <c r="E942"/>
    </row>
    <row r="943" spans="3:5" x14ac:dyDescent="0.35">
      <c r="C943"/>
      <c r="D943"/>
      <c r="E943"/>
    </row>
    <row r="944" spans="3:5" x14ac:dyDescent="0.35">
      <c r="C944"/>
      <c r="D944"/>
      <c r="E944"/>
    </row>
    <row r="945" spans="3:5" x14ac:dyDescent="0.35">
      <c r="C945"/>
      <c r="D945"/>
      <c r="E945"/>
    </row>
    <row r="946" spans="3:5" x14ac:dyDescent="0.35">
      <c r="C946"/>
      <c r="D946"/>
      <c r="E946"/>
    </row>
    <row r="947" spans="3:5" x14ac:dyDescent="0.35">
      <c r="C947"/>
      <c r="D947"/>
      <c r="E947"/>
    </row>
    <row r="948" spans="3:5" x14ac:dyDescent="0.35">
      <c r="C948"/>
      <c r="D948"/>
      <c r="E948"/>
    </row>
    <row r="949" spans="3:5" x14ac:dyDescent="0.35">
      <c r="C949"/>
      <c r="D949"/>
      <c r="E949"/>
    </row>
    <row r="950" spans="3:5" x14ac:dyDescent="0.35">
      <c r="C950"/>
      <c r="D950"/>
      <c r="E950"/>
    </row>
    <row r="951" spans="3:5" x14ac:dyDescent="0.35">
      <c r="C951"/>
      <c r="D951"/>
      <c r="E951"/>
    </row>
    <row r="952" spans="3:5" x14ac:dyDescent="0.35">
      <c r="C952"/>
      <c r="D952"/>
      <c r="E952"/>
    </row>
    <row r="953" spans="3:5" x14ac:dyDescent="0.35">
      <c r="C953"/>
      <c r="D953"/>
      <c r="E953"/>
    </row>
    <row r="954" spans="3:5" x14ac:dyDescent="0.35">
      <c r="C954"/>
      <c r="D954"/>
      <c r="E954"/>
    </row>
    <row r="955" spans="3:5" x14ac:dyDescent="0.35">
      <c r="C955"/>
      <c r="D955"/>
      <c r="E955"/>
    </row>
    <row r="956" spans="3:5" x14ac:dyDescent="0.35">
      <c r="C956"/>
      <c r="D956"/>
      <c r="E956"/>
    </row>
    <row r="957" spans="3:5" x14ac:dyDescent="0.35">
      <c r="C957"/>
      <c r="D957"/>
      <c r="E957"/>
    </row>
    <row r="958" spans="3:5" x14ac:dyDescent="0.35">
      <c r="C958"/>
      <c r="D958"/>
      <c r="E958"/>
    </row>
    <row r="959" spans="3:5" x14ac:dyDescent="0.35">
      <c r="C959"/>
      <c r="D959"/>
      <c r="E959"/>
    </row>
    <row r="960" spans="3:5" x14ac:dyDescent="0.35">
      <c r="C960"/>
      <c r="D960"/>
      <c r="E960"/>
    </row>
    <row r="961" spans="3:5" x14ac:dyDescent="0.35">
      <c r="C961"/>
      <c r="D961"/>
      <c r="E961"/>
    </row>
    <row r="962" spans="3:5" x14ac:dyDescent="0.35">
      <c r="C962"/>
      <c r="D962"/>
      <c r="E962"/>
    </row>
    <row r="963" spans="3:5" x14ac:dyDescent="0.35">
      <c r="C963"/>
      <c r="D963"/>
      <c r="E963"/>
    </row>
    <row r="964" spans="3:5" x14ac:dyDescent="0.35">
      <c r="C964"/>
      <c r="D964"/>
      <c r="E964"/>
    </row>
    <row r="965" spans="3:5" x14ac:dyDescent="0.35">
      <c r="C965"/>
      <c r="D965"/>
      <c r="E965"/>
    </row>
    <row r="966" spans="3:5" x14ac:dyDescent="0.35">
      <c r="C966"/>
      <c r="D966"/>
      <c r="E966"/>
    </row>
    <row r="967" spans="3:5" x14ac:dyDescent="0.35">
      <c r="C967"/>
      <c r="D967"/>
      <c r="E967"/>
    </row>
    <row r="968" spans="3:5" x14ac:dyDescent="0.35">
      <c r="C968"/>
      <c r="D968"/>
      <c r="E968"/>
    </row>
    <row r="969" spans="3:5" x14ac:dyDescent="0.35">
      <c r="C969"/>
      <c r="D969"/>
      <c r="E969"/>
    </row>
    <row r="970" spans="3:5" x14ac:dyDescent="0.35">
      <c r="C970"/>
      <c r="D970"/>
      <c r="E970"/>
    </row>
    <row r="971" spans="3:5" x14ac:dyDescent="0.35">
      <c r="C971"/>
      <c r="D971"/>
      <c r="E971"/>
    </row>
    <row r="972" spans="3:5" x14ac:dyDescent="0.35">
      <c r="C972"/>
      <c r="D972"/>
      <c r="E972"/>
    </row>
    <row r="973" spans="3:5" x14ac:dyDescent="0.35">
      <c r="C973"/>
      <c r="D973"/>
      <c r="E973"/>
    </row>
    <row r="974" spans="3:5" x14ac:dyDescent="0.35">
      <c r="C974"/>
      <c r="D974"/>
      <c r="E974"/>
    </row>
    <row r="975" spans="3:5" x14ac:dyDescent="0.35">
      <c r="C975"/>
      <c r="D975"/>
      <c r="E975"/>
    </row>
    <row r="976" spans="3:5" x14ac:dyDescent="0.35">
      <c r="C976"/>
      <c r="D976"/>
      <c r="E976"/>
    </row>
    <row r="977" spans="3:5" x14ac:dyDescent="0.35">
      <c r="C977"/>
      <c r="D977"/>
      <c r="E977"/>
    </row>
    <row r="978" spans="3:5" x14ac:dyDescent="0.35">
      <c r="C978"/>
      <c r="D978"/>
      <c r="E978"/>
    </row>
    <row r="979" spans="3:5" x14ac:dyDescent="0.35">
      <c r="C979"/>
      <c r="D979"/>
      <c r="E979"/>
    </row>
    <row r="980" spans="3:5" x14ac:dyDescent="0.35">
      <c r="C980"/>
      <c r="D980"/>
      <c r="E980"/>
    </row>
    <row r="981" spans="3:5" x14ac:dyDescent="0.35">
      <c r="C981"/>
      <c r="D981"/>
      <c r="E981"/>
    </row>
    <row r="982" spans="3:5" x14ac:dyDescent="0.35">
      <c r="C982"/>
      <c r="D982"/>
      <c r="E982"/>
    </row>
    <row r="983" spans="3:5" x14ac:dyDescent="0.35">
      <c r="C983"/>
      <c r="D983"/>
      <c r="E983"/>
    </row>
    <row r="984" spans="3:5" x14ac:dyDescent="0.35">
      <c r="C984"/>
      <c r="D984"/>
      <c r="E984"/>
    </row>
    <row r="985" spans="3:5" x14ac:dyDescent="0.35">
      <c r="C985"/>
      <c r="D985"/>
      <c r="E985"/>
    </row>
    <row r="986" spans="3:5" x14ac:dyDescent="0.35">
      <c r="C986"/>
      <c r="D986"/>
      <c r="E986"/>
    </row>
    <row r="987" spans="3:5" x14ac:dyDescent="0.35">
      <c r="C987"/>
      <c r="D987"/>
      <c r="E987"/>
    </row>
    <row r="988" spans="3:5" x14ac:dyDescent="0.35">
      <c r="C988"/>
      <c r="D988"/>
      <c r="E988"/>
    </row>
    <row r="989" spans="3:5" x14ac:dyDescent="0.35">
      <c r="C989"/>
      <c r="D989"/>
      <c r="E989"/>
    </row>
    <row r="990" spans="3:5" x14ac:dyDescent="0.35">
      <c r="C990"/>
      <c r="D990"/>
      <c r="E990"/>
    </row>
    <row r="991" spans="3:5" x14ac:dyDescent="0.35">
      <c r="C991"/>
      <c r="D991"/>
      <c r="E991"/>
    </row>
    <row r="992" spans="3:5" x14ac:dyDescent="0.35">
      <c r="C992"/>
      <c r="D992"/>
      <c r="E992"/>
    </row>
    <row r="993" spans="3:5" x14ac:dyDescent="0.35">
      <c r="C993"/>
      <c r="D993"/>
      <c r="E993"/>
    </row>
    <row r="994" spans="3:5" x14ac:dyDescent="0.35">
      <c r="C994"/>
      <c r="D994"/>
      <c r="E994"/>
    </row>
    <row r="995" spans="3:5" x14ac:dyDescent="0.35">
      <c r="C995"/>
      <c r="D995"/>
      <c r="E995"/>
    </row>
    <row r="996" spans="3:5" x14ac:dyDescent="0.35">
      <c r="C996"/>
      <c r="D996"/>
      <c r="E996"/>
    </row>
    <row r="997" spans="3:5" x14ac:dyDescent="0.35">
      <c r="C997"/>
      <c r="D997"/>
      <c r="E997"/>
    </row>
    <row r="998" spans="3:5" x14ac:dyDescent="0.35">
      <c r="C998"/>
      <c r="D998"/>
      <c r="E998"/>
    </row>
    <row r="999" spans="3:5" x14ac:dyDescent="0.35">
      <c r="C999"/>
      <c r="D999"/>
      <c r="E999"/>
    </row>
    <row r="1000" spans="3:5" x14ac:dyDescent="0.35">
      <c r="C1000"/>
      <c r="D1000"/>
      <c r="E1000"/>
    </row>
    <row r="1001" spans="3:5" x14ac:dyDescent="0.35">
      <c r="C1001"/>
      <c r="D1001"/>
      <c r="E1001"/>
    </row>
    <row r="1002" spans="3:5" x14ac:dyDescent="0.35">
      <c r="C1002"/>
      <c r="D1002"/>
      <c r="E1002"/>
    </row>
    <row r="1003" spans="3:5" x14ac:dyDescent="0.35">
      <c r="C1003"/>
      <c r="D1003"/>
      <c r="E1003"/>
    </row>
    <row r="1004" spans="3:5" x14ac:dyDescent="0.35">
      <c r="C1004"/>
      <c r="D1004"/>
      <c r="E1004"/>
    </row>
    <row r="1005" spans="3:5" x14ac:dyDescent="0.35">
      <c r="C1005"/>
      <c r="D1005"/>
      <c r="E1005"/>
    </row>
    <row r="1006" spans="3:5" x14ac:dyDescent="0.35">
      <c r="C1006"/>
      <c r="D1006"/>
      <c r="E1006"/>
    </row>
    <row r="1007" spans="3:5" x14ac:dyDescent="0.35">
      <c r="C1007"/>
      <c r="D1007"/>
      <c r="E1007"/>
    </row>
    <row r="1008" spans="3:5" x14ac:dyDescent="0.35">
      <c r="C1008"/>
      <c r="D1008"/>
      <c r="E1008"/>
    </row>
    <row r="1009" spans="3:5" x14ac:dyDescent="0.35">
      <c r="C1009"/>
      <c r="D1009"/>
      <c r="E1009"/>
    </row>
    <row r="1010" spans="3:5" x14ac:dyDescent="0.35">
      <c r="C1010"/>
      <c r="D1010"/>
      <c r="E1010"/>
    </row>
    <row r="1011" spans="3:5" x14ac:dyDescent="0.35">
      <c r="C1011"/>
      <c r="D1011"/>
      <c r="E1011"/>
    </row>
    <row r="1012" spans="3:5" x14ac:dyDescent="0.35">
      <c r="C1012"/>
      <c r="D1012"/>
      <c r="E1012"/>
    </row>
    <row r="1013" spans="3:5" x14ac:dyDescent="0.35">
      <c r="C1013"/>
      <c r="D1013"/>
      <c r="E1013"/>
    </row>
    <row r="1014" spans="3:5" x14ac:dyDescent="0.35">
      <c r="C1014"/>
      <c r="D1014"/>
      <c r="E1014"/>
    </row>
    <row r="1015" spans="3:5" x14ac:dyDescent="0.35">
      <c r="C1015"/>
      <c r="D1015"/>
      <c r="E1015"/>
    </row>
    <row r="1016" spans="3:5" x14ac:dyDescent="0.35">
      <c r="C1016"/>
      <c r="D1016"/>
      <c r="E1016"/>
    </row>
    <row r="1017" spans="3:5" x14ac:dyDescent="0.35">
      <c r="C1017"/>
      <c r="D1017"/>
      <c r="E1017"/>
    </row>
    <row r="1018" spans="3:5" x14ac:dyDescent="0.35">
      <c r="C1018"/>
      <c r="D1018"/>
      <c r="E1018"/>
    </row>
    <row r="1019" spans="3:5" x14ac:dyDescent="0.35">
      <c r="C1019"/>
      <c r="D1019"/>
      <c r="E1019"/>
    </row>
    <row r="1020" spans="3:5" x14ac:dyDescent="0.35">
      <c r="C1020"/>
      <c r="D1020"/>
      <c r="E1020"/>
    </row>
    <row r="1021" spans="3:5" x14ac:dyDescent="0.35">
      <c r="C1021"/>
      <c r="D1021"/>
      <c r="E1021"/>
    </row>
    <row r="1022" spans="3:5" x14ac:dyDescent="0.35">
      <c r="C1022"/>
      <c r="D1022"/>
      <c r="E1022"/>
    </row>
    <row r="1023" spans="3:5" x14ac:dyDescent="0.35">
      <c r="C1023"/>
      <c r="D1023"/>
      <c r="E1023"/>
    </row>
    <row r="1024" spans="3:5" x14ac:dyDescent="0.35">
      <c r="C1024"/>
      <c r="D1024"/>
      <c r="E1024"/>
    </row>
    <row r="1025" spans="3:5" x14ac:dyDescent="0.35">
      <c r="C1025"/>
      <c r="D1025"/>
      <c r="E1025"/>
    </row>
    <row r="1026" spans="3:5" x14ac:dyDescent="0.35">
      <c r="C1026"/>
      <c r="D1026"/>
      <c r="E1026"/>
    </row>
    <row r="1027" spans="3:5" x14ac:dyDescent="0.35">
      <c r="C1027"/>
      <c r="D1027"/>
      <c r="E1027"/>
    </row>
    <row r="1028" spans="3:5" x14ac:dyDescent="0.35">
      <c r="C1028"/>
      <c r="D1028"/>
      <c r="E1028"/>
    </row>
    <row r="1029" spans="3:5" x14ac:dyDescent="0.35">
      <c r="C1029"/>
      <c r="D1029"/>
      <c r="E1029"/>
    </row>
    <row r="1030" spans="3:5" x14ac:dyDescent="0.35">
      <c r="C1030"/>
      <c r="D1030"/>
      <c r="E1030"/>
    </row>
    <row r="1031" spans="3:5" x14ac:dyDescent="0.35">
      <c r="C1031"/>
      <c r="D1031"/>
      <c r="E1031"/>
    </row>
    <row r="1032" spans="3:5" x14ac:dyDescent="0.35">
      <c r="C1032"/>
      <c r="D1032"/>
      <c r="E1032"/>
    </row>
    <row r="1033" spans="3:5" x14ac:dyDescent="0.35">
      <c r="C1033"/>
      <c r="D1033"/>
      <c r="E1033"/>
    </row>
    <row r="1034" spans="3:5" x14ac:dyDescent="0.35">
      <c r="C1034"/>
      <c r="D1034"/>
      <c r="E1034"/>
    </row>
    <row r="1035" spans="3:5" x14ac:dyDescent="0.35">
      <c r="C1035"/>
      <c r="D1035"/>
      <c r="E1035"/>
    </row>
    <row r="1036" spans="3:5" x14ac:dyDescent="0.35">
      <c r="C1036"/>
      <c r="D1036"/>
      <c r="E1036"/>
    </row>
    <row r="1037" spans="3:5" x14ac:dyDescent="0.35">
      <c r="C1037"/>
      <c r="D1037"/>
      <c r="E1037"/>
    </row>
    <row r="1038" spans="3:5" x14ac:dyDescent="0.35">
      <c r="C1038"/>
      <c r="D1038"/>
      <c r="E1038"/>
    </row>
    <row r="1039" spans="3:5" x14ac:dyDescent="0.35">
      <c r="C1039"/>
      <c r="D1039"/>
      <c r="E1039"/>
    </row>
    <row r="1040" spans="3:5" x14ac:dyDescent="0.35">
      <c r="C1040"/>
      <c r="D1040"/>
      <c r="E1040"/>
    </row>
    <row r="1041" spans="3:5" x14ac:dyDescent="0.35">
      <c r="C1041"/>
      <c r="D1041"/>
      <c r="E1041"/>
    </row>
    <row r="1042" spans="3:5" x14ac:dyDescent="0.35">
      <c r="C1042"/>
      <c r="D1042"/>
      <c r="E1042"/>
    </row>
    <row r="1043" spans="3:5" x14ac:dyDescent="0.35">
      <c r="C1043"/>
      <c r="D1043"/>
      <c r="E1043"/>
    </row>
    <row r="1044" spans="3:5" x14ac:dyDescent="0.35">
      <c r="C1044"/>
      <c r="D1044"/>
      <c r="E1044"/>
    </row>
    <row r="1045" spans="3:5" x14ac:dyDescent="0.35">
      <c r="C1045"/>
      <c r="D1045"/>
      <c r="E1045"/>
    </row>
    <row r="1046" spans="3:5" x14ac:dyDescent="0.35">
      <c r="C1046"/>
      <c r="D1046"/>
      <c r="E1046"/>
    </row>
    <row r="1047" spans="3:5" x14ac:dyDescent="0.35">
      <c r="C1047"/>
      <c r="D1047"/>
      <c r="E1047"/>
    </row>
    <row r="1048" spans="3:5" x14ac:dyDescent="0.35">
      <c r="C1048"/>
      <c r="D1048"/>
      <c r="E1048"/>
    </row>
    <row r="1049" spans="3:5" x14ac:dyDescent="0.35">
      <c r="C1049"/>
      <c r="D1049"/>
      <c r="E1049"/>
    </row>
    <row r="1050" spans="3:5" x14ac:dyDescent="0.35">
      <c r="C1050"/>
      <c r="D1050"/>
      <c r="E1050"/>
    </row>
    <row r="1051" spans="3:5" x14ac:dyDescent="0.35">
      <c r="C1051"/>
      <c r="D1051"/>
      <c r="E1051"/>
    </row>
    <row r="1052" spans="3:5" x14ac:dyDescent="0.35">
      <c r="C1052"/>
      <c r="D1052"/>
      <c r="E1052"/>
    </row>
    <row r="1053" spans="3:5" x14ac:dyDescent="0.35">
      <c r="C1053"/>
      <c r="D1053"/>
      <c r="E1053"/>
    </row>
    <row r="1054" spans="3:5" x14ac:dyDescent="0.35">
      <c r="C1054"/>
      <c r="D1054"/>
      <c r="E1054"/>
    </row>
    <row r="1055" spans="3:5" x14ac:dyDescent="0.35">
      <c r="C1055"/>
      <c r="D1055"/>
      <c r="E1055"/>
    </row>
    <row r="1056" spans="3:5" x14ac:dyDescent="0.35">
      <c r="C1056"/>
      <c r="D1056"/>
      <c r="E1056"/>
    </row>
    <row r="1057" spans="3:5" x14ac:dyDescent="0.35">
      <c r="C1057"/>
      <c r="D1057"/>
      <c r="E1057"/>
    </row>
    <row r="1058" spans="3:5" x14ac:dyDescent="0.35">
      <c r="C1058"/>
      <c r="D1058"/>
      <c r="E1058"/>
    </row>
    <row r="1059" spans="3:5" x14ac:dyDescent="0.35">
      <c r="C1059"/>
      <c r="D1059"/>
      <c r="E1059"/>
    </row>
    <row r="1060" spans="3:5" x14ac:dyDescent="0.35">
      <c r="C1060"/>
      <c r="D1060"/>
      <c r="E1060"/>
    </row>
    <row r="1061" spans="3:5" x14ac:dyDescent="0.35">
      <c r="C1061"/>
      <c r="D1061"/>
      <c r="E1061"/>
    </row>
    <row r="1062" spans="3:5" x14ac:dyDescent="0.35">
      <c r="C1062"/>
      <c r="D1062"/>
      <c r="E1062"/>
    </row>
    <row r="1063" spans="3:5" x14ac:dyDescent="0.35">
      <c r="C1063"/>
      <c r="D1063"/>
      <c r="E1063"/>
    </row>
    <row r="1064" spans="3:5" x14ac:dyDescent="0.35">
      <c r="C1064"/>
      <c r="D1064"/>
      <c r="E1064"/>
    </row>
    <row r="1065" spans="3:5" x14ac:dyDescent="0.35">
      <c r="C1065"/>
      <c r="D1065"/>
      <c r="E1065"/>
    </row>
    <row r="1066" spans="3:5" x14ac:dyDescent="0.35">
      <c r="C1066"/>
      <c r="D1066"/>
      <c r="E1066"/>
    </row>
    <row r="1067" spans="3:5" x14ac:dyDescent="0.35">
      <c r="C1067"/>
      <c r="D1067"/>
      <c r="E1067"/>
    </row>
    <row r="1068" spans="3:5" x14ac:dyDescent="0.35">
      <c r="C1068"/>
      <c r="D1068"/>
      <c r="E1068"/>
    </row>
    <row r="1069" spans="3:5" x14ac:dyDescent="0.35">
      <c r="C1069"/>
      <c r="D1069"/>
      <c r="E1069"/>
    </row>
    <row r="1070" spans="3:5" x14ac:dyDescent="0.35">
      <c r="C1070"/>
      <c r="D1070"/>
      <c r="E1070"/>
    </row>
    <row r="1071" spans="3:5" x14ac:dyDescent="0.35">
      <c r="C1071"/>
      <c r="D1071"/>
      <c r="E1071"/>
    </row>
    <row r="1072" spans="3:5" x14ac:dyDescent="0.35">
      <c r="C1072"/>
      <c r="D1072"/>
      <c r="E1072"/>
    </row>
    <row r="1073" spans="3:5" x14ac:dyDescent="0.35">
      <c r="C1073"/>
      <c r="D1073"/>
      <c r="E1073"/>
    </row>
    <row r="1074" spans="3:5" x14ac:dyDescent="0.35">
      <c r="C1074"/>
      <c r="D1074"/>
      <c r="E1074"/>
    </row>
    <row r="1075" spans="3:5" x14ac:dyDescent="0.35">
      <c r="C1075"/>
      <c r="D1075"/>
      <c r="E1075"/>
    </row>
    <row r="1076" spans="3:5" x14ac:dyDescent="0.35">
      <c r="C1076"/>
      <c r="D1076"/>
      <c r="E1076"/>
    </row>
    <row r="1077" spans="3:5" x14ac:dyDescent="0.35">
      <c r="C1077"/>
      <c r="D1077"/>
      <c r="E1077"/>
    </row>
    <row r="1078" spans="3:5" x14ac:dyDescent="0.35">
      <c r="C1078"/>
      <c r="D1078"/>
      <c r="E1078"/>
    </row>
    <row r="1079" spans="3:5" x14ac:dyDescent="0.35">
      <c r="C1079"/>
      <c r="D1079"/>
      <c r="E1079"/>
    </row>
    <row r="1080" spans="3:5" x14ac:dyDescent="0.35">
      <c r="C1080"/>
      <c r="D1080"/>
      <c r="E1080"/>
    </row>
    <row r="1081" spans="3:5" x14ac:dyDescent="0.35">
      <c r="C1081"/>
      <c r="D1081"/>
      <c r="E1081"/>
    </row>
    <row r="1082" spans="3:5" x14ac:dyDescent="0.35">
      <c r="C1082"/>
      <c r="D1082"/>
      <c r="E1082"/>
    </row>
    <row r="1083" spans="3:5" x14ac:dyDescent="0.35">
      <c r="C1083"/>
      <c r="D1083"/>
      <c r="E1083"/>
    </row>
    <row r="1084" spans="3:5" x14ac:dyDescent="0.35">
      <c r="C1084"/>
      <c r="D1084"/>
      <c r="E1084"/>
    </row>
    <row r="1085" spans="3:5" x14ac:dyDescent="0.35">
      <c r="C1085"/>
      <c r="D1085"/>
      <c r="E1085"/>
    </row>
    <row r="1086" spans="3:5" x14ac:dyDescent="0.35">
      <c r="C1086"/>
      <c r="D1086"/>
      <c r="E1086"/>
    </row>
    <row r="1087" spans="3:5" x14ac:dyDescent="0.35">
      <c r="C1087"/>
      <c r="D1087"/>
      <c r="E1087"/>
    </row>
    <row r="1088" spans="3:5" x14ac:dyDescent="0.35">
      <c r="C1088"/>
      <c r="D1088"/>
      <c r="E1088"/>
    </row>
    <row r="1089" spans="3:5" x14ac:dyDescent="0.35">
      <c r="C1089"/>
      <c r="D1089"/>
      <c r="E1089"/>
    </row>
    <row r="1090" spans="3:5" x14ac:dyDescent="0.35">
      <c r="C1090"/>
      <c r="D1090"/>
      <c r="E1090"/>
    </row>
    <row r="1091" spans="3:5" x14ac:dyDescent="0.35">
      <c r="C1091"/>
      <c r="D1091"/>
      <c r="E1091"/>
    </row>
    <row r="1092" spans="3:5" x14ac:dyDescent="0.35">
      <c r="C1092"/>
      <c r="D1092"/>
      <c r="E1092"/>
    </row>
    <row r="1093" spans="3:5" x14ac:dyDescent="0.35">
      <c r="C1093"/>
      <c r="D1093"/>
      <c r="E1093"/>
    </row>
    <row r="1094" spans="3:5" x14ac:dyDescent="0.35">
      <c r="C1094"/>
      <c r="D1094"/>
      <c r="E1094"/>
    </row>
    <row r="1095" spans="3:5" x14ac:dyDescent="0.35">
      <c r="C1095"/>
      <c r="D1095"/>
      <c r="E1095"/>
    </row>
    <row r="1096" spans="3:5" x14ac:dyDescent="0.35">
      <c r="C1096"/>
      <c r="D1096"/>
      <c r="E1096"/>
    </row>
    <row r="1097" spans="3:5" x14ac:dyDescent="0.35">
      <c r="C1097"/>
      <c r="D1097"/>
      <c r="E1097"/>
    </row>
    <row r="1098" spans="3:5" x14ac:dyDescent="0.35">
      <c r="C1098"/>
      <c r="D1098"/>
      <c r="E1098"/>
    </row>
    <row r="1099" spans="3:5" x14ac:dyDescent="0.35">
      <c r="C1099"/>
      <c r="D1099"/>
      <c r="E1099"/>
    </row>
    <row r="1100" spans="3:5" x14ac:dyDescent="0.35">
      <c r="C1100"/>
      <c r="D1100"/>
      <c r="E1100"/>
    </row>
    <row r="1101" spans="3:5" x14ac:dyDescent="0.35">
      <c r="C1101"/>
      <c r="D1101"/>
      <c r="E1101"/>
    </row>
    <row r="1102" spans="3:5" x14ac:dyDescent="0.35">
      <c r="C1102"/>
      <c r="D1102"/>
      <c r="E1102"/>
    </row>
    <row r="1103" spans="3:5" x14ac:dyDescent="0.35">
      <c r="C1103"/>
      <c r="D1103"/>
      <c r="E1103"/>
    </row>
    <row r="1104" spans="3:5" x14ac:dyDescent="0.35">
      <c r="C1104"/>
      <c r="D1104"/>
      <c r="E1104"/>
    </row>
    <row r="1105" spans="3:5" x14ac:dyDescent="0.35">
      <c r="C1105"/>
      <c r="D1105"/>
      <c r="E1105"/>
    </row>
    <row r="1106" spans="3:5" x14ac:dyDescent="0.35">
      <c r="C1106"/>
      <c r="D1106"/>
      <c r="E1106"/>
    </row>
    <row r="1107" spans="3:5" x14ac:dyDescent="0.35">
      <c r="C1107"/>
      <c r="D1107"/>
      <c r="E1107"/>
    </row>
    <row r="1108" spans="3:5" x14ac:dyDescent="0.35">
      <c r="C1108"/>
      <c r="D1108"/>
      <c r="E1108"/>
    </row>
    <row r="1109" spans="3:5" x14ac:dyDescent="0.35">
      <c r="C1109"/>
      <c r="D1109"/>
      <c r="E1109"/>
    </row>
    <row r="1110" spans="3:5" x14ac:dyDescent="0.35">
      <c r="C1110"/>
      <c r="D1110"/>
      <c r="E1110"/>
    </row>
    <row r="1111" spans="3:5" x14ac:dyDescent="0.35">
      <c r="C1111"/>
      <c r="D1111"/>
      <c r="E1111"/>
    </row>
    <row r="1112" spans="3:5" x14ac:dyDescent="0.35">
      <c r="C1112"/>
      <c r="D1112"/>
      <c r="E1112"/>
    </row>
    <row r="1113" spans="3:5" x14ac:dyDescent="0.35">
      <c r="C1113"/>
      <c r="D1113"/>
      <c r="E1113"/>
    </row>
    <row r="1114" spans="3:5" x14ac:dyDescent="0.35">
      <c r="C1114"/>
      <c r="D1114"/>
      <c r="E1114"/>
    </row>
    <row r="1115" spans="3:5" x14ac:dyDescent="0.35">
      <c r="C1115"/>
      <c r="D1115"/>
      <c r="E1115"/>
    </row>
    <row r="1116" spans="3:5" x14ac:dyDescent="0.35">
      <c r="C1116"/>
      <c r="D1116"/>
      <c r="E1116"/>
    </row>
    <row r="1117" spans="3:5" x14ac:dyDescent="0.35">
      <c r="C1117"/>
      <c r="D1117"/>
      <c r="E1117"/>
    </row>
    <row r="1118" spans="3:5" x14ac:dyDescent="0.35">
      <c r="C1118"/>
      <c r="D1118"/>
      <c r="E1118"/>
    </row>
    <row r="1119" spans="3:5" x14ac:dyDescent="0.35">
      <c r="C1119"/>
      <c r="D1119"/>
      <c r="E1119"/>
    </row>
    <row r="1120" spans="3:5" x14ac:dyDescent="0.35">
      <c r="C1120"/>
      <c r="D1120"/>
      <c r="E1120"/>
    </row>
    <row r="1121" spans="3:5" x14ac:dyDescent="0.35">
      <c r="C1121"/>
      <c r="D1121"/>
      <c r="E1121"/>
    </row>
    <row r="1122" spans="3:5" x14ac:dyDescent="0.35">
      <c r="C1122"/>
      <c r="D1122"/>
      <c r="E1122"/>
    </row>
    <row r="1123" spans="3:5" x14ac:dyDescent="0.35">
      <c r="C1123"/>
      <c r="D1123"/>
      <c r="E1123"/>
    </row>
    <row r="1124" spans="3:5" x14ac:dyDescent="0.35">
      <c r="C1124"/>
      <c r="D1124"/>
      <c r="E1124"/>
    </row>
    <row r="1125" spans="3:5" x14ac:dyDescent="0.35">
      <c r="C1125"/>
      <c r="D1125"/>
      <c r="E1125"/>
    </row>
    <row r="1126" spans="3:5" x14ac:dyDescent="0.35">
      <c r="C1126"/>
      <c r="D1126"/>
      <c r="E1126"/>
    </row>
    <row r="1127" spans="3:5" x14ac:dyDescent="0.35">
      <c r="C1127"/>
      <c r="D1127"/>
      <c r="E1127"/>
    </row>
    <row r="1128" spans="3:5" x14ac:dyDescent="0.35">
      <c r="C1128"/>
      <c r="D1128"/>
      <c r="E1128"/>
    </row>
    <row r="1129" spans="3:5" x14ac:dyDescent="0.35">
      <c r="C1129"/>
      <c r="D1129"/>
      <c r="E1129"/>
    </row>
    <row r="1130" spans="3:5" x14ac:dyDescent="0.35">
      <c r="C1130"/>
      <c r="D1130"/>
      <c r="E1130"/>
    </row>
    <row r="1131" spans="3:5" x14ac:dyDescent="0.35">
      <c r="C1131"/>
      <c r="D1131"/>
      <c r="E1131"/>
    </row>
    <row r="1132" spans="3:5" x14ac:dyDescent="0.35">
      <c r="C1132"/>
      <c r="D1132"/>
      <c r="E1132"/>
    </row>
    <row r="1133" spans="3:5" x14ac:dyDescent="0.35">
      <c r="C1133"/>
      <c r="D1133"/>
      <c r="E1133"/>
    </row>
    <row r="1134" spans="3:5" x14ac:dyDescent="0.35">
      <c r="C1134"/>
      <c r="D1134"/>
      <c r="E1134"/>
    </row>
    <row r="1135" spans="3:5" x14ac:dyDescent="0.35">
      <c r="C1135"/>
      <c r="D1135"/>
      <c r="E1135"/>
    </row>
    <row r="1136" spans="3:5" x14ac:dyDescent="0.35">
      <c r="C1136"/>
      <c r="D1136"/>
      <c r="E1136"/>
    </row>
    <row r="1137" spans="3:5" x14ac:dyDescent="0.35">
      <c r="C1137"/>
      <c r="D1137"/>
      <c r="E1137"/>
    </row>
    <row r="1138" spans="3:5" x14ac:dyDescent="0.35">
      <c r="C1138"/>
      <c r="D1138"/>
      <c r="E1138"/>
    </row>
    <row r="1139" spans="3:5" x14ac:dyDescent="0.35">
      <c r="C1139"/>
      <c r="D1139"/>
      <c r="E1139"/>
    </row>
    <row r="1140" spans="3:5" x14ac:dyDescent="0.35">
      <c r="C1140"/>
      <c r="D1140"/>
      <c r="E1140"/>
    </row>
    <row r="1141" spans="3:5" x14ac:dyDescent="0.35">
      <c r="C1141"/>
      <c r="D1141"/>
      <c r="E1141"/>
    </row>
    <row r="1142" spans="3:5" x14ac:dyDescent="0.35">
      <c r="C1142"/>
      <c r="D1142"/>
      <c r="E1142"/>
    </row>
    <row r="1143" spans="3:5" x14ac:dyDescent="0.35">
      <c r="C1143"/>
      <c r="D1143"/>
      <c r="E1143"/>
    </row>
    <row r="1144" spans="3:5" x14ac:dyDescent="0.35">
      <c r="C1144"/>
      <c r="D1144"/>
      <c r="E1144"/>
    </row>
    <row r="1145" spans="3:5" x14ac:dyDescent="0.35">
      <c r="C1145"/>
      <c r="D1145"/>
      <c r="E1145"/>
    </row>
    <row r="1146" spans="3:5" x14ac:dyDescent="0.35">
      <c r="C1146"/>
      <c r="D1146"/>
      <c r="E1146"/>
    </row>
    <row r="1147" spans="3:5" x14ac:dyDescent="0.35">
      <c r="C1147"/>
      <c r="D1147"/>
      <c r="E1147"/>
    </row>
    <row r="1148" spans="3:5" x14ac:dyDescent="0.35">
      <c r="C1148"/>
      <c r="D1148"/>
      <c r="E1148"/>
    </row>
    <row r="1149" spans="3:5" x14ac:dyDescent="0.35">
      <c r="C1149"/>
      <c r="D1149"/>
      <c r="E1149"/>
    </row>
    <row r="1150" spans="3:5" x14ac:dyDescent="0.35">
      <c r="C1150"/>
      <c r="D1150"/>
      <c r="E1150"/>
    </row>
    <row r="1151" spans="3:5" x14ac:dyDescent="0.35">
      <c r="C1151"/>
      <c r="D1151"/>
      <c r="E1151"/>
    </row>
    <row r="1152" spans="3:5" x14ac:dyDescent="0.35">
      <c r="C1152"/>
      <c r="D1152"/>
      <c r="E1152"/>
    </row>
    <row r="1153" spans="3:5" x14ac:dyDescent="0.35">
      <c r="C1153"/>
      <c r="D1153"/>
      <c r="E1153"/>
    </row>
    <row r="1154" spans="3:5" x14ac:dyDescent="0.35">
      <c r="C1154"/>
      <c r="D1154"/>
      <c r="E1154"/>
    </row>
    <row r="1155" spans="3:5" x14ac:dyDescent="0.35">
      <c r="C1155"/>
      <c r="D1155"/>
      <c r="E1155"/>
    </row>
    <row r="1156" spans="3:5" x14ac:dyDescent="0.35">
      <c r="C1156"/>
      <c r="D1156"/>
      <c r="E1156"/>
    </row>
    <row r="1157" spans="3:5" x14ac:dyDescent="0.35">
      <c r="C1157"/>
      <c r="D1157"/>
      <c r="E1157"/>
    </row>
    <row r="1158" spans="3:5" x14ac:dyDescent="0.35">
      <c r="C1158"/>
      <c r="D1158"/>
      <c r="E1158"/>
    </row>
    <row r="1159" spans="3:5" x14ac:dyDescent="0.35">
      <c r="C1159"/>
      <c r="D1159"/>
      <c r="E1159"/>
    </row>
    <row r="1160" spans="3:5" x14ac:dyDescent="0.35">
      <c r="C1160"/>
      <c r="D1160"/>
      <c r="E1160"/>
    </row>
    <row r="1161" spans="3:5" x14ac:dyDescent="0.35">
      <c r="C1161"/>
      <c r="D1161"/>
      <c r="E1161"/>
    </row>
    <row r="1162" spans="3:5" x14ac:dyDescent="0.35">
      <c r="C1162"/>
      <c r="D1162"/>
      <c r="E1162"/>
    </row>
    <row r="1163" spans="3:5" x14ac:dyDescent="0.35">
      <c r="C1163"/>
      <c r="D1163"/>
      <c r="E1163"/>
    </row>
    <row r="1164" spans="3:5" x14ac:dyDescent="0.35">
      <c r="C1164"/>
      <c r="D1164"/>
      <c r="E1164"/>
    </row>
    <row r="1165" spans="3:5" x14ac:dyDescent="0.35">
      <c r="C1165"/>
      <c r="D1165"/>
      <c r="E1165"/>
    </row>
    <row r="1166" spans="3:5" x14ac:dyDescent="0.35">
      <c r="C1166"/>
      <c r="D1166"/>
      <c r="E1166"/>
    </row>
    <row r="1167" spans="3:5" x14ac:dyDescent="0.35">
      <c r="C1167"/>
      <c r="D1167"/>
      <c r="E1167"/>
    </row>
    <row r="1168" spans="3:5" x14ac:dyDescent="0.35">
      <c r="C1168"/>
      <c r="D1168"/>
      <c r="E1168"/>
    </row>
    <row r="1169" spans="3:5" x14ac:dyDescent="0.35">
      <c r="C1169"/>
      <c r="D1169"/>
      <c r="E1169"/>
    </row>
    <row r="1170" spans="3:5" x14ac:dyDescent="0.35">
      <c r="C1170"/>
      <c r="D1170"/>
      <c r="E1170"/>
    </row>
    <row r="1171" spans="3:5" x14ac:dyDescent="0.35">
      <c r="C1171"/>
      <c r="D1171"/>
      <c r="E1171"/>
    </row>
    <row r="1172" spans="3:5" x14ac:dyDescent="0.35">
      <c r="C1172"/>
      <c r="D1172"/>
      <c r="E1172"/>
    </row>
    <row r="1173" spans="3:5" x14ac:dyDescent="0.35">
      <c r="C1173"/>
      <c r="D1173"/>
      <c r="E1173"/>
    </row>
    <row r="1174" spans="3:5" x14ac:dyDescent="0.35">
      <c r="C1174"/>
      <c r="D1174"/>
      <c r="E1174"/>
    </row>
    <row r="1175" spans="3:5" x14ac:dyDescent="0.35">
      <c r="C1175"/>
      <c r="D1175"/>
      <c r="E1175"/>
    </row>
    <row r="1176" spans="3:5" x14ac:dyDescent="0.35">
      <c r="C1176"/>
      <c r="D1176"/>
      <c r="E1176"/>
    </row>
    <row r="1177" spans="3:5" x14ac:dyDescent="0.35">
      <c r="C1177"/>
      <c r="D1177"/>
      <c r="E1177"/>
    </row>
    <row r="1178" spans="3:5" x14ac:dyDescent="0.35">
      <c r="C1178"/>
      <c r="D1178"/>
      <c r="E1178"/>
    </row>
    <row r="1179" spans="3:5" x14ac:dyDescent="0.35">
      <c r="C1179"/>
      <c r="D1179"/>
      <c r="E1179"/>
    </row>
    <row r="1180" spans="3:5" x14ac:dyDescent="0.35">
      <c r="C1180"/>
      <c r="D1180"/>
      <c r="E1180"/>
    </row>
    <row r="1181" spans="3:5" x14ac:dyDescent="0.35">
      <c r="C1181"/>
      <c r="D1181"/>
      <c r="E1181"/>
    </row>
    <row r="1182" spans="3:5" x14ac:dyDescent="0.35">
      <c r="C1182"/>
      <c r="D1182"/>
      <c r="E1182"/>
    </row>
    <row r="1183" spans="3:5" x14ac:dyDescent="0.35">
      <c r="C1183"/>
      <c r="D1183"/>
      <c r="E1183"/>
    </row>
    <row r="1184" spans="3:5" x14ac:dyDescent="0.35">
      <c r="C1184"/>
      <c r="D1184"/>
      <c r="E1184"/>
    </row>
    <row r="1185" spans="3:5" x14ac:dyDescent="0.35">
      <c r="C1185"/>
      <c r="D1185"/>
      <c r="E1185"/>
    </row>
    <row r="1186" spans="3:5" x14ac:dyDescent="0.35">
      <c r="C1186"/>
      <c r="D1186"/>
      <c r="E1186"/>
    </row>
    <row r="1187" spans="3:5" x14ac:dyDescent="0.35">
      <c r="C1187"/>
      <c r="D1187"/>
      <c r="E1187"/>
    </row>
    <row r="1188" spans="3:5" x14ac:dyDescent="0.35">
      <c r="C1188"/>
      <c r="D1188"/>
      <c r="E1188"/>
    </row>
    <row r="1189" spans="3:5" x14ac:dyDescent="0.35">
      <c r="C1189"/>
      <c r="D1189"/>
      <c r="E1189"/>
    </row>
    <row r="1190" spans="3:5" x14ac:dyDescent="0.35">
      <c r="C1190"/>
      <c r="D1190"/>
      <c r="E1190"/>
    </row>
    <row r="1191" spans="3:5" x14ac:dyDescent="0.35">
      <c r="C1191"/>
      <c r="D1191"/>
      <c r="E1191"/>
    </row>
    <row r="1192" spans="3:5" x14ac:dyDescent="0.35">
      <c r="C1192"/>
      <c r="D1192"/>
      <c r="E1192"/>
    </row>
    <row r="1193" spans="3:5" x14ac:dyDescent="0.35">
      <c r="C1193"/>
      <c r="D1193"/>
      <c r="E1193"/>
    </row>
    <row r="1194" spans="3:5" x14ac:dyDescent="0.35">
      <c r="C1194"/>
      <c r="D1194"/>
      <c r="E1194"/>
    </row>
    <row r="1195" spans="3:5" x14ac:dyDescent="0.35">
      <c r="C1195"/>
      <c r="D1195"/>
      <c r="E1195"/>
    </row>
    <row r="1196" spans="3:5" x14ac:dyDescent="0.35">
      <c r="C1196"/>
      <c r="D1196"/>
      <c r="E1196"/>
    </row>
    <row r="1197" spans="3:5" x14ac:dyDescent="0.35">
      <c r="C1197"/>
      <c r="D1197"/>
      <c r="E1197"/>
    </row>
    <row r="1198" spans="3:5" x14ac:dyDescent="0.35">
      <c r="C1198"/>
      <c r="D1198"/>
      <c r="E1198"/>
    </row>
    <row r="1199" spans="3:5" x14ac:dyDescent="0.35">
      <c r="C1199"/>
      <c r="D1199"/>
      <c r="E1199"/>
    </row>
    <row r="1200" spans="3:5" x14ac:dyDescent="0.35">
      <c r="C1200"/>
      <c r="D1200"/>
      <c r="E1200"/>
    </row>
    <row r="1201" spans="3:5" x14ac:dyDescent="0.35">
      <c r="C1201"/>
      <c r="D1201"/>
      <c r="E1201"/>
    </row>
    <row r="1202" spans="3:5" x14ac:dyDescent="0.35">
      <c r="C1202"/>
      <c r="D1202"/>
      <c r="E1202"/>
    </row>
    <row r="1203" spans="3:5" x14ac:dyDescent="0.35">
      <c r="C1203"/>
      <c r="D1203"/>
      <c r="E1203"/>
    </row>
    <row r="1204" spans="3:5" x14ac:dyDescent="0.35">
      <c r="C1204"/>
      <c r="D1204"/>
      <c r="E1204"/>
    </row>
    <row r="1205" spans="3:5" x14ac:dyDescent="0.35">
      <c r="C1205"/>
      <c r="D1205"/>
      <c r="E1205"/>
    </row>
    <row r="1206" spans="3:5" x14ac:dyDescent="0.35">
      <c r="C1206"/>
      <c r="D1206"/>
      <c r="E1206"/>
    </row>
    <row r="1207" spans="3:5" x14ac:dyDescent="0.35">
      <c r="C1207"/>
      <c r="D1207"/>
      <c r="E1207"/>
    </row>
    <row r="1208" spans="3:5" x14ac:dyDescent="0.35">
      <c r="C1208"/>
      <c r="D1208"/>
      <c r="E1208"/>
    </row>
    <row r="1209" spans="3:5" x14ac:dyDescent="0.35">
      <c r="C1209"/>
      <c r="D1209"/>
      <c r="E1209"/>
    </row>
    <row r="1210" spans="3:5" x14ac:dyDescent="0.35">
      <c r="C1210"/>
      <c r="D1210"/>
      <c r="E1210"/>
    </row>
    <row r="1211" spans="3:5" x14ac:dyDescent="0.35">
      <c r="C1211"/>
      <c r="D1211"/>
      <c r="E1211"/>
    </row>
    <row r="1212" spans="3:5" x14ac:dyDescent="0.35">
      <c r="C1212"/>
      <c r="D1212"/>
      <c r="E1212"/>
    </row>
    <row r="1213" spans="3:5" x14ac:dyDescent="0.35">
      <c r="C1213"/>
      <c r="D1213"/>
      <c r="E1213"/>
    </row>
    <row r="1214" spans="3:5" x14ac:dyDescent="0.35">
      <c r="C1214"/>
      <c r="D1214"/>
      <c r="E1214"/>
    </row>
    <row r="1215" spans="3:5" x14ac:dyDescent="0.35">
      <c r="C1215"/>
      <c r="D1215"/>
      <c r="E1215"/>
    </row>
    <row r="1216" spans="3:5" x14ac:dyDescent="0.35">
      <c r="C1216"/>
      <c r="D1216"/>
      <c r="E1216"/>
    </row>
    <row r="1217" spans="3:5" x14ac:dyDescent="0.35">
      <c r="C1217"/>
      <c r="D1217"/>
      <c r="E1217"/>
    </row>
    <row r="1218" spans="3:5" x14ac:dyDescent="0.35">
      <c r="C1218"/>
      <c r="D1218"/>
      <c r="E1218"/>
    </row>
    <row r="1219" spans="3:5" x14ac:dyDescent="0.35">
      <c r="C1219"/>
      <c r="D1219"/>
      <c r="E1219"/>
    </row>
    <row r="1220" spans="3:5" x14ac:dyDescent="0.35">
      <c r="C1220"/>
      <c r="D1220"/>
      <c r="E1220"/>
    </row>
    <row r="1221" spans="3:5" x14ac:dyDescent="0.35">
      <c r="C1221"/>
      <c r="D1221"/>
      <c r="E1221"/>
    </row>
    <row r="1222" spans="3:5" x14ac:dyDescent="0.35">
      <c r="C1222"/>
      <c r="D1222"/>
      <c r="E1222"/>
    </row>
    <row r="1223" spans="3:5" x14ac:dyDescent="0.35">
      <c r="C1223"/>
      <c r="D1223"/>
      <c r="E1223"/>
    </row>
    <row r="1224" spans="3:5" x14ac:dyDescent="0.35">
      <c r="C1224"/>
      <c r="D1224"/>
      <c r="E1224"/>
    </row>
    <row r="1225" spans="3:5" x14ac:dyDescent="0.35">
      <c r="C1225"/>
      <c r="D1225"/>
      <c r="E1225"/>
    </row>
    <row r="1226" spans="3:5" x14ac:dyDescent="0.35">
      <c r="C1226"/>
      <c r="D1226"/>
      <c r="E1226"/>
    </row>
    <row r="1227" spans="3:5" x14ac:dyDescent="0.35">
      <c r="C1227"/>
      <c r="D1227"/>
      <c r="E1227"/>
    </row>
    <row r="1228" spans="3:5" x14ac:dyDescent="0.35">
      <c r="C1228"/>
      <c r="D1228"/>
      <c r="E1228"/>
    </row>
    <row r="1229" spans="3:5" x14ac:dyDescent="0.35">
      <c r="C1229"/>
      <c r="D1229"/>
      <c r="E1229"/>
    </row>
    <row r="1230" spans="3:5" x14ac:dyDescent="0.35">
      <c r="C1230"/>
      <c r="D1230"/>
      <c r="E1230"/>
    </row>
    <row r="1231" spans="3:5" x14ac:dyDescent="0.35">
      <c r="C1231"/>
      <c r="D1231"/>
      <c r="E1231"/>
    </row>
    <row r="1232" spans="3:5" x14ac:dyDescent="0.35">
      <c r="C1232"/>
      <c r="D1232"/>
      <c r="E1232"/>
    </row>
    <row r="1233" spans="3:5" x14ac:dyDescent="0.35">
      <c r="C1233"/>
      <c r="D1233"/>
      <c r="E1233"/>
    </row>
    <row r="1234" spans="3:5" x14ac:dyDescent="0.35">
      <c r="C1234"/>
      <c r="D1234"/>
      <c r="E1234"/>
    </row>
    <row r="1235" spans="3:5" x14ac:dyDescent="0.35">
      <c r="C1235"/>
      <c r="D1235"/>
      <c r="E1235"/>
    </row>
    <row r="1236" spans="3:5" x14ac:dyDescent="0.35">
      <c r="C1236"/>
      <c r="D1236"/>
      <c r="E1236"/>
    </row>
    <row r="1237" spans="3:5" x14ac:dyDescent="0.35">
      <c r="C1237"/>
      <c r="D1237"/>
      <c r="E1237"/>
    </row>
    <row r="1238" spans="3:5" x14ac:dyDescent="0.35">
      <c r="C1238"/>
      <c r="D1238"/>
      <c r="E1238"/>
    </row>
    <row r="1239" spans="3:5" x14ac:dyDescent="0.35">
      <c r="C1239"/>
      <c r="D1239"/>
      <c r="E1239"/>
    </row>
    <row r="1240" spans="3:5" x14ac:dyDescent="0.35">
      <c r="C1240"/>
      <c r="D1240"/>
      <c r="E1240"/>
    </row>
    <row r="1241" spans="3:5" x14ac:dyDescent="0.35">
      <c r="C1241"/>
      <c r="D1241"/>
      <c r="E1241"/>
    </row>
    <row r="1242" spans="3:5" x14ac:dyDescent="0.35">
      <c r="C1242"/>
      <c r="D1242"/>
      <c r="E1242"/>
    </row>
    <row r="1243" spans="3:5" x14ac:dyDescent="0.35">
      <c r="C1243"/>
      <c r="D1243"/>
      <c r="E1243"/>
    </row>
    <row r="1244" spans="3:5" x14ac:dyDescent="0.35">
      <c r="C1244"/>
      <c r="D1244"/>
      <c r="E1244"/>
    </row>
    <row r="1245" spans="3:5" x14ac:dyDescent="0.35">
      <c r="C1245"/>
      <c r="D1245"/>
      <c r="E1245"/>
    </row>
    <row r="1246" spans="3:5" x14ac:dyDescent="0.35">
      <c r="C1246"/>
      <c r="D1246"/>
      <c r="E1246"/>
    </row>
    <row r="1247" spans="3:5" x14ac:dyDescent="0.35">
      <c r="C1247"/>
      <c r="D1247"/>
      <c r="E1247"/>
    </row>
    <row r="1248" spans="3:5" x14ac:dyDescent="0.35">
      <c r="C1248"/>
      <c r="D1248"/>
      <c r="E1248"/>
    </row>
    <row r="1249" spans="3:5" x14ac:dyDescent="0.35">
      <c r="C1249"/>
      <c r="D1249"/>
      <c r="E1249"/>
    </row>
    <row r="1250" spans="3:5" x14ac:dyDescent="0.35">
      <c r="C1250"/>
      <c r="D1250"/>
      <c r="E1250"/>
    </row>
    <row r="1251" spans="3:5" x14ac:dyDescent="0.35">
      <c r="C1251"/>
      <c r="D1251"/>
      <c r="E1251"/>
    </row>
    <row r="1252" spans="3:5" x14ac:dyDescent="0.35">
      <c r="C1252"/>
      <c r="D1252"/>
      <c r="E1252"/>
    </row>
    <row r="1253" spans="3:5" x14ac:dyDescent="0.35">
      <c r="C1253"/>
      <c r="D1253"/>
      <c r="E1253"/>
    </row>
    <row r="1254" spans="3:5" x14ac:dyDescent="0.35">
      <c r="C1254"/>
      <c r="D1254"/>
      <c r="E1254"/>
    </row>
    <row r="1255" spans="3:5" x14ac:dyDescent="0.35">
      <c r="C1255"/>
      <c r="D1255"/>
      <c r="E1255"/>
    </row>
    <row r="1256" spans="3:5" x14ac:dyDescent="0.35">
      <c r="C1256"/>
      <c r="D1256"/>
      <c r="E1256"/>
    </row>
    <row r="1257" spans="3:5" x14ac:dyDescent="0.35">
      <c r="C1257"/>
      <c r="D1257"/>
      <c r="E1257"/>
    </row>
    <row r="1258" spans="3:5" x14ac:dyDescent="0.35">
      <c r="C1258"/>
      <c r="D1258"/>
      <c r="E1258"/>
    </row>
    <row r="1259" spans="3:5" x14ac:dyDescent="0.35">
      <c r="C1259"/>
      <c r="D1259"/>
      <c r="E1259"/>
    </row>
    <row r="1260" spans="3:5" x14ac:dyDescent="0.35">
      <c r="C1260"/>
      <c r="D1260"/>
      <c r="E1260"/>
    </row>
    <row r="1261" spans="3:5" x14ac:dyDescent="0.35">
      <c r="C1261"/>
      <c r="D1261"/>
      <c r="E1261"/>
    </row>
    <row r="1262" spans="3:5" x14ac:dyDescent="0.35">
      <c r="C1262"/>
      <c r="D1262"/>
      <c r="E1262"/>
    </row>
    <row r="1263" spans="3:5" x14ac:dyDescent="0.35">
      <c r="C1263"/>
      <c r="D1263"/>
      <c r="E1263"/>
    </row>
    <row r="1264" spans="3:5" x14ac:dyDescent="0.35">
      <c r="C1264"/>
      <c r="D1264"/>
      <c r="E1264"/>
    </row>
    <row r="1265" spans="3:5" x14ac:dyDescent="0.35">
      <c r="C1265"/>
      <c r="D1265"/>
      <c r="E1265"/>
    </row>
    <row r="1266" spans="3:5" x14ac:dyDescent="0.35">
      <c r="C1266"/>
      <c r="D1266"/>
      <c r="E1266"/>
    </row>
    <row r="1267" spans="3:5" x14ac:dyDescent="0.35">
      <c r="C1267"/>
      <c r="D1267"/>
      <c r="E1267"/>
    </row>
    <row r="1268" spans="3:5" x14ac:dyDescent="0.35">
      <c r="C1268"/>
      <c r="D1268"/>
      <c r="E1268"/>
    </row>
    <row r="1269" spans="3:5" x14ac:dyDescent="0.35">
      <c r="C1269"/>
      <c r="D1269"/>
      <c r="E1269"/>
    </row>
    <row r="1270" spans="3:5" x14ac:dyDescent="0.35">
      <c r="C1270"/>
      <c r="D1270"/>
      <c r="E1270"/>
    </row>
    <row r="1271" spans="3:5" x14ac:dyDescent="0.35">
      <c r="C1271"/>
      <c r="D1271"/>
      <c r="E1271"/>
    </row>
    <row r="1272" spans="3:5" x14ac:dyDescent="0.35">
      <c r="C1272"/>
      <c r="D1272"/>
      <c r="E1272"/>
    </row>
    <row r="1273" spans="3:5" x14ac:dyDescent="0.35">
      <c r="C1273"/>
      <c r="D1273"/>
      <c r="E1273"/>
    </row>
    <row r="1274" spans="3:5" x14ac:dyDescent="0.35">
      <c r="C1274"/>
      <c r="D1274"/>
      <c r="E1274"/>
    </row>
    <row r="1275" spans="3:5" x14ac:dyDescent="0.35">
      <c r="C1275"/>
      <c r="D1275"/>
      <c r="E1275"/>
    </row>
    <row r="1276" spans="3:5" x14ac:dyDescent="0.35">
      <c r="C1276"/>
      <c r="D1276"/>
      <c r="E1276"/>
    </row>
    <row r="1277" spans="3:5" x14ac:dyDescent="0.35">
      <c r="C1277"/>
      <c r="D1277"/>
      <c r="E1277"/>
    </row>
    <row r="1278" spans="3:5" x14ac:dyDescent="0.35">
      <c r="C1278"/>
      <c r="D1278"/>
      <c r="E1278"/>
    </row>
    <row r="1279" spans="3:5" x14ac:dyDescent="0.35">
      <c r="C1279"/>
      <c r="D1279"/>
      <c r="E1279"/>
    </row>
    <row r="1280" spans="3:5" x14ac:dyDescent="0.35">
      <c r="C1280"/>
      <c r="D1280"/>
      <c r="E1280"/>
    </row>
    <row r="1281" spans="3:5" x14ac:dyDescent="0.35">
      <c r="C1281"/>
      <c r="D1281"/>
      <c r="E1281"/>
    </row>
    <row r="1282" spans="3:5" x14ac:dyDescent="0.35">
      <c r="C1282"/>
      <c r="D1282"/>
      <c r="E1282"/>
    </row>
    <row r="1283" spans="3:5" x14ac:dyDescent="0.35">
      <c r="C1283"/>
      <c r="D1283"/>
      <c r="E1283"/>
    </row>
    <row r="1284" spans="3:5" x14ac:dyDescent="0.35">
      <c r="C1284"/>
      <c r="D1284"/>
      <c r="E1284"/>
    </row>
    <row r="1285" spans="3:5" x14ac:dyDescent="0.35">
      <c r="C1285"/>
      <c r="D1285"/>
      <c r="E1285"/>
    </row>
    <row r="1286" spans="3:5" x14ac:dyDescent="0.35">
      <c r="C1286"/>
      <c r="D1286"/>
      <c r="E1286"/>
    </row>
    <row r="1287" spans="3:5" x14ac:dyDescent="0.35">
      <c r="C1287"/>
      <c r="D1287"/>
      <c r="E1287"/>
    </row>
    <row r="1288" spans="3:5" x14ac:dyDescent="0.35">
      <c r="C1288"/>
      <c r="D1288"/>
      <c r="E1288"/>
    </row>
    <row r="1289" spans="3:5" x14ac:dyDescent="0.35">
      <c r="C1289"/>
      <c r="D1289"/>
      <c r="E1289"/>
    </row>
    <row r="1290" spans="3:5" x14ac:dyDescent="0.35">
      <c r="C1290"/>
      <c r="D1290"/>
      <c r="E1290"/>
    </row>
    <row r="1291" spans="3:5" x14ac:dyDescent="0.35">
      <c r="C1291"/>
      <c r="D1291"/>
      <c r="E1291"/>
    </row>
    <row r="1292" spans="3:5" x14ac:dyDescent="0.35">
      <c r="C1292"/>
      <c r="D1292"/>
      <c r="E1292"/>
    </row>
    <row r="1293" spans="3:5" x14ac:dyDescent="0.35">
      <c r="C1293"/>
      <c r="D1293"/>
      <c r="E1293"/>
    </row>
    <row r="1294" spans="3:5" x14ac:dyDescent="0.35">
      <c r="C1294"/>
      <c r="D1294"/>
      <c r="E1294"/>
    </row>
    <row r="1295" spans="3:5" x14ac:dyDescent="0.35">
      <c r="C1295"/>
      <c r="D1295"/>
      <c r="E1295"/>
    </row>
    <row r="1296" spans="3:5" x14ac:dyDescent="0.35">
      <c r="C1296"/>
      <c r="D1296"/>
      <c r="E1296"/>
    </row>
    <row r="1297" spans="3:5" x14ac:dyDescent="0.35">
      <c r="C1297"/>
      <c r="D1297"/>
      <c r="E1297"/>
    </row>
    <row r="1298" spans="3:5" x14ac:dyDescent="0.35">
      <c r="C1298"/>
      <c r="D1298"/>
      <c r="E1298"/>
    </row>
    <row r="1299" spans="3:5" x14ac:dyDescent="0.35">
      <c r="C1299"/>
      <c r="D1299"/>
      <c r="E1299"/>
    </row>
    <row r="1300" spans="3:5" x14ac:dyDescent="0.35">
      <c r="C1300"/>
      <c r="D1300"/>
      <c r="E1300"/>
    </row>
    <row r="1301" spans="3:5" x14ac:dyDescent="0.35">
      <c r="C1301"/>
      <c r="D1301"/>
      <c r="E1301"/>
    </row>
    <row r="1302" spans="3:5" x14ac:dyDescent="0.35">
      <c r="C1302"/>
      <c r="D1302"/>
      <c r="E1302"/>
    </row>
    <row r="1303" spans="3:5" x14ac:dyDescent="0.35">
      <c r="C1303"/>
      <c r="D1303"/>
      <c r="E1303"/>
    </row>
    <row r="1304" spans="3:5" x14ac:dyDescent="0.35">
      <c r="C1304"/>
      <c r="D1304"/>
      <c r="E1304"/>
    </row>
    <row r="1305" spans="3:5" x14ac:dyDescent="0.35">
      <c r="C1305"/>
      <c r="D1305"/>
      <c r="E1305"/>
    </row>
    <row r="1306" spans="3:5" x14ac:dyDescent="0.35">
      <c r="C1306"/>
      <c r="D1306"/>
      <c r="E1306"/>
    </row>
    <row r="1307" spans="3:5" x14ac:dyDescent="0.35">
      <c r="C1307"/>
      <c r="D1307"/>
      <c r="E1307"/>
    </row>
    <row r="1308" spans="3:5" x14ac:dyDescent="0.35">
      <c r="C1308"/>
      <c r="D1308"/>
      <c r="E1308"/>
    </row>
    <row r="1309" spans="3:5" x14ac:dyDescent="0.35">
      <c r="C1309"/>
      <c r="D1309"/>
      <c r="E1309"/>
    </row>
    <row r="1310" spans="3:5" x14ac:dyDescent="0.35">
      <c r="C1310"/>
      <c r="D1310"/>
      <c r="E1310"/>
    </row>
    <row r="1311" spans="3:5" x14ac:dyDescent="0.35">
      <c r="C1311"/>
      <c r="D1311"/>
      <c r="E1311"/>
    </row>
    <row r="1312" spans="3:5" x14ac:dyDescent="0.35">
      <c r="C1312"/>
      <c r="D1312"/>
      <c r="E1312"/>
    </row>
    <row r="1313" spans="3:5" x14ac:dyDescent="0.35">
      <c r="C1313"/>
      <c r="D1313"/>
      <c r="E1313"/>
    </row>
    <row r="1314" spans="3:5" x14ac:dyDescent="0.35">
      <c r="C1314"/>
      <c r="D1314"/>
      <c r="E1314"/>
    </row>
    <row r="1315" spans="3:5" x14ac:dyDescent="0.35">
      <c r="C1315"/>
      <c r="D1315"/>
      <c r="E1315"/>
    </row>
    <row r="1316" spans="3:5" x14ac:dyDescent="0.35">
      <c r="C1316"/>
      <c r="D1316"/>
      <c r="E1316"/>
    </row>
    <row r="1317" spans="3:5" x14ac:dyDescent="0.35">
      <c r="C1317"/>
      <c r="D1317"/>
      <c r="E1317"/>
    </row>
    <row r="1318" spans="3:5" x14ac:dyDescent="0.35">
      <c r="C1318"/>
      <c r="D1318"/>
      <c r="E1318"/>
    </row>
    <row r="1319" spans="3:5" x14ac:dyDescent="0.35">
      <c r="C1319"/>
      <c r="D1319"/>
      <c r="E1319"/>
    </row>
    <row r="1320" spans="3:5" x14ac:dyDescent="0.35">
      <c r="C1320"/>
      <c r="D1320"/>
      <c r="E1320"/>
    </row>
    <row r="1321" spans="3:5" x14ac:dyDescent="0.35">
      <c r="C1321"/>
      <c r="D1321"/>
      <c r="E1321"/>
    </row>
    <row r="1322" spans="3:5" x14ac:dyDescent="0.35">
      <c r="C1322"/>
      <c r="D1322"/>
      <c r="E1322"/>
    </row>
    <row r="1323" spans="3:5" x14ac:dyDescent="0.35">
      <c r="C1323"/>
      <c r="D1323"/>
      <c r="E1323"/>
    </row>
    <row r="1324" spans="3:5" x14ac:dyDescent="0.35">
      <c r="C1324"/>
      <c r="D1324"/>
      <c r="E1324"/>
    </row>
    <row r="1325" spans="3:5" x14ac:dyDescent="0.35">
      <c r="C1325"/>
      <c r="D1325"/>
      <c r="E1325"/>
    </row>
    <row r="1326" spans="3:5" x14ac:dyDescent="0.35">
      <c r="C1326"/>
      <c r="D1326"/>
      <c r="E1326"/>
    </row>
    <row r="1327" spans="3:5" x14ac:dyDescent="0.35">
      <c r="C1327"/>
      <c r="D1327"/>
      <c r="E1327"/>
    </row>
    <row r="1328" spans="3:5" x14ac:dyDescent="0.35">
      <c r="C1328"/>
      <c r="D1328"/>
      <c r="E1328"/>
    </row>
    <row r="1329" spans="3:5" x14ac:dyDescent="0.35">
      <c r="C1329"/>
      <c r="D1329"/>
      <c r="E1329"/>
    </row>
    <row r="1330" spans="3:5" x14ac:dyDescent="0.35">
      <c r="C1330"/>
      <c r="D1330"/>
      <c r="E1330"/>
    </row>
    <row r="1331" spans="3:5" x14ac:dyDescent="0.35">
      <c r="C1331"/>
      <c r="D1331"/>
      <c r="E1331"/>
    </row>
    <row r="1332" spans="3:5" x14ac:dyDescent="0.35">
      <c r="C1332"/>
      <c r="D1332"/>
      <c r="E1332"/>
    </row>
    <row r="1333" spans="3:5" x14ac:dyDescent="0.35">
      <c r="C1333"/>
      <c r="D1333"/>
      <c r="E1333"/>
    </row>
    <row r="1334" spans="3:5" x14ac:dyDescent="0.35">
      <c r="C1334"/>
      <c r="D1334"/>
      <c r="E1334"/>
    </row>
    <row r="1335" spans="3:5" x14ac:dyDescent="0.35">
      <c r="C1335"/>
      <c r="D1335"/>
      <c r="E1335"/>
    </row>
    <row r="1336" spans="3:5" x14ac:dyDescent="0.35">
      <c r="C1336"/>
      <c r="D1336"/>
      <c r="E1336"/>
    </row>
    <row r="1337" spans="3:5" x14ac:dyDescent="0.35">
      <c r="C1337"/>
      <c r="D1337"/>
      <c r="E1337"/>
    </row>
    <row r="1338" spans="3:5" x14ac:dyDescent="0.35">
      <c r="C1338"/>
      <c r="D1338"/>
      <c r="E1338"/>
    </row>
    <row r="1339" spans="3:5" x14ac:dyDescent="0.35">
      <c r="C1339"/>
      <c r="D1339"/>
      <c r="E1339"/>
    </row>
    <row r="1340" spans="3:5" x14ac:dyDescent="0.35">
      <c r="C1340"/>
      <c r="D1340"/>
      <c r="E1340"/>
    </row>
    <row r="1341" spans="3:5" x14ac:dyDescent="0.35">
      <c r="C1341"/>
      <c r="D1341"/>
      <c r="E1341"/>
    </row>
    <row r="1342" spans="3:5" x14ac:dyDescent="0.35">
      <c r="C1342"/>
      <c r="D1342"/>
      <c r="E1342"/>
    </row>
    <row r="1343" spans="3:5" x14ac:dyDescent="0.35">
      <c r="C1343"/>
      <c r="D1343"/>
      <c r="E1343"/>
    </row>
    <row r="1344" spans="3:5" x14ac:dyDescent="0.35">
      <c r="C1344"/>
      <c r="D1344"/>
      <c r="E1344"/>
    </row>
    <row r="1345" spans="3:5" x14ac:dyDescent="0.35">
      <c r="C1345"/>
      <c r="D1345"/>
      <c r="E1345"/>
    </row>
    <row r="1346" spans="3:5" x14ac:dyDescent="0.35">
      <c r="C1346"/>
      <c r="D1346"/>
      <c r="E1346"/>
    </row>
    <row r="1347" spans="3:5" x14ac:dyDescent="0.35">
      <c r="C1347"/>
      <c r="D1347"/>
      <c r="E1347"/>
    </row>
    <row r="1348" spans="3:5" x14ac:dyDescent="0.35">
      <c r="C1348"/>
      <c r="D1348"/>
      <c r="E1348"/>
    </row>
    <row r="1349" spans="3:5" x14ac:dyDescent="0.35">
      <c r="C1349"/>
      <c r="D1349"/>
      <c r="E1349"/>
    </row>
    <row r="1350" spans="3:5" x14ac:dyDescent="0.35">
      <c r="C1350"/>
      <c r="D1350"/>
      <c r="E1350"/>
    </row>
    <row r="1351" spans="3:5" x14ac:dyDescent="0.35">
      <c r="C1351"/>
      <c r="D1351"/>
      <c r="E1351"/>
    </row>
    <row r="1352" spans="3:5" x14ac:dyDescent="0.35">
      <c r="C1352"/>
      <c r="D1352"/>
      <c r="E1352"/>
    </row>
    <row r="1353" spans="3:5" x14ac:dyDescent="0.35">
      <c r="C1353"/>
      <c r="D1353"/>
      <c r="E1353"/>
    </row>
    <row r="1354" spans="3:5" x14ac:dyDescent="0.35">
      <c r="C1354"/>
      <c r="D1354"/>
      <c r="E1354"/>
    </row>
    <row r="1355" spans="3:5" x14ac:dyDescent="0.35">
      <c r="C1355"/>
      <c r="D1355"/>
      <c r="E1355"/>
    </row>
    <row r="1356" spans="3:5" x14ac:dyDescent="0.35">
      <c r="C1356"/>
      <c r="D1356"/>
      <c r="E1356"/>
    </row>
    <row r="1357" spans="3:5" x14ac:dyDescent="0.35">
      <c r="C1357"/>
      <c r="D1357"/>
      <c r="E1357"/>
    </row>
    <row r="1358" spans="3:5" x14ac:dyDescent="0.35">
      <c r="C1358"/>
      <c r="D1358"/>
      <c r="E1358"/>
    </row>
    <row r="1359" spans="3:5" x14ac:dyDescent="0.35">
      <c r="C1359"/>
      <c r="D1359"/>
      <c r="E1359"/>
    </row>
    <row r="1360" spans="3:5" x14ac:dyDescent="0.35">
      <c r="C1360"/>
      <c r="D1360"/>
      <c r="E1360"/>
    </row>
    <row r="1361" spans="3:5" x14ac:dyDescent="0.35">
      <c r="C1361"/>
      <c r="D1361"/>
      <c r="E1361"/>
    </row>
    <row r="1362" spans="3:5" x14ac:dyDescent="0.35">
      <c r="C1362"/>
      <c r="D1362"/>
      <c r="E1362"/>
    </row>
    <row r="1363" spans="3:5" x14ac:dyDescent="0.35">
      <c r="C1363"/>
      <c r="D1363"/>
      <c r="E1363"/>
    </row>
    <row r="1364" spans="3:5" x14ac:dyDescent="0.35">
      <c r="C1364"/>
      <c r="D1364"/>
      <c r="E1364"/>
    </row>
    <row r="1365" spans="3:5" x14ac:dyDescent="0.35">
      <c r="C1365"/>
      <c r="D1365"/>
      <c r="E1365"/>
    </row>
    <row r="1366" spans="3:5" x14ac:dyDescent="0.35">
      <c r="C1366"/>
      <c r="D1366"/>
      <c r="E1366"/>
    </row>
    <row r="1367" spans="3:5" x14ac:dyDescent="0.35">
      <c r="C1367"/>
      <c r="D1367"/>
      <c r="E1367"/>
    </row>
    <row r="1368" spans="3:5" x14ac:dyDescent="0.35">
      <c r="C1368"/>
      <c r="D1368"/>
      <c r="E1368"/>
    </row>
    <row r="1369" spans="3:5" x14ac:dyDescent="0.35">
      <c r="C1369"/>
      <c r="D1369"/>
      <c r="E1369"/>
    </row>
    <row r="1370" spans="3:5" x14ac:dyDescent="0.35">
      <c r="C1370"/>
      <c r="D1370"/>
      <c r="E1370"/>
    </row>
    <row r="1371" spans="3:5" x14ac:dyDescent="0.35">
      <c r="C1371"/>
      <c r="D1371"/>
      <c r="E1371"/>
    </row>
    <row r="1372" spans="3:5" x14ac:dyDescent="0.35">
      <c r="C1372"/>
      <c r="D1372"/>
      <c r="E1372"/>
    </row>
    <row r="1373" spans="3:5" x14ac:dyDescent="0.35">
      <c r="C1373"/>
      <c r="D1373"/>
      <c r="E1373"/>
    </row>
    <row r="1374" spans="3:5" x14ac:dyDescent="0.35">
      <c r="C1374"/>
      <c r="D1374"/>
      <c r="E1374"/>
    </row>
    <row r="1375" spans="3:5" x14ac:dyDescent="0.35">
      <c r="C1375"/>
      <c r="D1375"/>
      <c r="E1375"/>
    </row>
    <row r="1376" spans="3:5" x14ac:dyDescent="0.35">
      <c r="C1376"/>
      <c r="D1376"/>
      <c r="E1376"/>
    </row>
    <row r="1377" spans="3:5" x14ac:dyDescent="0.35">
      <c r="C1377"/>
      <c r="D1377"/>
      <c r="E1377"/>
    </row>
    <row r="1378" spans="3:5" x14ac:dyDescent="0.35">
      <c r="C1378"/>
      <c r="D1378"/>
      <c r="E1378"/>
    </row>
    <row r="1379" spans="3:5" x14ac:dyDescent="0.35">
      <c r="C1379"/>
      <c r="D1379"/>
      <c r="E1379"/>
    </row>
    <row r="1380" spans="3:5" x14ac:dyDescent="0.35">
      <c r="C1380"/>
      <c r="D1380"/>
      <c r="E1380"/>
    </row>
    <row r="1381" spans="3:5" x14ac:dyDescent="0.35">
      <c r="C1381"/>
      <c r="D1381"/>
      <c r="E1381"/>
    </row>
    <row r="1382" spans="3:5" x14ac:dyDescent="0.35">
      <c r="C1382"/>
      <c r="D1382"/>
      <c r="E1382"/>
    </row>
    <row r="1383" spans="3:5" x14ac:dyDescent="0.35">
      <c r="C1383"/>
      <c r="D1383"/>
      <c r="E1383"/>
    </row>
    <row r="1384" spans="3:5" x14ac:dyDescent="0.35">
      <c r="C1384"/>
      <c r="D1384"/>
      <c r="E1384"/>
    </row>
    <row r="1385" spans="3:5" x14ac:dyDescent="0.35">
      <c r="C1385"/>
      <c r="D1385"/>
      <c r="E1385"/>
    </row>
    <row r="1386" spans="3:5" x14ac:dyDescent="0.35">
      <c r="C1386"/>
      <c r="D1386"/>
      <c r="E1386"/>
    </row>
    <row r="1387" spans="3:5" x14ac:dyDescent="0.35">
      <c r="C1387"/>
      <c r="D1387"/>
      <c r="E1387"/>
    </row>
    <row r="1388" spans="3:5" x14ac:dyDescent="0.35">
      <c r="C1388"/>
      <c r="D1388"/>
      <c r="E1388"/>
    </row>
    <row r="1389" spans="3:5" x14ac:dyDescent="0.35">
      <c r="C1389"/>
      <c r="D1389"/>
      <c r="E1389"/>
    </row>
    <row r="1390" spans="3:5" x14ac:dyDescent="0.35">
      <c r="C1390"/>
      <c r="D1390"/>
      <c r="E1390"/>
    </row>
    <row r="1391" spans="3:5" x14ac:dyDescent="0.35">
      <c r="C1391"/>
      <c r="D1391"/>
      <c r="E1391"/>
    </row>
    <row r="1392" spans="3:5" x14ac:dyDescent="0.35">
      <c r="C1392"/>
      <c r="D1392"/>
      <c r="E1392"/>
    </row>
    <row r="1393" spans="3:5" x14ac:dyDescent="0.35">
      <c r="C1393"/>
      <c r="D1393"/>
      <c r="E1393"/>
    </row>
    <row r="1394" spans="3:5" x14ac:dyDescent="0.35">
      <c r="C1394"/>
      <c r="D1394"/>
      <c r="E1394"/>
    </row>
    <row r="1395" spans="3:5" x14ac:dyDescent="0.35">
      <c r="C1395"/>
      <c r="D1395"/>
      <c r="E1395"/>
    </row>
    <row r="1396" spans="3:5" x14ac:dyDescent="0.35">
      <c r="C1396"/>
      <c r="D1396"/>
      <c r="E1396"/>
    </row>
    <row r="1397" spans="3:5" x14ac:dyDescent="0.35">
      <c r="C1397"/>
      <c r="D1397"/>
      <c r="E1397"/>
    </row>
    <row r="1398" spans="3:5" x14ac:dyDescent="0.35">
      <c r="C1398"/>
      <c r="D1398"/>
      <c r="E1398"/>
    </row>
    <row r="1399" spans="3:5" x14ac:dyDescent="0.35">
      <c r="C1399"/>
      <c r="D1399"/>
      <c r="E1399"/>
    </row>
    <row r="1400" spans="3:5" x14ac:dyDescent="0.35">
      <c r="C1400"/>
      <c r="D1400"/>
      <c r="E1400"/>
    </row>
    <row r="1401" spans="3:5" x14ac:dyDescent="0.35">
      <c r="C1401"/>
      <c r="D1401"/>
      <c r="E1401"/>
    </row>
    <row r="1402" spans="3:5" x14ac:dyDescent="0.35">
      <c r="C1402"/>
      <c r="D1402"/>
      <c r="E1402"/>
    </row>
    <row r="1403" spans="3:5" x14ac:dyDescent="0.35">
      <c r="C1403"/>
      <c r="D1403"/>
      <c r="E1403"/>
    </row>
    <row r="1404" spans="3:5" x14ac:dyDescent="0.35">
      <c r="C1404"/>
      <c r="D1404"/>
      <c r="E1404"/>
    </row>
    <row r="1405" spans="3:5" x14ac:dyDescent="0.35">
      <c r="C1405"/>
      <c r="D1405"/>
      <c r="E1405"/>
    </row>
    <row r="1406" spans="3:5" x14ac:dyDescent="0.35">
      <c r="C1406"/>
      <c r="D1406"/>
      <c r="E1406"/>
    </row>
    <row r="1407" spans="3:5" x14ac:dyDescent="0.35">
      <c r="C1407"/>
      <c r="D1407"/>
      <c r="E1407"/>
    </row>
    <row r="1408" spans="3:5" x14ac:dyDescent="0.35">
      <c r="C1408"/>
      <c r="D1408"/>
      <c r="E1408"/>
    </row>
    <row r="1409" spans="3:5" x14ac:dyDescent="0.35">
      <c r="C1409"/>
      <c r="D1409"/>
      <c r="E1409"/>
    </row>
    <row r="1410" spans="3:5" x14ac:dyDescent="0.35">
      <c r="C1410"/>
      <c r="D1410"/>
      <c r="E1410"/>
    </row>
    <row r="1411" spans="3:5" x14ac:dyDescent="0.35">
      <c r="C1411"/>
      <c r="D1411"/>
      <c r="E1411"/>
    </row>
    <row r="1412" spans="3:5" x14ac:dyDescent="0.35">
      <c r="C1412"/>
      <c r="D1412"/>
      <c r="E1412"/>
    </row>
    <row r="1413" spans="3:5" x14ac:dyDescent="0.35">
      <c r="C1413"/>
      <c r="D1413"/>
      <c r="E1413"/>
    </row>
    <row r="1414" spans="3:5" x14ac:dyDescent="0.35">
      <c r="C1414"/>
      <c r="D1414"/>
      <c r="E1414"/>
    </row>
    <row r="1415" spans="3:5" x14ac:dyDescent="0.35">
      <c r="C1415"/>
      <c r="D1415"/>
      <c r="E1415"/>
    </row>
    <row r="1416" spans="3:5" x14ac:dyDescent="0.35">
      <c r="C1416"/>
      <c r="D1416"/>
      <c r="E1416"/>
    </row>
    <row r="1417" spans="3:5" x14ac:dyDescent="0.35">
      <c r="C1417"/>
      <c r="D1417"/>
      <c r="E1417"/>
    </row>
    <row r="1418" spans="3:5" x14ac:dyDescent="0.35">
      <c r="C1418"/>
      <c r="D1418"/>
      <c r="E1418"/>
    </row>
    <row r="1419" spans="3:5" x14ac:dyDescent="0.35">
      <c r="C1419"/>
      <c r="D1419"/>
      <c r="E1419"/>
    </row>
    <row r="1420" spans="3:5" x14ac:dyDescent="0.35">
      <c r="C1420"/>
      <c r="D1420"/>
      <c r="E1420"/>
    </row>
    <row r="1421" spans="3:5" x14ac:dyDescent="0.35">
      <c r="C1421"/>
      <c r="D1421"/>
      <c r="E1421"/>
    </row>
    <row r="1422" spans="3:5" x14ac:dyDescent="0.35">
      <c r="C1422"/>
      <c r="D1422"/>
      <c r="E1422"/>
    </row>
    <row r="1423" spans="3:5" x14ac:dyDescent="0.35">
      <c r="C1423"/>
      <c r="D1423"/>
      <c r="E1423"/>
    </row>
    <row r="1424" spans="3:5" x14ac:dyDescent="0.35">
      <c r="C1424"/>
      <c r="D1424"/>
      <c r="E1424"/>
    </row>
    <row r="1425" spans="3:5" x14ac:dyDescent="0.35">
      <c r="C1425"/>
      <c r="D1425"/>
      <c r="E1425"/>
    </row>
    <row r="1426" spans="3:5" x14ac:dyDescent="0.35">
      <c r="C1426"/>
      <c r="D1426"/>
      <c r="E1426"/>
    </row>
    <row r="1427" spans="3:5" x14ac:dyDescent="0.35">
      <c r="C1427"/>
      <c r="D1427"/>
      <c r="E1427"/>
    </row>
    <row r="1428" spans="3:5" x14ac:dyDescent="0.35">
      <c r="C1428"/>
      <c r="D1428"/>
      <c r="E1428"/>
    </row>
    <row r="1429" spans="3:5" x14ac:dyDescent="0.35">
      <c r="C1429"/>
      <c r="D1429"/>
      <c r="E1429"/>
    </row>
    <row r="1430" spans="3:5" x14ac:dyDescent="0.35">
      <c r="C1430"/>
      <c r="D1430"/>
      <c r="E1430"/>
    </row>
    <row r="1431" spans="3:5" x14ac:dyDescent="0.35">
      <c r="C1431"/>
      <c r="D1431"/>
      <c r="E1431"/>
    </row>
    <row r="1432" spans="3:5" x14ac:dyDescent="0.35">
      <c r="C1432"/>
      <c r="D1432"/>
      <c r="E1432"/>
    </row>
    <row r="1433" spans="3:5" x14ac:dyDescent="0.35">
      <c r="C1433"/>
      <c r="D1433"/>
      <c r="E1433"/>
    </row>
    <row r="1434" spans="3:5" x14ac:dyDescent="0.35">
      <c r="C1434"/>
      <c r="D1434"/>
      <c r="E1434"/>
    </row>
    <row r="1435" spans="3:5" x14ac:dyDescent="0.35">
      <c r="C1435"/>
      <c r="D1435"/>
      <c r="E1435"/>
    </row>
    <row r="1436" spans="3:5" x14ac:dyDescent="0.35">
      <c r="C1436"/>
      <c r="D1436"/>
      <c r="E1436"/>
    </row>
    <row r="1437" spans="3:5" x14ac:dyDescent="0.35">
      <c r="C1437"/>
      <c r="D1437"/>
      <c r="E1437"/>
    </row>
    <row r="1438" spans="3:5" x14ac:dyDescent="0.35">
      <c r="C1438"/>
      <c r="D1438"/>
      <c r="E1438"/>
    </row>
    <row r="1439" spans="3:5" x14ac:dyDescent="0.35">
      <c r="C1439"/>
      <c r="D1439"/>
      <c r="E1439"/>
    </row>
    <row r="1440" spans="3:5" x14ac:dyDescent="0.35">
      <c r="C1440"/>
      <c r="D1440"/>
      <c r="E1440"/>
    </row>
    <row r="1441" spans="3:5" x14ac:dyDescent="0.35">
      <c r="C1441"/>
      <c r="D1441"/>
      <c r="E1441"/>
    </row>
    <row r="1442" spans="3:5" x14ac:dyDescent="0.35">
      <c r="C1442"/>
      <c r="D1442"/>
      <c r="E1442"/>
    </row>
    <row r="1443" spans="3:5" x14ac:dyDescent="0.35">
      <c r="C1443"/>
      <c r="D1443"/>
      <c r="E1443"/>
    </row>
    <row r="1444" spans="3:5" x14ac:dyDescent="0.35">
      <c r="C1444"/>
      <c r="D1444"/>
      <c r="E1444"/>
    </row>
    <row r="1445" spans="3:5" x14ac:dyDescent="0.35">
      <c r="C1445"/>
      <c r="D1445"/>
      <c r="E1445"/>
    </row>
    <row r="1446" spans="3:5" x14ac:dyDescent="0.35">
      <c r="C1446"/>
      <c r="D1446"/>
      <c r="E1446"/>
    </row>
    <row r="1447" spans="3:5" x14ac:dyDescent="0.35">
      <c r="C1447"/>
      <c r="D1447"/>
      <c r="E1447"/>
    </row>
    <row r="1448" spans="3:5" x14ac:dyDescent="0.35">
      <c r="C1448"/>
      <c r="D1448"/>
      <c r="E1448"/>
    </row>
    <row r="1449" spans="3:5" x14ac:dyDescent="0.35">
      <c r="C1449"/>
      <c r="D1449"/>
      <c r="E1449"/>
    </row>
    <row r="1450" spans="3:5" x14ac:dyDescent="0.35">
      <c r="C1450"/>
      <c r="D1450"/>
      <c r="E1450"/>
    </row>
    <row r="1451" spans="3:5" x14ac:dyDescent="0.35">
      <c r="C1451"/>
      <c r="D1451"/>
      <c r="E1451"/>
    </row>
    <row r="1452" spans="3:5" x14ac:dyDescent="0.35">
      <c r="C1452"/>
      <c r="D1452"/>
      <c r="E1452"/>
    </row>
    <row r="1453" spans="3:5" x14ac:dyDescent="0.35">
      <c r="C1453"/>
      <c r="D1453"/>
      <c r="E1453"/>
    </row>
    <row r="1454" spans="3:5" x14ac:dyDescent="0.35">
      <c r="C1454"/>
      <c r="D1454"/>
      <c r="E1454"/>
    </row>
    <row r="1455" spans="3:5" x14ac:dyDescent="0.35">
      <c r="C1455"/>
      <c r="D1455"/>
      <c r="E1455"/>
    </row>
    <row r="1456" spans="3:5" x14ac:dyDescent="0.35">
      <c r="C1456"/>
      <c r="D1456"/>
      <c r="E1456"/>
    </row>
    <row r="1457" spans="3:5" x14ac:dyDescent="0.35">
      <c r="C1457"/>
      <c r="D1457"/>
      <c r="E1457"/>
    </row>
    <row r="1458" spans="3:5" x14ac:dyDescent="0.35">
      <c r="C1458"/>
      <c r="D1458"/>
      <c r="E1458"/>
    </row>
    <row r="1459" spans="3:5" x14ac:dyDescent="0.35">
      <c r="C1459"/>
      <c r="D1459"/>
      <c r="E1459"/>
    </row>
    <row r="1460" spans="3:5" x14ac:dyDescent="0.35">
      <c r="C1460"/>
      <c r="D1460"/>
      <c r="E1460"/>
    </row>
    <row r="1461" spans="3:5" x14ac:dyDescent="0.35">
      <c r="C1461"/>
      <c r="D1461"/>
      <c r="E1461"/>
    </row>
    <row r="1462" spans="3:5" x14ac:dyDescent="0.35">
      <c r="C1462"/>
      <c r="D1462"/>
      <c r="E1462"/>
    </row>
    <row r="1463" spans="3:5" x14ac:dyDescent="0.35">
      <c r="C1463"/>
      <c r="D1463"/>
      <c r="E1463"/>
    </row>
    <row r="1464" spans="3:5" x14ac:dyDescent="0.35">
      <c r="C1464"/>
      <c r="D1464"/>
      <c r="E1464"/>
    </row>
    <row r="1465" spans="3:5" x14ac:dyDescent="0.35">
      <c r="C1465"/>
      <c r="D1465"/>
      <c r="E1465"/>
    </row>
    <row r="1466" spans="3:5" x14ac:dyDescent="0.35">
      <c r="C1466"/>
      <c r="D1466"/>
      <c r="E1466"/>
    </row>
    <row r="1467" spans="3:5" x14ac:dyDescent="0.35">
      <c r="C1467"/>
      <c r="D1467"/>
      <c r="E1467"/>
    </row>
    <row r="1468" spans="3:5" x14ac:dyDescent="0.35">
      <c r="C1468"/>
      <c r="D1468"/>
      <c r="E1468"/>
    </row>
    <row r="1469" spans="3:5" x14ac:dyDescent="0.35">
      <c r="C1469"/>
      <c r="D1469"/>
      <c r="E1469"/>
    </row>
    <row r="1470" spans="3:5" x14ac:dyDescent="0.35">
      <c r="C1470"/>
      <c r="D1470"/>
      <c r="E1470"/>
    </row>
    <row r="1471" spans="3:5" x14ac:dyDescent="0.35">
      <c r="C1471"/>
      <c r="D1471"/>
      <c r="E1471"/>
    </row>
    <row r="1472" spans="3:5" x14ac:dyDescent="0.35">
      <c r="C1472"/>
      <c r="D1472"/>
      <c r="E1472"/>
    </row>
    <row r="1473" spans="3:5" x14ac:dyDescent="0.35">
      <c r="C1473"/>
      <c r="D1473"/>
      <c r="E1473"/>
    </row>
    <row r="1474" spans="3:5" x14ac:dyDescent="0.35">
      <c r="C1474"/>
      <c r="D1474"/>
      <c r="E1474"/>
    </row>
    <row r="1475" spans="3:5" x14ac:dyDescent="0.35">
      <c r="C1475"/>
      <c r="D1475"/>
      <c r="E1475"/>
    </row>
    <row r="1476" spans="3:5" x14ac:dyDescent="0.35">
      <c r="C1476"/>
      <c r="D1476"/>
      <c r="E1476"/>
    </row>
    <row r="1477" spans="3:5" x14ac:dyDescent="0.35">
      <c r="C1477"/>
      <c r="D1477"/>
      <c r="E1477"/>
    </row>
    <row r="1478" spans="3:5" x14ac:dyDescent="0.35">
      <c r="C1478"/>
      <c r="D1478"/>
      <c r="E1478"/>
    </row>
    <row r="1479" spans="3:5" x14ac:dyDescent="0.35">
      <c r="C1479"/>
      <c r="D1479"/>
      <c r="E1479"/>
    </row>
    <row r="1480" spans="3:5" x14ac:dyDescent="0.35">
      <c r="C1480"/>
      <c r="D1480"/>
      <c r="E1480"/>
    </row>
    <row r="1481" spans="3:5" x14ac:dyDescent="0.35">
      <c r="C1481"/>
      <c r="D1481"/>
      <c r="E1481"/>
    </row>
    <row r="1482" spans="3:5" x14ac:dyDescent="0.35">
      <c r="C1482"/>
      <c r="D1482"/>
      <c r="E1482"/>
    </row>
    <row r="1483" spans="3:5" x14ac:dyDescent="0.35">
      <c r="C1483"/>
      <c r="D1483"/>
      <c r="E1483"/>
    </row>
    <row r="1484" spans="3:5" x14ac:dyDescent="0.35">
      <c r="C1484"/>
      <c r="D1484"/>
      <c r="E1484"/>
    </row>
    <row r="1485" spans="3:5" x14ac:dyDescent="0.35">
      <c r="C1485"/>
      <c r="D1485"/>
      <c r="E1485"/>
    </row>
    <row r="1486" spans="3:5" x14ac:dyDescent="0.35">
      <c r="C1486"/>
      <c r="D1486"/>
      <c r="E1486"/>
    </row>
    <row r="1487" spans="3:5" x14ac:dyDescent="0.35">
      <c r="C1487"/>
      <c r="D1487"/>
      <c r="E1487"/>
    </row>
    <row r="1488" spans="3:5" x14ac:dyDescent="0.35">
      <c r="C1488"/>
      <c r="D1488"/>
      <c r="E1488"/>
    </row>
    <row r="1489" spans="3:5" x14ac:dyDescent="0.35">
      <c r="C1489"/>
      <c r="D1489"/>
      <c r="E1489"/>
    </row>
    <row r="1490" spans="3:5" x14ac:dyDescent="0.35">
      <c r="C1490"/>
      <c r="D1490"/>
      <c r="E1490"/>
    </row>
    <row r="1491" spans="3:5" x14ac:dyDescent="0.35">
      <c r="C1491"/>
      <c r="D1491"/>
      <c r="E1491"/>
    </row>
    <row r="1492" spans="3:5" x14ac:dyDescent="0.35">
      <c r="C1492"/>
      <c r="D1492"/>
      <c r="E1492"/>
    </row>
    <row r="1493" spans="3:5" x14ac:dyDescent="0.35">
      <c r="C1493"/>
      <c r="D1493"/>
      <c r="E1493"/>
    </row>
    <row r="1494" spans="3:5" x14ac:dyDescent="0.35">
      <c r="C1494"/>
      <c r="D1494"/>
      <c r="E1494"/>
    </row>
    <row r="1495" spans="3:5" x14ac:dyDescent="0.35">
      <c r="C1495"/>
      <c r="D1495"/>
      <c r="E1495"/>
    </row>
    <row r="1496" spans="3:5" x14ac:dyDescent="0.35">
      <c r="C1496"/>
      <c r="D1496"/>
      <c r="E1496"/>
    </row>
    <row r="1497" spans="3:5" x14ac:dyDescent="0.35">
      <c r="C1497"/>
      <c r="D1497"/>
      <c r="E1497"/>
    </row>
    <row r="1498" spans="3:5" x14ac:dyDescent="0.35">
      <c r="C1498"/>
      <c r="D1498"/>
      <c r="E1498"/>
    </row>
    <row r="1499" spans="3:5" x14ac:dyDescent="0.35">
      <c r="C1499"/>
      <c r="D1499"/>
      <c r="E1499"/>
    </row>
    <row r="1500" spans="3:5" x14ac:dyDescent="0.35">
      <c r="C1500"/>
      <c r="D1500"/>
      <c r="E1500"/>
    </row>
    <row r="1501" spans="3:5" x14ac:dyDescent="0.35">
      <c r="C1501"/>
      <c r="D1501"/>
      <c r="E1501"/>
    </row>
    <row r="1502" spans="3:5" x14ac:dyDescent="0.35">
      <c r="C1502"/>
      <c r="D1502"/>
      <c r="E1502"/>
    </row>
    <row r="1503" spans="3:5" x14ac:dyDescent="0.35">
      <c r="C1503"/>
      <c r="D1503"/>
      <c r="E1503"/>
    </row>
    <row r="1504" spans="3:5" x14ac:dyDescent="0.35">
      <c r="C1504"/>
      <c r="D1504"/>
      <c r="E1504"/>
    </row>
  </sheetData>
  <conditionalFormatting sqref="A2:M26">
    <cfRule type="duplicateValues" dxfId="46" priority="15"/>
  </conditionalFormatting>
  <conditionalFormatting sqref="B2:B18">
    <cfRule type="duplicateValues" dxfId="45" priority="17"/>
  </conditionalFormatting>
  <conditionalFormatting sqref="C2:C9">
    <cfRule type="duplicateValues" dxfId="44" priority="19"/>
  </conditionalFormatting>
  <conditionalFormatting sqref="D2:D13">
    <cfRule type="duplicateValues" dxfId="43" priority="20"/>
  </conditionalFormatting>
  <conditionalFormatting sqref="E2:E20">
    <cfRule type="duplicateValues" dxfId="42" priority="18"/>
  </conditionalFormatting>
  <conditionalFormatting sqref="H30:H54">
    <cfRule type="duplicateValues" dxfId="41" priority="1"/>
  </conditionalFormatting>
  <conditionalFormatting sqref="N1:AD1">
    <cfRule type="duplicateValues" dxfId="40" priority="14"/>
  </conditionalFormatting>
  <conditionalFormatting sqref="AE1:AL1">
    <cfRule type="duplicateValues" dxfId="39" priority="12"/>
    <cfRule type="duplicateValues" dxfId="38" priority="13"/>
  </conditionalFormatting>
  <conditionalFormatting sqref="AM1:AX1">
    <cfRule type="duplicateValues" dxfId="37" priority="10"/>
    <cfRule type="duplicateValues" dxfId="36" priority="11"/>
  </conditionalFormatting>
  <conditionalFormatting sqref="AY1:BQ1">
    <cfRule type="duplicateValues" dxfId="35" priority="8"/>
    <cfRule type="duplicateValues" dxfId="34" priority="9"/>
  </conditionalFormatting>
  <conditionalFormatting sqref="CA1:CR1">
    <cfRule type="duplicateValues" dxfId="33" priority="7"/>
  </conditionalFormatting>
  <conditionalFormatting sqref="CS1:DQ1">
    <cfRule type="duplicateValues" dxfId="32" priority="6"/>
  </conditionalFormatting>
  <conditionalFormatting sqref="EE1:EQ1">
    <cfRule type="duplicateValues" dxfId="31" priority="5"/>
  </conditionalFormatting>
  <conditionalFormatting sqref="ER1:FA1">
    <cfRule type="duplicateValues" dxfId="30" priority="4"/>
  </conditionalFormatting>
  <conditionalFormatting sqref="FB1:FL1">
    <cfRule type="duplicateValues" dxfId="29" priority="3"/>
  </conditionalFormatting>
  <conditionalFormatting sqref="FM1:GC1">
    <cfRule type="duplicateValues" dxfId="2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P24"/>
  <sheetViews>
    <sheetView zoomScale="70" zoomScaleNormal="70" workbookViewId="0">
      <selection activeCell="V24" sqref="V24"/>
    </sheetView>
  </sheetViews>
  <sheetFormatPr defaultRowHeight="14.5" x14ac:dyDescent="0.35"/>
  <cols>
    <col min="1" max="1" width="21.453125" style="5" bestFit="1" customWidth="1"/>
    <col min="2" max="2" width="14.6328125" style="5" bestFit="1" customWidth="1"/>
    <col min="3" max="3" width="17.26953125" style="5" bestFit="1" customWidth="1"/>
    <col min="4" max="4" width="13.453125" style="5" bestFit="1" customWidth="1"/>
    <col min="5" max="5" width="17.26953125" style="5" bestFit="1" customWidth="1"/>
    <col min="6" max="6" width="16" style="5" bestFit="1" customWidth="1"/>
    <col min="7" max="7" width="15.08984375" style="5" bestFit="1" customWidth="1"/>
    <col min="8" max="8" width="13.7265625" style="5" bestFit="1" customWidth="1"/>
    <col min="9" max="9" width="15.26953125" style="5" bestFit="1" customWidth="1"/>
    <col min="10" max="10" width="14.6328125" style="5" bestFit="1" customWidth="1"/>
    <col min="11" max="11" width="17.1796875" style="5" bestFit="1" customWidth="1"/>
    <col min="12" max="12" width="16.81640625" style="5" bestFit="1" customWidth="1"/>
    <col min="13" max="13" width="18.81640625" style="5" bestFit="1" customWidth="1"/>
    <col min="14" max="14" width="15.6328125" style="5" bestFit="1" customWidth="1"/>
    <col min="15" max="15" width="18.54296875" style="5" bestFit="1" customWidth="1"/>
    <col min="16" max="16" width="11.1796875" style="5" bestFit="1" customWidth="1"/>
    <col min="17" max="17" width="14.54296875" style="5" bestFit="1" customWidth="1"/>
    <col min="18" max="18" width="16" bestFit="1" customWidth="1"/>
    <col min="19" max="19" width="22.6328125" bestFit="1" customWidth="1"/>
    <col min="20" max="20" width="15.54296875" bestFit="1" customWidth="1"/>
    <col min="21" max="21" width="19.36328125" bestFit="1" customWidth="1"/>
    <col min="22" max="22" width="16.7265625" bestFit="1" customWidth="1"/>
    <col min="23" max="23" width="18.54296875" bestFit="1" customWidth="1"/>
    <col min="24" max="24" width="20.90625" bestFit="1" customWidth="1"/>
    <col min="25" max="25" width="17.6328125" bestFit="1" customWidth="1"/>
    <col min="26" max="26" width="17.54296875" style="9" bestFit="1" customWidth="1"/>
    <col min="27" max="27" width="13.6328125" style="9" bestFit="1" customWidth="1"/>
    <col min="28" max="28" width="14.7265625" style="9" bestFit="1" customWidth="1"/>
    <col min="29" max="29" width="15.54296875" style="9" bestFit="1" customWidth="1"/>
    <col min="30" max="30" width="14.54296875" style="9" bestFit="1" customWidth="1"/>
    <col min="31" max="31" width="16.08984375" style="9" bestFit="1" customWidth="1"/>
    <col min="32" max="32" width="20" style="9" bestFit="1" customWidth="1"/>
    <col min="33" max="33" width="14.90625" style="9" bestFit="1" customWidth="1"/>
    <col min="34" max="34" width="23.26953125" style="9" bestFit="1" customWidth="1"/>
    <col min="35" max="35" width="17.26953125" style="9" bestFit="1" customWidth="1"/>
    <col min="36" max="36" width="13.90625" style="9" bestFit="1" customWidth="1"/>
    <col min="37" max="37" width="21.6328125" style="9" bestFit="1" customWidth="1"/>
    <col min="38" max="38" width="16.36328125" bestFit="1" customWidth="1"/>
    <col min="39" max="39" width="14" bestFit="1" customWidth="1"/>
    <col min="40" max="40" width="12.453125" bestFit="1" customWidth="1"/>
    <col min="41" max="41" width="12.90625" bestFit="1" customWidth="1"/>
    <col min="42" max="42" width="16" bestFit="1" customWidth="1"/>
    <col min="43" max="43" width="17.6328125" bestFit="1" customWidth="1"/>
    <col min="44" max="44" width="14.08984375" bestFit="1" customWidth="1"/>
    <col min="45" max="45" width="15.81640625" bestFit="1" customWidth="1"/>
    <col min="46" max="46" width="13.453125" bestFit="1" customWidth="1"/>
    <col min="47" max="47" width="22.36328125" bestFit="1" customWidth="1"/>
    <col min="48" max="48" width="11.36328125" bestFit="1" customWidth="1"/>
    <col min="49" max="49" width="25.1796875" bestFit="1" customWidth="1"/>
    <col min="50" max="50" width="16" bestFit="1" customWidth="1"/>
    <col min="51" max="51" width="14.7265625" bestFit="1" customWidth="1"/>
    <col min="52" max="52" width="13.90625" bestFit="1" customWidth="1"/>
    <col min="53" max="53" width="15.1796875" bestFit="1" customWidth="1"/>
    <col min="54" max="54" width="26.54296875" bestFit="1" customWidth="1"/>
    <col min="55" max="55" width="15.81640625" bestFit="1" customWidth="1"/>
    <col min="56" max="56" width="13.7265625" bestFit="1" customWidth="1"/>
    <col min="57" max="57" width="13" bestFit="1" customWidth="1"/>
    <col min="58" max="58" width="15.7265625" bestFit="1" customWidth="1"/>
    <col min="59" max="59" width="14.6328125" bestFit="1" customWidth="1"/>
    <col min="60" max="60" width="15.26953125" bestFit="1" customWidth="1"/>
    <col min="61" max="61" width="13.90625" bestFit="1" customWidth="1"/>
    <col min="62" max="62" width="19.26953125" bestFit="1" customWidth="1"/>
    <col min="63" max="63" width="13.54296875" bestFit="1" customWidth="1"/>
    <col min="64" max="64" width="16" bestFit="1" customWidth="1"/>
    <col min="65" max="66" width="14.81640625" bestFit="1" customWidth="1"/>
    <col min="67" max="67" width="18.54296875" bestFit="1" customWidth="1"/>
    <col min="68" max="68" width="13.7265625" bestFit="1" customWidth="1"/>
    <col min="69" max="69" width="18.26953125" bestFit="1" customWidth="1"/>
    <col min="70" max="70" width="13.81640625" bestFit="1" customWidth="1"/>
    <col min="71" max="71" width="18.453125" bestFit="1" customWidth="1"/>
    <col min="72" max="72" width="13.6328125" bestFit="1" customWidth="1"/>
    <col min="73" max="73" width="14.90625" bestFit="1" customWidth="1"/>
    <col min="74" max="74" width="15.54296875" bestFit="1" customWidth="1"/>
    <col min="75" max="75" width="24.26953125" bestFit="1" customWidth="1"/>
    <col min="76" max="76" width="16.54296875" bestFit="1" customWidth="1"/>
    <col min="77" max="77" width="16.1796875" bestFit="1" customWidth="1"/>
    <col min="78" max="78" width="13.36328125" bestFit="1" customWidth="1"/>
    <col min="79" max="79" width="13.54296875" bestFit="1" customWidth="1"/>
    <col min="80" max="80" width="19.54296875" bestFit="1" customWidth="1"/>
    <col min="81" max="81" width="20.36328125" bestFit="1" customWidth="1"/>
    <col min="82" max="82" width="15.08984375" bestFit="1" customWidth="1"/>
    <col min="83" max="83" width="14.6328125" bestFit="1" customWidth="1"/>
    <col min="84" max="84" width="17.26953125" bestFit="1" customWidth="1"/>
    <col min="85" max="85" width="18" bestFit="1" customWidth="1"/>
    <col min="86" max="86" width="22.81640625" bestFit="1" customWidth="1"/>
    <col min="87" max="87" width="13.90625" bestFit="1" customWidth="1"/>
    <col min="88" max="88" width="13.6328125" bestFit="1" customWidth="1"/>
    <col min="89" max="89" width="17.453125" bestFit="1" customWidth="1"/>
    <col min="90" max="90" width="13.26953125" bestFit="1" customWidth="1"/>
    <col min="91" max="91" width="14.1796875" bestFit="1" customWidth="1"/>
    <col min="92" max="92" width="12.90625" bestFit="1" customWidth="1"/>
    <col min="93" max="93" width="23.08984375" bestFit="1" customWidth="1"/>
    <col min="94" max="94" width="16.08984375" bestFit="1" customWidth="1"/>
    <col min="95" max="95" width="22.54296875" bestFit="1" customWidth="1"/>
    <col min="96" max="96" width="16.6328125" bestFit="1" customWidth="1"/>
    <col min="97" max="97" width="20.36328125" bestFit="1" customWidth="1"/>
    <col min="98" max="98" width="14.26953125" bestFit="1" customWidth="1"/>
    <col min="99" max="99" width="15.6328125" bestFit="1" customWidth="1"/>
    <col min="100" max="100" width="13" bestFit="1" customWidth="1"/>
    <col min="101" max="101" width="14.36328125" bestFit="1" customWidth="1"/>
    <col min="102" max="102" width="18.1796875" bestFit="1" customWidth="1"/>
    <col min="103" max="103" width="14.08984375" bestFit="1" customWidth="1"/>
    <col min="104" max="104" width="14.453125" bestFit="1" customWidth="1"/>
    <col min="105" max="105" width="17.08984375" bestFit="1" customWidth="1"/>
    <col min="106" max="106" width="15.54296875" bestFit="1" customWidth="1"/>
    <col min="107" max="107" width="15.1796875" bestFit="1" customWidth="1"/>
    <col min="108" max="108" width="19.7265625" bestFit="1" customWidth="1"/>
    <col min="109" max="109" width="17.1796875" bestFit="1" customWidth="1"/>
    <col min="110" max="110" width="13" bestFit="1" customWidth="1"/>
    <col min="111" max="111" width="12.453125" bestFit="1" customWidth="1"/>
    <col min="112" max="112" width="15.6328125" bestFit="1" customWidth="1"/>
    <col min="113" max="113" width="13.08984375" bestFit="1" customWidth="1"/>
    <col min="114" max="114" width="16.54296875" bestFit="1" customWidth="1"/>
    <col min="115" max="115" width="15.6328125" bestFit="1" customWidth="1"/>
    <col min="116" max="116" width="9.6328125" bestFit="1" customWidth="1"/>
    <col min="117" max="117" width="15.7265625" bestFit="1" customWidth="1"/>
    <col min="118" max="118" width="12.1796875" bestFit="1" customWidth="1"/>
    <col min="119" max="119" width="15.26953125" bestFit="1" customWidth="1"/>
    <col min="120" max="120" width="19.7265625" bestFit="1" customWidth="1"/>
    <col min="121" max="121" width="16.453125" bestFit="1" customWidth="1"/>
    <col min="122" max="122" width="19.81640625" bestFit="1" customWidth="1"/>
    <col min="123" max="123" width="14.08984375" bestFit="1" customWidth="1"/>
    <col min="124" max="124" width="13.81640625" bestFit="1" customWidth="1"/>
    <col min="125" max="125" width="12" bestFit="1" customWidth="1"/>
    <col min="126" max="126" width="21.08984375" bestFit="1" customWidth="1"/>
    <col min="127" max="127" width="17.7265625" bestFit="1" customWidth="1"/>
    <col min="128" max="128" width="16.08984375" bestFit="1" customWidth="1"/>
    <col min="129" max="129" width="11.90625" bestFit="1" customWidth="1"/>
    <col min="130" max="130" width="18.1796875" bestFit="1" customWidth="1"/>
    <col min="131" max="131" width="18.453125" bestFit="1" customWidth="1"/>
    <col min="132" max="132" width="14.26953125" bestFit="1" customWidth="1"/>
    <col min="133" max="133" width="13.1796875" bestFit="1" customWidth="1"/>
    <col min="134" max="134" width="14.90625" bestFit="1" customWidth="1"/>
    <col min="135" max="135" width="16.1796875" bestFit="1" customWidth="1"/>
    <col min="136" max="136" width="17.08984375" bestFit="1" customWidth="1"/>
    <col min="137" max="137" width="15.26953125" bestFit="1" customWidth="1"/>
    <col min="138" max="138" width="20.08984375" bestFit="1" customWidth="1"/>
    <col min="139" max="139" width="14.81640625" bestFit="1" customWidth="1"/>
    <col min="140" max="140" width="19.08984375" bestFit="1" customWidth="1"/>
    <col min="141" max="141" width="13.7265625" bestFit="1" customWidth="1"/>
    <col min="142" max="142" width="14.1796875" bestFit="1" customWidth="1"/>
    <col min="143" max="143" width="16.08984375" bestFit="1" customWidth="1"/>
    <col min="144" max="144" width="16.7265625" bestFit="1" customWidth="1"/>
    <col min="145" max="145" width="13.90625" bestFit="1" customWidth="1"/>
    <col min="146" max="146" width="18.7265625" bestFit="1" customWidth="1"/>
    <col min="147" max="147" width="16.26953125" bestFit="1" customWidth="1"/>
    <col min="148" max="148" width="16" bestFit="1" customWidth="1"/>
    <col min="149" max="149" width="15.54296875" bestFit="1" customWidth="1"/>
    <col min="150" max="150" width="17.453125" bestFit="1" customWidth="1"/>
    <col min="151" max="151" width="21.1796875" bestFit="1" customWidth="1"/>
    <col min="152" max="152" width="16.54296875" bestFit="1" customWidth="1"/>
    <col min="153" max="153" width="21.90625" bestFit="1" customWidth="1"/>
    <col min="154" max="154" width="17.26953125" bestFit="1" customWidth="1"/>
    <col min="155" max="155" width="17.6328125" bestFit="1" customWidth="1"/>
    <col min="156" max="156" width="15.26953125" bestFit="1" customWidth="1"/>
    <col min="157" max="157" width="17.26953125" bestFit="1" customWidth="1"/>
    <col min="158" max="158" width="18.1796875" bestFit="1" customWidth="1"/>
    <col min="159" max="159" width="14.453125" bestFit="1" customWidth="1"/>
    <col min="160" max="160" width="13.90625" bestFit="1" customWidth="1"/>
    <col min="161" max="161" width="15.6328125" bestFit="1" customWidth="1"/>
    <col min="162" max="162" width="18.54296875" bestFit="1" customWidth="1"/>
    <col min="163" max="163" width="16.36328125" bestFit="1" customWidth="1"/>
    <col min="164" max="164" width="18.36328125" bestFit="1" customWidth="1"/>
    <col min="165" max="165" width="12.453125" bestFit="1" customWidth="1"/>
    <col min="166" max="166" width="13.1796875" bestFit="1" customWidth="1"/>
    <col min="167" max="167" width="22.54296875" bestFit="1" customWidth="1"/>
    <col min="168" max="168" width="14.81640625" bestFit="1" customWidth="1"/>
    <col min="169" max="169" width="13" bestFit="1" customWidth="1"/>
    <col min="170" max="171" width="15.36328125" bestFit="1" customWidth="1"/>
    <col min="172" max="172" width="13.36328125" bestFit="1" customWidth="1"/>
  </cols>
  <sheetData>
    <row r="1" spans="1:172" s="2" customFormat="1" x14ac:dyDescent="0.3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6260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198</v>
      </c>
      <c r="AA1" s="1" t="s">
        <v>199</v>
      </c>
      <c r="AB1" s="1" t="s">
        <v>200</v>
      </c>
      <c r="AC1" s="1" t="s">
        <v>201</v>
      </c>
      <c r="AD1" s="1" t="s">
        <v>202</v>
      </c>
      <c r="AE1" s="1" t="s">
        <v>203</v>
      </c>
      <c r="AF1" s="1" t="s">
        <v>6259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1386</v>
      </c>
      <c r="AL1" s="1" t="s">
        <v>208</v>
      </c>
      <c r="AM1" s="1" t="s">
        <v>209</v>
      </c>
      <c r="AN1" s="1" t="s">
        <v>210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1388</v>
      </c>
      <c r="AV1" s="1" t="s">
        <v>217</v>
      </c>
      <c r="AW1" s="1" t="s">
        <v>1390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1392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234</v>
      </c>
      <c r="BP1" s="1" t="s">
        <v>235</v>
      </c>
      <c r="BQ1" s="1" t="s">
        <v>236</v>
      </c>
      <c r="BR1" s="1" t="s">
        <v>237</v>
      </c>
      <c r="BS1" s="1" t="s">
        <v>238</v>
      </c>
      <c r="BT1" s="1" t="s">
        <v>239</v>
      </c>
      <c r="BU1" s="1" t="s">
        <v>240</v>
      </c>
      <c r="BV1" s="1" t="s">
        <v>241</v>
      </c>
      <c r="BW1" s="1" t="s">
        <v>1393</v>
      </c>
      <c r="BX1" s="1" t="s">
        <v>242</v>
      </c>
      <c r="BY1" s="1" t="s">
        <v>243</v>
      </c>
      <c r="BZ1" s="1" t="s">
        <v>244</v>
      </c>
      <c r="CA1" s="1" t="s">
        <v>245</v>
      </c>
      <c r="CB1" s="1" t="s">
        <v>246</v>
      </c>
      <c r="CC1" s="1" t="s">
        <v>247</v>
      </c>
      <c r="CD1" s="1" t="s">
        <v>248</v>
      </c>
      <c r="CE1" s="1" t="s">
        <v>249</v>
      </c>
      <c r="CF1" s="1" t="s">
        <v>250</v>
      </c>
      <c r="CG1" s="1" t="s">
        <v>932</v>
      </c>
      <c r="CH1" s="1" t="s">
        <v>1385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857</v>
      </c>
      <c r="CQ1" s="1" t="s">
        <v>1473</v>
      </c>
      <c r="CR1" s="1" t="s">
        <v>258</v>
      </c>
      <c r="CS1" s="1" t="s">
        <v>864</v>
      </c>
      <c r="CT1" s="1" t="s">
        <v>259</v>
      </c>
      <c r="CU1" s="1" t="s">
        <v>260</v>
      </c>
      <c r="CV1" s="1" t="s">
        <v>261</v>
      </c>
      <c r="CW1" s="1" t="s">
        <v>262</v>
      </c>
      <c r="CX1" s="1" t="s">
        <v>910</v>
      </c>
      <c r="CY1" s="1" t="s">
        <v>263</v>
      </c>
      <c r="CZ1" s="1" t="s">
        <v>264</v>
      </c>
      <c r="DA1" s="1" t="s">
        <v>265</v>
      </c>
      <c r="DB1" s="1" t="s">
        <v>266</v>
      </c>
      <c r="DC1" s="1" t="s">
        <v>267</v>
      </c>
      <c r="DD1" s="1" t="s">
        <v>1387</v>
      </c>
      <c r="DE1" s="1" t="s">
        <v>268</v>
      </c>
      <c r="DF1" s="1" t="s">
        <v>269</v>
      </c>
      <c r="DG1" s="1" t="s">
        <v>270</v>
      </c>
      <c r="DH1" s="1" t="s">
        <v>271</v>
      </c>
      <c r="DI1" s="1" t="s">
        <v>272</v>
      </c>
      <c r="DJ1" s="1" t="s">
        <v>273</v>
      </c>
      <c r="DK1" s="1" t="s">
        <v>274</v>
      </c>
      <c r="DL1" s="1" t="s">
        <v>275</v>
      </c>
      <c r="DM1" s="1" t="s">
        <v>276</v>
      </c>
      <c r="DN1" s="1" t="s">
        <v>277</v>
      </c>
      <c r="DO1" s="1" t="s">
        <v>278</v>
      </c>
      <c r="DP1" s="1" t="s">
        <v>279</v>
      </c>
      <c r="DQ1" s="1" t="s">
        <v>280</v>
      </c>
      <c r="DR1" s="1" t="s">
        <v>281</v>
      </c>
      <c r="DS1" s="1" t="s">
        <v>282</v>
      </c>
      <c r="DT1" s="1" t="s">
        <v>283</v>
      </c>
      <c r="DU1" s="1" t="s">
        <v>284</v>
      </c>
      <c r="DV1" s="1" t="s">
        <v>1391</v>
      </c>
      <c r="DW1" s="1" t="s">
        <v>285</v>
      </c>
      <c r="DX1" s="1" t="s">
        <v>286</v>
      </c>
      <c r="DY1" s="1" t="s">
        <v>287</v>
      </c>
      <c r="DZ1" s="1" t="s">
        <v>1395</v>
      </c>
      <c r="EA1" s="1" t="s">
        <v>288</v>
      </c>
      <c r="EB1" s="1" t="s">
        <v>289</v>
      </c>
      <c r="EC1" s="1" t="s">
        <v>290</v>
      </c>
      <c r="ED1" s="1" t="s">
        <v>291</v>
      </c>
      <c r="EE1" s="1" t="s">
        <v>292</v>
      </c>
      <c r="EF1" s="1" t="s">
        <v>293</v>
      </c>
      <c r="EG1" s="1" t="s">
        <v>294</v>
      </c>
      <c r="EH1" s="1" t="s">
        <v>1384</v>
      </c>
      <c r="EI1" s="1" t="s">
        <v>295</v>
      </c>
      <c r="EJ1" s="1" t="s">
        <v>296</v>
      </c>
      <c r="EK1" s="1" t="s">
        <v>297</v>
      </c>
      <c r="EL1" s="1" t="s">
        <v>298</v>
      </c>
      <c r="EM1" s="1" t="s">
        <v>299</v>
      </c>
      <c r="EN1" s="1" t="s">
        <v>300</v>
      </c>
      <c r="EO1" s="1" t="s">
        <v>301</v>
      </c>
      <c r="EP1" s="1" t="s">
        <v>302</v>
      </c>
      <c r="EQ1" s="1" t="s">
        <v>303</v>
      </c>
      <c r="ER1" s="1" t="s">
        <v>304</v>
      </c>
      <c r="ES1" s="1" t="s">
        <v>305</v>
      </c>
      <c r="ET1" s="1" t="s">
        <v>306</v>
      </c>
      <c r="EU1" s="1" t="s">
        <v>1394</v>
      </c>
      <c r="EV1" s="1" t="s">
        <v>307</v>
      </c>
      <c r="EW1" s="1" t="s">
        <v>308</v>
      </c>
      <c r="EX1" s="1" t="s">
        <v>309</v>
      </c>
      <c r="EY1" s="1" t="s">
        <v>310</v>
      </c>
      <c r="EZ1" s="1" t="s">
        <v>311</v>
      </c>
      <c r="FA1" s="1" t="s">
        <v>312</v>
      </c>
      <c r="FB1" s="1" t="s">
        <v>313</v>
      </c>
      <c r="FC1" s="1" t="s">
        <v>314</v>
      </c>
      <c r="FD1" s="1" t="s">
        <v>315</v>
      </c>
      <c r="FE1" s="1" t="s">
        <v>316</v>
      </c>
      <c r="FF1" s="1" t="s">
        <v>1389</v>
      </c>
      <c r="FG1" s="1" t="s">
        <v>317</v>
      </c>
      <c r="FH1" s="1" t="s">
        <v>318</v>
      </c>
      <c r="FI1" s="1" t="s">
        <v>319</v>
      </c>
      <c r="FJ1" s="1" t="s">
        <v>320</v>
      </c>
      <c r="FK1" s="1" t="s">
        <v>321</v>
      </c>
      <c r="FL1" s="1" t="s">
        <v>322</v>
      </c>
      <c r="FM1" s="1" t="s">
        <v>323</v>
      </c>
      <c r="FN1" s="1" t="s">
        <v>324</v>
      </c>
      <c r="FO1" s="1" t="s">
        <v>325</v>
      </c>
      <c r="FP1" s="1" t="s">
        <v>326</v>
      </c>
    </row>
    <row r="2" spans="1:172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7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150</v>
      </c>
      <c r="T2" s="4" t="s">
        <v>343</v>
      </c>
      <c r="U2" s="4" t="s">
        <v>348</v>
      </c>
      <c r="V2" s="4" t="s">
        <v>360</v>
      </c>
      <c r="W2" s="4" t="s">
        <v>378</v>
      </c>
      <c r="X2" s="4" t="s">
        <v>396</v>
      </c>
      <c r="Y2" s="4" t="s">
        <v>104</v>
      </c>
      <c r="Z2" s="4" t="s">
        <v>427</v>
      </c>
      <c r="AA2" s="4" t="s">
        <v>440</v>
      </c>
      <c r="AB2" s="4" t="s">
        <v>444</v>
      </c>
      <c r="AC2" s="4" t="s">
        <v>456</v>
      </c>
      <c r="AD2" s="4" t="s">
        <v>466</v>
      </c>
      <c r="AE2" s="4" t="s">
        <v>467</v>
      </c>
      <c r="AF2" s="4" t="s">
        <v>478</v>
      </c>
      <c r="AG2" s="4" t="s">
        <v>486</v>
      </c>
      <c r="AH2" s="4" t="s">
        <v>489</v>
      </c>
      <c r="AI2" s="4" t="s">
        <v>496</v>
      </c>
      <c r="AJ2" s="4" t="s">
        <v>505</v>
      </c>
      <c r="AK2" s="4" t="s">
        <v>510</v>
      </c>
      <c r="AL2" s="4" t="s">
        <v>515</v>
      </c>
      <c r="AM2" s="4" t="s">
        <v>522</v>
      </c>
      <c r="AN2" s="4" t="s">
        <v>534</v>
      </c>
      <c r="AO2" s="4" t="s">
        <v>540</v>
      </c>
      <c r="AP2" s="4" t="s">
        <v>549</v>
      </c>
      <c r="AQ2" s="4" t="s">
        <v>558</v>
      </c>
      <c r="AR2" s="4" t="s">
        <v>564</v>
      </c>
      <c r="AS2" s="4" t="s">
        <v>567</v>
      </c>
      <c r="AT2" s="4" t="s">
        <v>574</v>
      </c>
      <c r="AU2" s="4" t="s">
        <v>582</v>
      </c>
      <c r="AV2" s="4" t="s">
        <v>591</v>
      </c>
      <c r="AW2" s="4" t="s">
        <v>596</v>
      </c>
      <c r="AX2" s="4" t="s">
        <v>26</v>
      </c>
      <c r="AY2" s="4" t="s">
        <v>604</v>
      </c>
      <c r="AZ2" s="4" t="s">
        <v>611</v>
      </c>
      <c r="BA2" s="4" t="s">
        <v>618</v>
      </c>
      <c r="BB2" s="4" t="s">
        <v>631</v>
      </c>
      <c r="BC2" s="4" t="s">
        <v>636</v>
      </c>
      <c r="BD2" s="4" t="s">
        <v>637</v>
      </c>
      <c r="BE2" s="4" t="s">
        <v>645</v>
      </c>
      <c r="BF2" s="4" t="s">
        <v>648</v>
      </c>
      <c r="BG2" s="4" t="s">
        <v>423</v>
      </c>
      <c r="BH2" s="4" t="s">
        <v>666</v>
      </c>
      <c r="BI2" s="4" t="s">
        <v>673</v>
      </c>
      <c r="BJ2" s="4" t="s">
        <v>685</v>
      </c>
      <c r="BK2" s="4" t="s">
        <v>424</v>
      </c>
      <c r="BL2" s="4" t="s">
        <v>699</v>
      </c>
      <c r="BM2" s="4" t="s">
        <v>710</v>
      </c>
      <c r="BN2" s="4" t="s">
        <v>717</v>
      </c>
      <c r="BO2" s="4" t="s">
        <v>718</v>
      </c>
      <c r="BP2" s="4" t="s">
        <v>729</v>
      </c>
      <c r="BQ2" s="4" t="s">
        <v>736</v>
      </c>
      <c r="BR2" s="4" t="s">
        <v>657</v>
      </c>
      <c r="BS2" s="4" t="s">
        <v>746</v>
      </c>
      <c r="BT2" s="4" t="s">
        <v>760</v>
      </c>
      <c r="BU2" s="4" t="s">
        <v>765</v>
      </c>
      <c r="BV2" s="4" t="s">
        <v>774</v>
      </c>
      <c r="BW2" s="4" t="s">
        <v>775</v>
      </c>
      <c r="BX2" s="4" t="s">
        <v>791</v>
      </c>
      <c r="BY2" s="4" t="s">
        <v>796</v>
      </c>
      <c r="BZ2" s="4" t="s">
        <v>801</v>
      </c>
      <c r="CA2" s="4" t="s">
        <v>806</v>
      </c>
      <c r="CB2" s="4" t="s">
        <v>807</v>
      </c>
      <c r="CC2" s="4" t="s">
        <v>32</v>
      </c>
      <c r="CD2" s="4" t="s">
        <v>818</v>
      </c>
      <c r="CE2" s="4" t="s">
        <v>819</v>
      </c>
      <c r="CF2" s="4" t="s">
        <v>827</v>
      </c>
      <c r="CG2" s="4" t="s">
        <v>829</v>
      </c>
      <c r="CH2" s="4" t="s">
        <v>835</v>
      </c>
      <c r="CI2" s="4" t="s">
        <v>836</v>
      </c>
      <c r="CJ2" s="4" t="s">
        <v>841</v>
      </c>
      <c r="CK2" s="4" t="s">
        <v>842</v>
      </c>
      <c r="CL2" s="4" t="s">
        <v>574</v>
      </c>
      <c r="CM2" s="4" t="s">
        <v>844</v>
      </c>
      <c r="CN2" s="4" t="s">
        <v>847</v>
      </c>
      <c r="CO2" s="4" t="s">
        <v>850</v>
      </c>
      <c r="CP2" s="4" t="s">
        <v>856</v>
      </c>
      <c r="CQ2" s="4" t="s">
        <v>858</v>
      </c>
      <c r="CR2" s="4" t="s">
        <v>32</v>
      </c>
      <c r="CS2" s="4" t="s">
        <v>866</v>
      </c>
      <c r="CT2" s="4" t="s">
        <v>867</v>
      </c>
      <c r="CU2" s="4" t="s">
        <v>882</v>
      </c>
      <c r="CV2" s="4" t="s">
        <v>890</v>
      </c>
      <c r="CW2" s="4" t="s">
        <v>897</v>
      </c>
      <c r="CX2" s="4" t="s">
        <v>901</v>
      </c>
      <c r="CY2" s="4" t="s">
        <v>441</v>
      </c>
      <c r="CZ2" s="4" t="s">
        <v>914</v>
      </c>
      <c r="DA2" s="4" t="s">
        <v>915</v>
      </c>
      <c r="DB2" s="4" t="s">
        <v>923</v>
      </c>
      <c r="DC2" s="4" t="s">
        <v>927</v>
      </c>
      <c r="DD2" s="4" t="s">
        <v>928</v>
      </c>
      <c r="DE2" s="4" t="s">
        <v>949</v>
      </c>
      <c r="DF2" s="4" t="s">
        <v>955</v>
      </c>
      <c r="DG2" s="4" t="s">
        <v>974</v>
      </c>
      <c r="DH2" s="4" t="s">
        <v>980</v>
      </c>
      <c r="DI2" s="4" t="s">
        <v>990</v>
      </c>
      <c r="DJ2" s="4" t="s">
        <v>992</v>
      </c>
      <c r="DK2" s="4" t="s">
        <v>495</v>
      </c>
      <c r="DL2" s="4" t="s">
        <v>26</v>
      </c>
      <c r="DM2" s="4" t="s">
        <v>1015</v>
      </c>
      <c r="DN2" s="4" t="s">
        <v>31</v>
      </c>
      <c r="DO2" s="4" t="s">
        <v>835</v>
      </c>
      <c r="DP2" s="4" t="s">
        <v>1033</v>
      </c>
      <c r="DQ2" s="4" t="s">
        <v>1039</v>
      </c>
      <c r="DR2" s="4" t="s">
        <v>1048</v>
      </c>
      <c r="DS2" s="4" t="s">
        <v>434</v>
      </c>
      <c r="DT2" s="4" t="s">
        <v>1059</v>
      </c>
      <c r="DU2" s="4" t="s">
        <v>1060</v>
      </c>
      <c r="DV2" s="4" t="s">
        <v>1063</v>
      </c>
      <c r="DW2" s="4" t="s">
        <v>1069</v>
      </c>
      <c r="DX2" s="4" t="s">
        <v>1076</v>
      </c>
      <c r="DY2" s="4" t="s">
        <v>485</v>
      </c>
      <c r="DZ2" s="4" t="s">
        <v>1084</v>
      </c>
      <c r="EA2" s="4" t="s">
        <v>419</v>
      </c>
      <c r="EB2" s="4" t="s">
        <v>1095</v>
      </c>
      <c r="EC2" s="4" t="s">
        <v>1100</v>
      </c>
      <c r="ED2" s="4" t="s">
        <v>1105</v>
      </c>
      <c r="EE2" s="4" t="s">
        <v>1111</v>
      </c>
      <c r="EF2" s="4" t="s">
        <v>1116</v>
      </c>
      <c r="EG2" s="4" t="s">
        <v>1128</v>
      </c>
      <c r="EH2" s="4" t="s">
        <v>1131</v>
      </c>
      <c r="EI2" s="4" t="s">
        <v>1149</v>
      </c>
      <c r="EJ2" s="4" t="s">
        <v>331</v>
      </c>
      <c r="EK2" s="4" t="s">
        <v>1168</v>
      </c>
      <c r="EL2" s="4" t="s">
        <v>1172</v>
      </c>
      <c r="EM2" s="4" t="s">
        <v>1180</v>
      </c>
      <c r="EN2" s="4" t="s">
        <v>1190</v>
      </c>
      <c r="EO2" s="4" t="s">
        <v>1206</v>
      </c>
      <c r="EP2" s="4" t="s">
        <v>1214</v>
      </c>
      <c r="EQ2" s="4" t="s">
        <v>1224</v>
      </c>
      <c r="ER2" s="4" t="s">
        <v>1229</v>
      </c>
      <c r="ES2" s="4" t="s">
        <v>1231</v>
      </c>
      <c r="ET2" s="4" t="s">
        <v>1236</v>
      </c>
      <c r="EU2" s="4" t="s">
        <v>1254</v>
      </c>
      <c r="EV2" s="4" t="s">
        <v>1261</v>
      </c>
      <c r="EW2" s="4" t="s">
        <v>1267</v>
      </c>
      <c r="EX2" s="4" t="s">
        <v>1268</v>
      </c>
      <c r="EY2" s="4" t="s">
        <v>1279</v>
      </c>
      <c r="EZ2" s="4" t="s">
        <v>1288</v>
      </c>
      <c r="FA2" s="4" t="s">
        <v>1294</v>
      </c>
      <c r="FB2" s="4" t="s">
        <v>1297</v>
      </c>
      <c r="FC2" s="4" t="s">
        <v>1307</v>
      </c>
      <c r="FD2" s="4" t="s">
        <v>1313</v>
      </c>
      <c r="FE2" s="4" t="s">
        <v>1316</v>
      </c>
      <c r="FF2" s="4" t="s">
        <v>1327</v>
      </c>
      <c r="FG2" s="4" t="s">
        <v>1331</v>
      </c>
      <c r="FH2" s="4" t="s">
        <v>363</v>
      </c>
      <c r="FI2" s="4" t="s">
        <v>1111</v>
      </c>
      <c r="FJ2" s="4" t="s">
        <v>1344</v>
      </c>
      <c r="FK2" s="4" t="s">
        <v>1345</v>
      </c>
      <c r="FL2" s="4" t="s">
        <v>1354</v>
      </c>
      <c r="FM2" s="4" t="s">
        <v>1359</v>
      </c>
      <c r="FN2" s="4" t="s">
        <v>1365</v>
      </c>
      <c r="FO2" s="4" t="s">
        <v>1214</v>
      </c>
      <c r="FP2" s="4" t="s">
        <v>1373</v>
      </c>
    </row>
    <row r="3" spans="1:172" x14ac:dyDescent="0.3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4" t="s">
        <v>145</v>
      </c>
      <c r="S3" s="4" t="s">
        <v>160</v>
      </c>
      <c r="T3" s="4" t="s">
        <v>337</v>
      </c>
      <c r="U3" s="4" t="s">
        <v>353</v>
      </c>
      <c r="V3" s="4" t="s">
        <v>370</v>
      </c>
      <c r="W3" s="4" t="s">
        <v>377</v>
      </c>
      <c r="X3" s="4" t="s">
        <v>1486</v>
      </c>
      <c r="Y3" s="4" t="s">
        <v>399</v>
      </c>
      <c r="Z3" s="4" t="s">
        <v>426</v>
      </c>
      <c r="AA3" s="4" t="s">
        <v>429</v>
      </c>
      <c r="AB3" s="4" t="s">
        <v>452</v>
      </c>
      <c r="AC3" s="4" t="s">
        <v>458</v>
      </c>
      <c r="AD3" s="4" t="s">
        <v>463</v>
      </c>
      <c r="AE3" s="4" t="s">
        <v>469</v>
      </c>
      <c r="AF3" s="4" t="s">
        <v>477</v>
      </c>
      <c r="AG3" s="4" t="s">
        <v>485</v>
      </c>
      <c r="AH3" s="4" t="s">
        <v>412</v>
      </c>
      <c r="AI3" s="4" t="s">
        <v>477</v>
      </c>
      <c r="AJ3" s="4" t="s">
        <v>501</v>
      </c>
      <c r="AK3" s="4" t="s">
        <v>483</v>
      </c>
      <c r="AL3" s="4" t="s">
        <v>514</v>
      </c>
      <c r="AM3" s="4" t="s">
        <v>520</v>
      </c>
      <c r="AN3" s="4" t="s">
        <v>525</v>
      </c>
      <c r="AO3" s="4" t="s">
        <v>539</v>
      </c>
      <c r="AP3" s="4" t="s">
        <v>548</v>
      </c>
      <c r="AQ3" s="4" t="s">
        <v>557</v>
      </c>
      <c r="AR3" s="4" t="s">
        <v>563</v>
      </c>
      <c r="AS3" s="4" t="s">
        <v>566</v>
      </c>
      <c r="AT3" s="4" t="s">
        <v>573</v>
      </c>
      <c r="AU3" s="4" t="s">
        <v>581</v>
      </c>
      <c r="AV3" s="4" t="s">
        <v>590</v>
      </c>
      <c r="AW3" s="4" t="s">
        <v>595</v>
      </c>
      <c r="AX3" s="4" t="s">
        <v>44</v>
      </c>
      <c r="AY3" s="4" t="s">
        <v>603</v>
      </c>
      <c r="AZ3" s="4" t="s">
        <v>610</v>
      </c>
      <c r="BA3" s="4" t="s">
        <v>616</v>
      </c>
      <c r="BB3" s="4" t="s">
        <v>622</v>
      </c>
      <c r="BC3" s="4" t="s">
        <v>635</v>
      </c>
      <c r="BD3" s="4" t="s">
        <v>642</v>
      </c>
      <c r="BE3" s="4" t="s">
        <v>648</v>
      </c>
      <c r="BF3" s="4" t="s">
        <v>650</v>
      </c>
      <c r="BG3" s="4" t="s">
        <v>422</v>
      </c>
      <c r="BH3" s="4" t="s">
        <v>664</v>
      </c>
      <c r="BI3" s="4" t="s">
        <v>677</v>
      </c>
      <c r="BJ3" s="4" t="s">
        <v>682</v>
      </c>
      <c r="BK3" s="4" t="s">
        <v>510</v>
      </c>
      <c r="BL3" s="4" t="s">
        <v>698</v>
      </c>
      <c r="BM3" s="4" t="s">
        <v>708</v>
      </c>
      <c r="BN3" s="4" t="s">
        <v>716</v>
      </c>
      <c r="BO3" s="4" t="s">
        <v>725</v>
      </c>
      <c r="BP3" s="4" t="s">
        <v>728</v>
      </c>
      <c r="BQ3" s="4" t="s">
        <v>735</v>
      </c>
      <c r="BR3" s="4" t="s">
        <v>737</v>
      </c>
      <c r="BS3" s="4" t="s">
        <v>755</v>
      </c>
      <c r="BT3" s="4" t="s">
        <v>759</v>
      </c>
      <c r="BU3" s="4" t="s">
        <v>764</v>
      </c>
      <c r="BV3" s="4" t="s">
        <v>773</v>
      </c>
      <c r="BW3" s="4" t="s">
        <v>784</v>
      </c>
      <c r="BX3" s="4" t="s">
        <v>790</v>
      </c>
      <c r="BY3" s="4" t="s">
        <v>795</v>
      </c>
      <c r="BZ3" s="4" t="s">
        <v>800</v>
      </c>
      <c r="CA3" s="4" t="s">
        <v>805</v>
      </c>
      <c r="CB3" s="4" t="s">
        <v>813</v>
      </c>
      <c r="CC3" s="4" t="s">
        <v>50</v>
      </c>
      <c r="CD3" s="4" t="s">
        <v>817</v>
      </c>
      <c r="CE3" s="4" t="s">
        <v>823</v>
      </c>
      <c r="CF3" s="4" t="s">
        <v>826</v>
      </c>
      <c r="CG3" s="4" t="s">
        <v>5395</v>
      </c>
      <c r="CH3" s="4" t="s">
        <v>834</v>
      </c>
      <c r="CI3" s="4" t="s">
        <v>491</v>
      </c>
      <c r="CJ3" s="4" t="s">
        <v>840</v>
      </c>
      <c r="CK3" s="4" t="s">
        <v>843</v>
      </c>
      <c r="CL3" s="4" t="s">
        <v>573</v>
      </c>
      <c r="CM3" s="4" t="s">
        <v>835</v>
      </c>
      <c r="CN3" s="4" t="s">
        <v>846</v>
      </c>
      <c r="CO3" s="4" t="s">
        <v>849</v>
      </c>
      <c r="CP3" s="4" t="s">
        <v>855</v>
      </c>
      <c r="CQ3" s="4" t="s">
        <v>43</v>
      </c>
      <c r="CR3" s="4" t="s">
        <v>50</v>
      </c>
      <c r="CS3" s="4" t="s">
        <v>865</v>
      </c>
      <c r="CT3" s="4" t="s">
        <v>870</v>
      </c>
      <c r="CU3" s="4" t="s">
        <v>881</v>
      </c>
      <c r="CV3" s="4" t="s">
        <v>889</v>
      </c>
      <c r="CW3" s="4" t="s">
        <v>896</v>
      </c>
      <c r="CX3" s="4" t="s">
        <v>902</v>
      </c>
      <c r="CY3" s="4" t="s">
        <v>411</v>
      </c>
      <c r="CZ3" s="4" t="s">
        <v>21</v>
      </c>
      <c r="DA3" s="4" t="s">
        <v>5</v>
      </c>
      <c r="DB3" s="4" t="s">
        <v>922</v>
      </c>
      <c r="DC3" s="4" t="s">
        <v>926</v>
      </c>
      <c r="DD3" s="4" t="s">
        <v>931</v>
      </c>
      <c r="DE3" s="4" t="s">
        <v>948</v>
      </c>
      <c r="DF3" s="4" t="s">
        <v>951</v>
      </c>
      <c r="DG3" s="4" t="s">
        <v>973</v>
      </c>
      <c r="DH3" s="4" t="s">
        <v>978</v>
      </c>
      <c r="DI3" s="4" t="s">
        <v>989</v>
      </c>
      <c r="DJ3" s="4" t="s">
        <v>991</v>
      </c>
      <c r="DK3" s="4" t="s">
        <v>494</v>
      </c>
      <c r="DL3" s="4" t="s">
        <v>44</v>
      </c>
      <c r="DM3" s="4" t="s">
        <v>1024</v>
      </c>
      <c r="DN3" s="4" t="s">
        <v>67</v>
      </c>
      <c r="DO3" s="4" t="s">
        <v>834</v>
      </c>
      <c r="DP3" s="4" t="s">
        <v>1034</v>
      </c>
      <c r="DQ3" s="4" t="s">
        <v>1040</v>
      </c>
      <c r="DR3" s="4" t="s">
        <v>1053</v>
      </c>
      <c r="DS3" s="4" t="s">
        <v>1054</v>
      </c>
      <c r="DT3" s="4" t="s">
        <v>510</v>
      </c>
      <c r="DU3" s="4" t="s">
        <v>455</v>
      </c>
      <c r="DV3" s="4" t="s">
        <v>1064</v>
      </c>
      <c r="DW3" s="4" t="s">
        <v>1073</v>
      </c>
      <c r="DX3" s="4" t="s">
        <v>1075</v>
      </c>
      <c r="DY3" s="4" t="s">
        <v>419</v>
      </c>
      <c r="DZ3" s="4" t="s">
        <v>708</v>
      </c>
      <c r="EA3" s="4" t="s">
        <v>1091</v>
      </c>
      <c r="EB3" s="4" t="s">
        <v>1094</v>
      </c>
      <c r="EC3" s="4" t="s">
        <v>1102</v>
      </c>
      <c r="ED3" s="4" t="s">
        <v>483</v>
      </c>
      <c r="EE3" s="4" t="s">
        <v>1110</v>
      </c>
      <c r="EF3" s="4" t="s">
        <v>448</v>
      </c>
      <c r="EG3" s="4" t="s">
        <v>1127</v>
      </c>
      <c r="EH3" s="4" t="s">
        <v>1141</v>
      </c>
      <c r="EI3" s="4" t="s">
        <v>1148</v>
      </c>
      <c r="EJ3" s="4" t="s">
        <v>1156</v>
      </c>
      <c r="EK3" s="4" t="s">
        <v>1166</v>
      </c>
      <c r="EL3" s="4" t="s">
        <v>1176</v>
      </c>
      <c r="EM3" s="4" t="s">
        <v>1181</v>
      </c>
      <c r="EN3" s="4" t="s">
        <v>1203</v>
      </c>
      <c r="EO3" s="4" t="s">
        <v>1205</v>
      </c>
      <c r="EP3" s="4" t="s">
        <v>1213</v>
      </c>
      <c r="EQ3" s="4" t="s">
        <v>1223</v>
      </c>
      <c r="ER3" s="4" t="s">
        <v>1228</v>
      </c>
      <c r="ES3" s="4" t="s">
        <v>32</v>
      </c>
      <c r="ET3" s="4" t="s">
        <v>1241</v>
      </c>
      <c r="EU3" s="4" t="s">
        <v>1253</v>
      </c>
      <c r="EV3" s="4" t="s">
        <v>402</v>
      </c>
      <c r="EW3" s="4" t="s">
        <v>1264</v>
      </c>
      <c r="EX3" s="4" t="s">
        <v>1269</v>
      </c>
      <c r="EY3" s="4" t="s">
        <v>1278</v>
      </c>
      <c r="EZ3" s="4" t="s">
        <v>1287</v>
      </c>
      <c r="FA3" s="4" t="s">
        <v>1293</v>
      </c>
      <c r="FB3" s="4" t="s">
        <v>1296</v>
      </c>
      <c r="FC3" s="4" t="s">
        <v>1306</v>
      </c>
      <c r="FD3" s="4" t="s">
        <v>1312</v>
      </c>
      <c r="FE3" s="4" t="s">
        <v>1132</v>
      </c>
      <c r="FF3" s="4" t="s">
        <v>1326</v>
      </c>
      <c r="FG3" s="4" t="s">
        <v>1332</v>
      </c>
      <c r="FH3" s="4" t="s">
        <v>1334</v>
      </c>
      <c r="FI3" s="4" t="s">
        <v>1110</v>
      </c>
      <c r="FJ3" s="4" t="s">
        <v>1343</v>
      </c>
      <c r="FK3" s="4" t="s">
        <v>1113</v>
      </c>
      <c r="FL3" s="4" t="s">
        <v>1353</v>
      </c>
      <c r="FM3" s="4" t="s">
        <v>1358</v>
      </c>
      <c r="FN3" s="4" t="s">
        <v>1364</v>
      </c>
      <c r="FO3" s="4" t="s">
        <v>1213</v>
      </c>
      <c r="FP3" s="4" t="s">
        <v>1372</v>
      </c>
    </row>
    <row r="4" spans="1:172" x14ac:dyDescent="0.35">
      <c r="A4" s="3" t="s">
        <v>39</v>
      </c>
      <c r="B4" s="3" t="s">
        <v>40</v>
      </c>
      <c r="C4" s="3" t="s">
        <v>41</v>
      </c>
      <c r="D4" s="3" t="s">
        <v>42</v>
      </c>
      <c r="E4" s="3" t="s">
        <v>11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4" t="s">
        <v>103</v>
      </c>
      <c r="S4" s="4" t="s">
        <v>104</v>
      </c>
      <c r="T4" s="4" t="s">
        <v>132</v>
      </c>
      <c r="U4" s="4" t="s">
        <v>355</v>
      </c>
      <c r="V4" s="4" t="s">
        <v>366</v>
      </c>
      <c r="W4" s="4" t="s">
        <v>382</v>
      </c>
      <c r="X4" s="4" t="s">
        <v>387</v>
      </c>
      <c r="Y4" s="4" t="s">
        <v>400</v>
      </c>
      <c r="Z4" s="4" t="s">
        <v>425</v>
      </c>
      <c r="AA4" s="4" t="s">
        <v>436</v>
      </c>
      <c r="AB4" s="4" t="s">
        <v>419</v>
      </c>
      <c r="AC4" s="4" t="s">
        <v>454</v>
      </c>
      <c r="AD4" s="4" t="s">
        <v>465</v>
      </c>
      <c r="AE4" s="4" t="s">
        <v>427</v>
      </c>
      <c r="AF4" s="4" t="s">
        <v>448</v>
      </c>
      <c r="AG4" s="4" t="s">
        <v>448</v>
      </c>
      <c r="AH4" s="4" t="s">
        <v>491</v>
      </c>
      <c r="AI4" s="4" t="s">
        <v>497</v>
      </c>
      <c r="AJ4" s="4" t="s">
        <v>502</v>
      </c>
      <c r="AK4" s="4" t="s">
        <v>42</v>
      </c>
      <c r="AL4" s="4" t="s">
        <v>513</v>
      </c>
      <c r="AM4" s="4" t="s">
        <v>519</v>
      </c>
      <c r="AN4" s="4" t="s">
        <v>524</v>
      </c>
      <c r="AO4" s="4" t="s">
        <v>538</v>
      </c>
      <c r="AP4" s="4" t="s">
        <v>547</v>
      </c>
      <c r="AQ4" s="4" t="s">
        <v>556</v>
      </c>
      <c r="AR4" s="4" t="s">
        <v>562</v>
      </c>
      <c r="AS4" s="4" t="s">
        <v>565</v>
      </c>
      <c r="AT4" s="4" t="s">
        <v>572</v>
      </c>
      <c r="AU4" s="4" t="s">
        <v>580</v>
      </c>
      <c r="AV4" s="4" t="s">
        <v>589</v>
      </c>
      <c r="AW4" s="4" t="s">
        <v>594</v>
      </c>
      <c r="AX4" s="4" t="s">
        <v>62</v>
      </c>
      <c r="AY4" s="4" t="s">
        <v>602</v>
      </c>
      <c r="AZ4" s="4" t="s">
        <v>609</v>
      </c>
      <c r="BA4" s="4" t="s">
        <v>617</v>
      </c>
      <c r="BB4" s="4" t="s">
        <v>621</v>
      </c>
      <c r="BC4" s="4" t="s">
        <v>634</v>
      </c>
      <c r="BD4" s="4" t="s">
        <v>641</v>
      </c>
      <c r="BE4" s="4" t="s">
        <v>646</v>
      </c>
      <c r="BF4" s="4" t="s">
        <v>651</v>
      </c>
      <c r="BG4" s="4" t="s">
        <v>662</v>
      </c>
      <c r="BH4" s="4" t="s">
        <v>665</v>
      </c>
      <c r="BI4" s="4" t="s">
        <v>676</v>
      </c>
      <c r="BJ4" s="4" t="s">
        <v>688</v>
      </c>
      <c r="BK4" s="4" t="s">
        <v>690</v>
      </c>
      <c r="BL4" s="4" t="s">
        <v>700</v>
      </c>
      <c r="BM4" s="4" t="s">
        <v>424</v>
      </c>
      <c r="BN4" s="4" t="s">
        <v>715</v>
      </c>
      <c r="BO4" s="4" t="s">
        <v>724</v>
      </c>
      <c r="BP4" s="4" t="s">
        <v>727</v>
      </c>
      <c r="BQ4" s="4" t="s">
        <v>734</v>
      </c>
      <c r="BR4" s="4" t="s">
        <v>745</v>
      </c>
      <c r="BS4" s="4" t="s">
        <v>754</v>
      </c>
      <c r="BT4" s="4" t="s">
        <v>758</v>
      </c>
      <c r="BU4" s="4" t="s">
        <v>763</v>
      </c>
      <c r="BV4" s="4" t="s">
        <v>772</v>
      </c>
      <c r="BW4" s="4" t="s">
        <v>783</v>
      </c>
      <c r="BX4" s="4" t="s">
        <v>789</v>
      </c>
      <c r="BY4" s="4" t="s">
        <v>794</v>
      </c>
      <c r="BZ4" s="4" t="s">
        <v>799</v>
      </c>
      <c r="CA4" s="4" t="s">
        <v>804</v>
      </c>
      <c r="CB4" s="4" t="s">
        <v>812</v>
      </c>
      <c r="CC4" s="4" t="s">
        <v>68</v>
      </c>
      <c r="CD4" s="4" t="s">
        <v>816</v>
      </c>
      <c r="CE4" s="4" t="s">
        <v>822</v>
      </c>
      <c r="CF4" s="4" t="s">
        <v>825</v>
      </c>
      <c r="CG4" s="4" t="s">
        <v>828</v>
      </c>
      <c r="CH4" s="4" t="s">
        <v>833</v>
      </c>
      <c r="CI4" s="4" t="s">
        <v>490</v>
      </c>
      <c r="CJ4" s="4" t="s">
        <v>839</v>
      </c>
      <c r="CK4" s="4" t="s">
        <v>11</v>
      </c>
      <c r="CL4" s="4" t="s">
        <v>572</v>
      </c>
      <c r="CM4" s="4" t="s">
        <v>834</v>
      </c>
      <c r="CN4" s="4" t="s">
        <v>845</v>
      </c>
      <c r="CO4" s="4" t="s">
        <v>854</v>
      </c>
      <c r="CQ4" s="4" t="s">
        <v>61</v>
      </c>
      <c r="CR4" s="4" t="s">
        <v>68</v>
      </c>
      <c r="CT4" s="4" t="s">
        <v>869</v>
      </c>
      <c r="CU4" s="4" t="s">
        <v>880</v>
      </c>
      <c r="CV4" s="4" t="s">
        <v>888</v>
      </c>
      <c r="CW4" s="4" t="s">
        <v>895</v>
      </c>
      <c r="CX4" s="4" t="s">
        <v>909</v>
      </c>
      <c r="CY4" s="4" t="s">
        <v>410</v>
      </c>
      <c r="CZ4" s="4" t="s">
        <v>40</v>
      </c>
      <c r="DA4" s="4" t="s">
        <v>918</v>
      </c>
      <c r="DB4" s="4" t="s">
        <v>921</v>
      </c>
      <c r="DC4" s="4" t="s">
        <v>925</v>
      </c>
      <c r="DD4" s="4" t="s">
        <v>930</v>
      </c>
      <c r="DE4" s="4" t="s">
        <v>947</v>
      </c>
      <c r="DF4" s="4" t="s">
        <v>954</v>
      </c>
      <c r="DG4" s="4" t="s">
        <v>972</v>
      </c>
      <c r="DH4" s="4" t="s">
        <v>869</v>
      </c>
      <c r="DI4" s="4" t="s">
        <v>988</v>
      </c>
      <c r="DJ4" s="4" t="s">
        <v>1000</v>
      </c>
      <c r="DK4" s="4" t="s">
        <v>493</v>
      </c>
      <c r="DL4" s="4" t="s">
        <v>62</v>
      </c>
      <c r="DM4" s="4" t="s">
        <v>1023</v>
      </c>
      <c r="DN4" s="4" t="s">
        <v>83</v>
      </c>
      <c r="DO4" s="4" t="s">
        <v>833</v>
      </c>
      <c r="DP4" s="4" t="s">
        <v>67</v>
      </c>
      <c r="DQ4" s="4" t="s">
        <v>1041</v>
      </c>
      <c r="DR4" s="4" t="s">
        <v>707</v>
      </c>
      <c r="DS4" s="4" t="s">
        <v>1056</v>
      </c>
      <c r="DT4" s="4" t="s">
        <v>483</v>
      </c>
      <c r="DU4" s="4" t="s">
        <v>472</v>
      </c>
      <c r="DV4" s="4" t="s">
        <v>1067</v>
      </c>
      <c r="DW4" s="4" t="s">
        <v>419</v>
      </c>
      <c r="DX4" s="4" t="s">
        <v>1064</v>
      </c>
      <c r="DY4" s="4" t="s">
        <v>498</v>
      </c>
      <c r="DZ4" s="4" t="s">
        <v>1085</v>
      </c>
      <c r="EA4" s="4" t="s">
        <v>1093</v>
      </c>
      <c r="EB4" s="4" t="s">
        <v>1097</v>
      </c>
      <c r="EC4" s="4" t="s">
        <v>456</v>
      </c>
      <c r="ED4" s="4" t="s">
        <v>23</v>
      </c>
      <c r="EE4" s="4" t="s">
        <v>1109</v>
      </c>
      <c r="EF4" s="4" t="s">
        <v>470</v>
      </c>
      <c r="EG4" s="4" t="s">
        <v>1126</v>
      </c>
      <c r="EH4" s="4" t="s">
        <v>1140</v>
      </c>
      <c r="EI4" s="4" t="s">
        <v>1152</v>
      </c>
      <c r="EJ4" s="4" t="s">
        <v>1155</v>
      </c>
      <c r="EK4" s="4" t="s">
        <v>1165</v>
      </c>
      <c r="EL4" s="4" t="s">
        <v>483</v>
      </c>
      <c r="EM4" s="4" t="s">
        <v>1189</v>
      </c>
      <c r="EN4" s="4" t="s">
        <v>1202</v>
      </c>
      <c r="EO4" s="4" t="s">
        <v>1204</v>
      </c>
      <c r="EP4" s="4" t="s">
        <v>1212</v>
      </c>
      <c r="EQ4" s="4" t="s">
        <v>1222</v>
      </c>
      <c r="ER4" s="4" t="s">
        <v>1227</v>
      </c>
      <c r="ES4" s="4" t="s">
        <v>50</v>
      </c>
      <c r="ET4" s="4" t="s">
        <v>1240</v>
      </c>
      <c r="EU4" s="4" t="s">
        <v>1252</v>
      </c>
      <c r="EV4" s="4" t="s">
        <v>1258</v>
      </c>
      <c r="EW4" s="4" t="s">
        <v>1254</v>
      </c>
      <c r="EX4" s="4" t="s">
        <v>1271</v>
      </c>
      <c r="EY4" s="4" t="s">
        <v>1277</v>
      </c>
      <c r="EZ4" s="4" t="s">
        <v>1286</v>
      </c>
      <c r="FA4" s="4" t="s">
        <v>1292</v>
      </c>
      <c r="FB4" s="4" t="s">
        <v>1295</v>
      </c>
      <c r="FC4" s="4" t="s">
        <v>1305</v>
      </c>
      <c r="FD4" s="4" t="s">
        <v>1311</v>
      </c>
      <c r="FE4" s="4" t="s">
        <v>1317</v>
      </c>
      <c r="FF4" s="4" t="s">
        <v>1325</v>
      </c>
      <c r="FG4" s="4" t="s">
        <v>1329</v>
      </c>
      <c r="FH4" s="4" t="s">
        <v>364</v>
      </c>
      <c r="FI4" s="4" t="s">
        <v>1109</v>
      </c>
      <c r="FJ4" s="4" t="s">
        <v>1342</v>
      </c>
      <c r="FK4" s="4" t="s">
        <v>1350</v>
      </c>
      <c r="FL4" s="4" t="s">
        <v>1352</v>
      </c>
      <c r="FM4" s="4" t="s">
        <v>1357</v>
      </c>
      <c r="FN4" s="4" t="s">
        <v>1363</v>
      </c>
      <c r="FO4" s="4" t="s">
        <v>1212</v>
      </c>
      <c r="FP4" s="4" t="s">
        <v>1371</v>
      </c>
    </row>
    <row r="5" spans="1:172" x14ac:dyDescent="0.35">
      <c r="A5" s="3" t="s">
        <v>57</v>
      </c>
      <c r="B5" s="3" t="s">
        <v>58</v>
      </c>
      <c r="C5" s="3" t="s">
        <v>59</v>
      </c>
      <c r="D5" s="3" t="s">
        <v>60</v>
      </c>
      <c r="E5" s="3" t="s">
        <v>29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4" t="s">
        <v>132</v>
      </c>
      <c r="S5" s="4" t="s">
        <v>113</v>
      </c>
      <c r="T5" s="4" t="s">
        <v>327</v>
      </c>
      <c r="U5" s="4" t="s">
        <v>357</v>
      </c>
      <c r="V5" s="4" t="s">
        <v>367</v>
      </c>
      <c r="W5" s="4" t="s">
        <v>375</v>
      </c>
      <c r="X5" s="4" t="s">
        <v>388</v>
      </c>
      <c r="Y5" s="4" t="s">
        <v>402</v>
      </c>
      <c r="Z5" s="4" t="s">
        <v>424</v>
      </c>
      <c r="AA5" s="4" t="s">
        <v>430</v>
      </c>
      <c r="AB5" s="4" t="s">
        <v>441</v>
      </c>
      <c r="AC5" s="4" t="s">
        <v>453</v>
      </c>
      <c r="AD5" s="4" t="s">
        <v>448</v>
      </c>
      <c r="AE5" s="4" t="s">
        <v>466</v>
      </c>
      <c r="AF5" s="4" t="s">
        <v>473</v>
      </c>
      <c r="AG5" s="4" t="s">
        <v>487</v>
      </c>
      <c r="AH5" s="4" t="s">
        <v>490</v>
      </c>
      <c r="AI5" s="4" t="s">
        <v>498</v>
      </c>
      <c r="AJ5" s="4" t="s">
        <v>500</v>
      </c>
      <c r="AK5" s="4" t="s">
        <v>508</v>
      </c>
      <c r="AL5" s="4" t="s">
        <v>512</v>
      </c>
      <c r="AM5" s="4" t="s">
        <v>518</v>
      </c>
      <c r="AN5" s="4" t="s">
        <v>533</v>
      </c>
      <c r="AO5" s="4" t="s">
        <v>537</v>
      </c>
      <c r="AP5" s="4" t="s">
        <v>546</v>
      </c>
      <c r="AQ5" s="4" t="s">
        <v>555</v>
      </c>
      <c r="AR5" s="4" t="s">
        <v>561</v>
      </c>
      <c r="AT5" s="4" t="s">
        <v>571</v>
      </c>
      <c r="AU5" s="4" t="s">
        <v>579</v>
      </c>
      <c r="AV5" s="4" t="s">
        <v>588</v>
      </c>
      <c r="AW5" s="4" t="s">
        <v>593</v>
      </c>
      <c r="AX5" s="4" t="s">
        <v>79</v>
      </c>
      <c r="AY5" s="4" t="s">
        <v>601</v>
      </c>
      <c r="AZ5" s="4" t="s">
        <v>608</v>
      </c>
      <c r="BA5" s="4" t="s">
        <v>615</v>
      </c>
      <c r="BB5" s="4" t="s">
        <v>620</v>
      </c>
      <c r="BC5" s="4" t="s">
        <v>633</v>
      </c>
      <c r="BD5" s="4" t="s">
        <v>640</v>
      </c>
      <c r="BE5" s="4" t="s">
        <v>643</v>
      </c>
      <c r="BF5" s="4" t="s">
        <v>452</v>
      </c>
      <c r="BG5" s="4" t="s">
        <v>656</v>
      </c>
      <c r="BH5" s="4" t="s">
        <v>670</v>
      </c>
      <c r="BI5" s="4" t="s">
        <v>675</v>
      </c>
      <c r="BJ5" s="4" t="s">
        <v>686</v>
      </c>
      <c r="BK5" s="4" t="s">
        <v>438</v>
      </c>
      <c r="BL5" s="4" t="s">
        <v>696</v>
      </c>
      <c r="BM5" s="4" t="s">
        <v>419</v>
      </c>
      <c r="BN5" s="4" t="s">
        <v>714</v>
      </c>
      <c r="BO5" s="4" t="s">
        <v>723</v>
      </c>
      <c r="BP5" s="4" t="s">
        <v>726</v>
      </c>
      <c r="BQ5" s="4" t="s">
        <v>733</v>
      </c>
      <c r="BR5" s="4" t="s">
        <v>744</v>
      </c>
      <c r="BS5" s="4" t="s">
        <v>753</v>
      </c>
      <c r="BT5" s="4" t="s">
        <v>757</v>
      </c>
      <c r="BU5" s="4" t="s">
        <v>762</v>
      </c>
      <c r="BV5" s="4" t="s">
        <v>771</v>
      </c>
      <c r="BW5" s="4" t="s">
        <v>782</v>
      </c>
      <c r="BX5" s="4" t="s">
        <v>788</v>
      </c>
      <c r="BY5" s="4" t="s">
        <v>793</v>
      </c>
      <c r="BZ5" s="4" t="s">
        <v>798</v>
      </c>
      <c r="CA5" s="4" t="s">
        <v>803</v>
      </c>
      <c r="CB5" s="4" t="s">
        <v>811</v>
      </c>
      <c r="CC5" s="4" t="s">
        <v>84</v>
      </c>
      <c r="CD5" s="4" t="s">
        <v>815</v>
      </c>
      <c r="CE5" s="4" t="s">
        <v>821</v>
      </c>
      <c r="CF5" s="4" t="s">
        <v>824</v>
      </c>
      <c r="CH5" s="4" t="s">
        <v>832</v>
      </c>
      <c r="CI5" s="4" t="s">
        <v>837</v>
      </c>
      <c r="CJ5" s="4" t="s">
        <v>838</v>
      </c>
      <c r="CK5" s="4" t="s">
        <v>29</v>
      </c>
      <c r="CL5" s="4" t="s">
        <v>571</v>
      </c>
      <c r="CM5" s="4" t="s">
        <v>833</v>
      </c>
      <c r="CO5" s="4" t="s">
        <v>853</v>
      </c>
      <c r="CQ5" s="4" t="s">
        <v>78</v>
      </c>
      <c r="CR5" s="4" t="s">
        <v>84</v>
      </c>
      <c r="CT5" s="4" t="s">
        <v>868</v>
      </c>
      <c r="CU5" s="4" t="s">
        <v>879</v>
      </c>
      <c r="CV5" s="4" t="s">
        <v>887</v>
      </c>
      <c r="CW5" s="4" t="s">
        <v>894</v>
      </c>
      <c r="CX5" s="4" t="s">
        <v>709</v>
      </c>
      <c r="CY5" s="4" t="s">
        <v>913</v>
      </c>
      <c r="CZ5" s="4" t="s">
        <v>58</v>
      </c>
      <c r="DA5" s="4" t="s">
        <v>917</v>
      </c>
      <c r="DB5" s="4" t="s">
        <v>919</v>
      </c>
      <c r="DC5" s="4" t="s">
        <v>924</v>
      </c>
      <c r="DD5" s="4" t="s">
        <v>929</v>
      </c>
      <c r="DE5" s="4" t="s">
        <v>946</v>
      </c>
      <c r="DF5" s="4" t="s">
        <v>953</v>
      </c>
      <c r="DG5" s="4" t="s">
        <v>971</v>
      </c>
      <c r="DH5" s="4" t="s">
        <v>868</v>
      </c>
      <c r="DI5" s="4" t="s">
        <v>987</v>
      </c>
      <c r="DJ5" s="4" t="s">
        <v>999</v>
      </c>
      <c r="DK5" s="4" t="s">
        <v>492</v>
      </c>
      <c r="DL5" s="4" t="s">
        <v>79</v>
      </c>
      <c r="DM5" s="4" t="s">
        <v>1022</v>
      </c>
      <c r="DN5" s="4" t="s">
        <v>97</v>
      </c>
      <c r="DO5" s="4" t="s">
        <v>1030</v>
      </c>
      <c r="DP5" s="4" t="s">
        <v>83</v>
      </c>
      <c r="DQ5" s="4" t="s">
        <v>1047</v>
      </c>
      <c r="DR5" s="4" t="s">
        <v>473</v>
      </c>
      <c r="DS5" s="4" t="s">
        <v>475</v>
      </c>
      <c r="DT5" s="4" t="s">
        <v>23</v>
      </c>
      <c r="DU5" s="4" t="s">
        <v>1061</v>
      </c>
      <c r="DV5" s="4" t="s">
        <v>1065</v>
      </c>
      <c r="DW5" s="4" t="s">
        <v>1072</v>
      </c>
      <c r="DX5" s="4" t="s">
        <v>452</v>
      </c>
      <c r="DY5" s="4" t="s">
        <v>1078</v>
      </c>
      <c r="DZ5" s="4" t="s">
        <v>1083</v>
      </c>
      <c r="EA5" s="4" t="s">
        <v>448</v>
      </c>
      <c r="EB5" s="4" t="s">
        <v>1096</v>
      </c>
      <c r="EC5" s="4" t="s">
        <v>424</v>
      </c>
      <c r="ED5" s="4" t="s">
        <v>42</v>
      </c>
      <c r="EE5" s="4" t="s">
        <v>1108</v>
      </c>
      <c r="EF5" s="4" t="s">
        <v>1119</v>
      </c>
      <c r="EG5" s="4" t="s">
        <v>1125</v>
      </c>
      <c r="EH5" s="4" t="s">
        <v>1139</v>
      </c>
      <c r="EI5" s="4" t="s">
        <v>1151</v>
      </c>
      <c r="EJ5" s="4" t="s">
        <v>390</v>
      </c>
      <c r="EK5" s="4" t="s">
        <v>1164</v>
      </c>
      <c r="EL5" s="4" t="s">
        <v>1175</v>
      </c>
      <c r="EM5" s="4" t="s">
        <v>1188</v>
      </c>
      <c r="EN5" s="4" t="s">
        <v>1191</v>
      </c>
      <c r="EP5" s="4" t="s">
        <v>1211</v>
      </c>
      <c r="EQ5" s="4" t="s">
        <v>1221</v>
      </c>
      <c r="ER5" s="4" t="s">
        <v>1226</v>
      </c>
      <c r="ES5" s="4" t="s">
        <v>84</v>
      </c>
      <c r="ET5" s="4" t="s">
        <v>1239</v>
      </c>
      <c r="EU5" s="4" t="s">
        <v>1251</v>
      </c>
      <c r="EV5" s="4" t="s">
        <v>1256</v>
      </c>
      <c r="EW5" s="4" t="s">
        <v>1253</v>
      </c>
      <c r="EX5" s="4" t="s">
        <v>1234</v>
      </c>
      <c r="EY5" s="4" t="s">
        <v>1276</v>
      </c>
      <c r="EZ5" s="4" t="s">
        <v>1285</v>
      </c>
      <c r="FA5" s="4" t="s">
        <v>1291</v>
      </c>
      <c r="FC5" s="4" t="s">
        <v>1304</v>
      </c>
      <c r="FD5" s="4" t="s">
        <v>1310</v>
      </c>
      <c r="FE5" s="4" t="s">
        <v>1130</v>
      </c>
      <c r="FF5" s="4" t="s">
        <v>1322</v>
      </c>
      <c r="FG5" s="4" t="s">
        <v>1333</v>
      </c>
      <c r="FH5" s="4" t="s">
        <v>362</v>
      </c>
      <c r="FI5" s="4" t="s">
        <v>1338</v>
      </c>
      <c r="FJ5" s="4" t="s">
        <v>1341</v>
      </c>
      <c r="FK5" s="4" t="s">
        <v>1349</v>
      </c>
      <c r="FL5" s="4" t="s">
        <v>1351</v>
      </c>
      <c r="FM5" s="4" t="s">
        <v>1356</v>
      </c>
      <c r="FN5" s="4" t="s">
        <v>1362</v>
      </c>
      <c r="FO5" s="4" t="s">
        <v>1211</v>
      </c>
      <c r="FP5" s="4" t="s">
        <v>1370</v>
      </c>
    </row>
    <row r="6" spans="1:172" x14ac:dyDescent="0.35">
      <c r="A6" s="3" t="s">
        <v>75</v>
      </c>
      <c r="B6" s="3" t="s">
        <v>76</v>
      </c>
      <c r="C6" s="3" t="s">
        <v>77</v>
      </c>
      <c r="E6" s="3" t="s">
        <v>47</v>
      </c>
      <c r="F6" s="3" t="s">
        <v>78</v>
      </c>
      <c r="G6" s="3" t="s">
        <v>79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86</v>
      </c>
      <c r="P6" s="3" t="s">
        <v>87</v>
      </c>
      <c r="Q6" s="3" t="s">
        <v>88</v>
      </c>
      <c r="R6" s="4" t="s">
        <v>153</v>
      </c>
      <c r="S6" s="4" t="s">
        <v>19</v>
      </c>
      <c r="T6" s="4" t="s">
        <v>328</v>
      </c>
      <c r="U6" s="4" t="s">
        <v>344</v>
      </c>
      <c r="V6" s="4" t="s">
        <v>365</v>
      </c>
      <c r="W6" s="4" t="s">
        <v>147</v>
      </c>
      <c r="X6" s="4" t="s">
        <v>386</v>
      </c>
      <c r="Y6" s="4" t="s">
        <v>398</v>
      </c>
      <c r="Z6" s="4" t="s">
        <v>423</v>
      </c>
      <c r="AA6" s="4" t="s">
        <v>434</v>
      </c>
      <c r="AB6" s="4" t="s">
        <v>434</v>
      </c>
      <c r="AC6" s="4" t="s">
        <v>461</v>
      </c>
      <c r="AD6" s="4" t="s">
        <v>450</v>
      </c>
      <c r="AE6" s="4" t="s">
        <v>471</v>
      </c>
      <c r="AF6" s="4" t="s">
        <v>480</v>
      </c>
      <c r="AG6" s="4" t="s">
        <v>484</v>
      </c>
      <c r="AH6" s="4" t="s">
        <v>495</v>
      </c>
      <c r="AI6" s="4" t="s">
        <v>499</v>
      </c>
      <c r="AJ6" s="4" t="s">
        <v>419</v>
      </c>
      <c r="AK6" s="4" t="s">
        <v>91</v>
      </c>
      <c r="AL6" s="4" t="s">
        <v>511</v>
      </c>
      <c r="AM6" s="4" t="s">
        <v>517</v>
      </c>
      <c r="AN6" s="4" t="s">
        <v>532</v>
      </c>
      <c r="AO6" s="4" t="s">
        <v>536</v>
      </c>
      <c r="AP6" s="4" t="s">
        <v>545</v>
      </c>
      <c r="AQ6" s="4" t="s">
        <v>554</v>
      </c>
      <c r="AR6" s="4" t="s">
        <v>560</v>
      </c>
      <c r="AT6" s="4" t="s">
        <v>570</v>
      </c>
      <c r="AU6" s="4" t="s">
        <v>578</v>
      </c>
      <c r="AV6" s="4" t="s">
        <v>587</v>
      </c>
      <c r="AW6" s="4" t="s">
        <v>592</v>
      </c>
      <c r="AY6" s="4" t="s">
        <v>600</v>
      </c>
      <c r="AZ6" s="4" t="s">
        <v>607</v>
      </c>
      <c r="BA6" s="4" t="s">
        <v>614</v>
      </c>
      <c r="BB6" s="4" t="s">
        <v>619</v>
      </c>
      <c r="BC6" s="4" t="s">
        <v>632</v>
      </c>
      <c r="BD6" s="4" t="s">
        <v>639</v>
      </c>
      <c r="BE6" s="4" t="s">
        <v>347</v>
      </c>
      <c r="BF6" s="4" t="s">
        <v>654</v>
      </c>
      <c r="BG6" s="4" t="s">
        <v>659</v>
      </c>
      <c r="BH6" s="4" t="s">
        <v>668</v>
      </c>
      <c r="BI6" s="4" t="s">
        <v>419</v>
      </c>
      <c r="BJ6" s="4" t="s">
        <v>683</v>
      </c>
      <c r="BK6" s="4" t="s">
        <v>48</v>
      </c>
      <c r="BL6" s="4" t="s">
        <v>707</v>
      </c>
      <c r="BM6" s="4" t="s">
        <v>434</v>
      </c>
      <c r="BN6" s="4" t="s">
        <v>713</v>
      </c>
      <c r="BO6" s="4" t="s">
        <v>722</v>
      </c>
      <c r="BQ6" s="4" t="s">
        <v>732</v>
      </c>
      <c r="BR6" s="4" t="s">
        <v>743</v>
      </c>
      <c r="BS6" s="4" t="s">
        <v>752</v>
      </c>
      <c r="BT6" s="4" t="s">
        <v>756</v>
      </c>
      <c r="BU6" s="4" t="s">
        <v>761</v>
      </c>
      <c r="BV6" s="4" t="s">
        <v>767</v>
      </c>
      <c r="BW6" s="4" t="s">
        <v>781</v>
      </c>
      <c r="BX6" s="4" t="s">
        <v>787</v>
      </c>
      <c r="BY6" s="4" t="s">
        <v>792</v>
      </c>
      <c r="BZ6" s="4" t="s">
        <v>797</v>
      </c>
      <c r="CA6" s="4" t="s">
        <v>802</v>
      </c>
      <c r="CB6" s="4" t="s">
        <v>810</v>
      </c>
      <c r="CC6" s="4" t="s">
        <v>108</v>
      </c>
      <c r="CD6" s="4" t="s">
        <v>814</v>
      </c>
      <c r="CE6" s="4" t="s">
        <v>820</v>
      </c>
      <c r="CH6" s="4" t="s">
        <v>831</v>
      </c>
      <c r="CK6" s="4" t="s">
        <v>47</v>
      </c>
      <c r="CL6" s="4" t="s">
        <v>570</v>
      </c>
      <c r="CM6" s="4" t="s">
        <v>832</v>
      </c>
      <c r="CO6" s="4" t="s">
        <v>852</v>
      </c>
      <c r="CQ6" s="4" t="s">
        <v>93</v>
      </c>
      <c r="CR6" s="4" t="s">
        <v>108</v>
      </c>
      <c r="CU6" s="4" t="s">
        <v>874</v>
      </c>
      <c r="CV6" s="4" t="s">
        <v>886</v>
      </c>
      <c r="CW6" s="4" t="s">
        <v>893</v>
      </c>
      <c r="CX6" s="4" t="s">
        <v>908</v>
      </c>
      <c r="CY6" s="4" t="s">
        <v>912</v>
      </c>
      <c r="DA6" s="4" t="s">
        <v>916</v>
      </c>
      <c r="DB6" s="4" t="s">
        <v>920</v>
      </c>
      <c r="DE6" s="4" t="s">
        <v>941</v>
      </c>
      <c r="DF6" s="4" t="s">
        <v>952</v>
      </c>
      <c r="DG6" s="4" t="s">
        <v>966</v>
      </c>
      <c r="DH6" s="4" t="s">
        <v>979</v>
      </c>
      <c r="DI6" s="4" t="s">
        <v>983</v>
      </c>
      <c r="DJ6" s="4" t="s">
        <v>998</v>
      </c>
      <c r="DK6" s="4" t="s">
        <v>1006</v>
      </c>
      <c r="DL6" s="4" t="s">
        <v>1014</v>
      </c>
      <c r="DM6" s="4" t="s">
        <v>1021</v>
      </c>
      <c r="DN6" s="4" t="s">
        <v>1026</v>
      </c>
      <c r="DO6" s="4" t="s">
        <v>830</v>
      </c>
      <c r="DP6" s="4" t="s">
        <v>97</v>
      </c>
      <c r="DQ6" s="4" t="s">
        <v>1046</v>
      </c>
      <c r="DR6" s="4" t="s">
        <v>1052</v>
      </c>
      <c r="DS6" s="4" t="s">
        <v>433</v>
      </c>
      <c r="DT6" s="4" t="s">
        <v>442</v>
      </c>
      <c r="DV6" s="4" t="s">
        <v>1062</v>
      </c>
      <c r="DW6" s="4" t="s">
        <v>1070</v>
      </c>
      <c r="DX6" s="4" t="s">
        <v>424</v>
      </c>
      <c r="DY6" s="4" t="s">
        <v>42</v>
      </c>
      <c r="DZ6" s="4" t="s">
        <v>448</v>
      </c>
      <c r="EA6" s="4" t="s">
        <v>473</v>
      </c>
      <c r="EB6" s="4" t="s">
        <v>1098</v>
      </c>
      <c r="EC6" s="4" t="s">
        <v>1101</v>
      </c>
      <c r="ED6" s="4" t="s">
        <v>60</v>
      </c>
      <c r="EE6" s="4" t="s">
        <v>1107</v>
      </c>
      <c r="EF6" s="4" t="s">
        <v>1118</v>
      </c>
      <c r="EG6" s="4" t="s">
        <v>1124</v>
      </c>
      <c r="EH6" s="4" t="s">
        <v>1138</v>
      </c>
      <c r="EI6" s="4" t="s">
        <v>1145</v>
      </c>
      <c r="EJ6" s="4" t="s">
        <v>1153</v>
      </c>
      <c r="EK6" s="4" t="s">
        <v>1163</v>
      </c>
      <c r="EL6" s="4" t="s">
        <v>1174</v>
      </c>
      <c r="EM6" s="4" t="s">
        <v>1185</v>
      </c>
      <c r="EN6" s="4" t="s">
        <v>1201</v>
      </c>
      <c r="EP6" s="4" t="s">
        <v>1210</v>
      </c>
      <c r="EQ6" s="4" t="s">
        <v>1216</v>
      </c>
      <c r="ER6" s="4" t="s">
        <v>1225</v>
      </c>
      <c r="ES6" s="4" t="s">
        <v>1234</v>
      </c>
      <c r="ET6" s="4" t="s">
        <v>1238</v>
      </c>
      <c r="EU6" s="4" t="s">
        <v>1250</v>
      </c>
      <c r="EV6" s="4" t="s">
        <v>1260</v>
      </c>
      <c r="EW6" s="4" t="s">
        <v>1252</v>
      </c>
      <c r="EX6" s="4" t="s">
        <v>1270</v>
      </c>
      <c r="EY6" s="4" t="s">
        <v>1275</v>
      </c>
      <c r="EZ6" s="4" t="s">
        <v>1284</v>
      </c>
      <c r="FA6" s="4" t="s">
        <v>1290</v>
      </c>
      <c r="FC6" s="4" t="s">
        <v>1303</v>
      </c>
      <c r="FD6" s="4" t="s">
        <v>1309</v>
      </c>
      <c r="FE6" s="4" t="s">
        <v>1321</v>
      </c>
      <c r="FF6" s="4" t="s">
        <v>1324</v>
      </c>
      <c r="FG6" s="4" t="s">
        <v>1328</v>
      </c>
      <c r="FI6" s="4" t="s">
        <v>1337</v>
      </c>
      <c r="FJ6" s="4" t="s">
        <v>1340</v>
      </c>
      <c r="FK6" s="4" t="s">
        <v>1348</v>
      </c>
      <c r="FM6" s="4" t="s">
        <v>1355</v>
      </c>
      <c r="FN6" s="4" t="s">
        <v>1361</v>
      </c>
      <c r="FO6" s="4" t="s">
        <v>1210</v>
      </c>
      <c r="FP6" s="4" t="s">
        <v>1369</v>
      </c>
    </row>
    <row r="7" spans="1:172" x14ac:dyDescent="0.35">
      <c r="B7" s="3" t="s">
        <v>91</v>
      </c>
      <c r="C7" s="3" t="s">
        <v>92</v>
      </c>
      <c r="E7" s="3" t="s">
        <v>65</v>
      </c>
      <c r="F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 t="s">
        <v>100</v>
      </c>
      <c r="P7" s="3" t="s">
        <v>101</v>
      </c>
      <c r="Q7" s="3" t="s">
        <v>102</v>
      </c>
      <c r="R7" s="4" t="s">
        <v>89</v>
      </c>
      <c r="S7" s="4" t="s">
        <v>38</v>
      </c>
      <c r="T7" s="4" t="s">
        <v>330</v>
      </c>
      <c r="U7" s="4" t="s">
        <v>356</v>
      </c>
      <c r="V7" s="4" t="s">
        <v>358</v>
      </c>
      <c r="W7" s="4" t="s">
        <v>374</v>
      </c>
      <c r="X7" s="4" t="s">
        <v>393</v>
      </c>
      <c r="Y7" s="4" t="s">
        <v>408</v>
      </c>
      <c r="Z7" s="4" t="s">
        <v>422</v>
      </c>
      <c r="AA7" s="4" t="s">
        <v>439</v>
      </c>
      <c r="AB7" s="4" t="s">
        <v>356</v>
      </c>
      <c r="AC7" s="4" t="s">
        <v>460</v>
      </c>
      <c r="AD7" s="4" t="s">
        <v>435</v>
      </c>
      <c r="AE7" s="4" t="s">
        <v>470</v>
      </c>
      <c r="AF7" s="4" t="s">
        <v>479</v>
      </c>
      <c r="AG7" s="4" t="s">
        <v>432</v>
      </c>
      <c r="AH7" s="4" t="s">
        <v>494</v>
      </c>
      <c r="AI7" s="4" t="s">
        <v>23</v>
      </c>
      <c r="AJ7" s="4" t="s">
        <v>507</v>
      </c>
      <c r="AK7" s="4" t="s">
        <v>509</v>
      </c>
      <c r="AM7" s="4" t="s">
        <v>516</v>
      </c>
      <c r="AN7" s="4" t="s">
        <v>531</v>
      </c>
      <c r="AO7" s="4" t="s">
        <v>535</v>
      </c>
      <c r="AP7" s="4" t="s">
        <v>544</v>
      </c>
      <c r="AQ7" s="4" t="s">
        <v>553</v>
      </c>
      <c r="AR7" s="4" t="s">
        <v>559</v>
      </c>
      <c r="AT7" s="4" t="s">
        <v>569</v>
      </c>
      <c r="AU7" s="4" t="s">
        <v>577</v>
      </c>
      <c r="AV7" s="4" t="s">
        <v>586</v>
      </c>
      <c r="AY7" s="4" t="s">
        <v>599</v>
      </c>
      <c r="AZ7" s="4" t="s">
        <v>606</v>
      </c>
      <c r="BA7" s="4" t="s">
        <v>613</v>
      </c>
      <c r="BB7" s="4" t="s">
        <v>630</v>
      </c>
      <c r="BD7" s="4" t="s">
        <v>638</v>
      </c>
      <c r="BE7" s="4" t="s">
        <v>644</v>
      </c>
      <c r="BF7" s="4" t="s">
        <v>510</v>
      </c>
      <c r="BG7" s="4" t="s">
        <v>657</v>
      </c>
      <c r="BH7" s="4" t="s">
        <v>663</v>
      </c>
      <c r="BI7" s="4" t="s">
        <v>665</v>
      </c>
      <c r="BJ7" s="4" t="s">
        <v>680</v>
      </c>
      <c r="BK7" s="4" t="s">
        <v>66</v>
      </c>
      <c r="BL7" s="4" t="s">
        <v>706</v>
      </c>
      <c r="BM7" s="4" t="s">
        <v>657</v>
      </c>
      <c r="BN7" s="4" t="s">
        <v>442</v>
      </c>
      <c r="BO7" s="4" t="s">
        <v>721</v>
      </c>
      <c r="BQ7" s="4" t="s">
        <v>731</v>
      </c>
      <c r="BR7" s="4" t="s">
        <v>742</v>
      </c>
      <c r="BS7" s="4" t="s">
        <v>747</v>
      </c>
      <c r="BV7" s="4" t="s">
        <v>770</v>
      </c>
      <c r="BW7" s="4" t="s">
        <v>777</v>
      </c>
      <c r="BX7" s="4" t="s">
        <v>786</v>
      </c>
      <c r="CB7" s="4" t="s">
        <v>809</v>
      </c>
      <c r="CC7" s="4" t="s">
        <v>117</v>
      </c>
      <c r="CH7" s="4" t="s">
        <v>830</v>
      </c>
      <c r="CK7" s="4" t="s">
        <v>65</v>
      </c>
      <c r="CO7" s="4" t="s">
        <v>851</v>
      </c>
      <c r="CQ7" s="4" t="s">
        <v>859</v>
      </c>
      <c r="CR7" s="4" t="s">
        <v>117</v>
      </c>
      <c r="CU7" s="4" t="s">
        <v>878</v>
      </c>
      <c r="CV7" s="4" t="s">
        <v>885</v>
      </c>
      <c r="CW7" s="4" t="s">
        <v>892</v>
      </c>
      <c r="CX7" s="4" t="s">
        <v>907</v>
      </c>
      <c r="CY7" s="4" t="s">
        <v>911</v>
      </c>
      <c r="DE7" s="4" t="s">
        <v>945</v>
      </c>
      <c r="DF7" s="4" t="s">
        <v>950</v>
      </c>
      <c r="DG7" s="4" t="s">
        <v>970</v>
      </c>
      <c r="DH7" s="4" t="s">
        <v>977</v>
      </c>
      <c r="DI7" s="4" t="s">
        <v>981</v>
      </c>
      <c r="DJ7" s="4" t="s">
        <v>993</v>
      </c>
      <c r="DK7" s="4" t="s">
        <v>1010</v>
      </c>
      <c r="DL7" s="4" t="s">
        <v>1013</v>
      </c>
      <c r="DM7" s="4" t="s">
        <v>424</v>
      </c>
      <c r="DN7" s="4" t="s">
        <v>1025</v>
      </c>
      <c r="DO7" s="4" t="s">
        <v>1032</v>
      </c>
      <c r="DP7" s="4" t="s">
        <v>1035</v>
      </c>
      <c r="DQ7" s="4" t="s">
        <v>1045</v>
      </c>
      <c r="DR7" s="4" t="s">
        <v>1051</v>
      </c>
      <c r="DS7" s="4" t="s">
        <v>1057</v>
      </c>
      <c r="DV7" s="4" t="s">
        <v>1066</v>
      </c>
      <c r="DW7" s="4" t="s">
        <v>1071</v>
      </c>
      <c r="DX7" s="4" t="s">
        <v>1074</v>
      </c>
      <c r="DY7" s="4" t="s">
        <v>432</v>
      </c>
      <c r="DZ7" s="4" t="s">
        <v>1072</v>
      </c>
      <c r="EA7" s="4" t="s">
        <v>1089</v>
      </c>
      <c r="EB7" s="4" t="s">
        <v>23</v>
      </c>
      <c r="EC7" s="4" t="s">
        <v>1103</v>
      </c>
      <c r="ED7" s="4" t="s">
        <v>1104</v>
      </c>
      <c r="EE7" s="4" t="s">
        <v>1106</v>
      </c>
      <c r="EF7" s="4" t="s">
        <v>1117</v>
      </c>
      <c r="EG7" s="4" t="s">
        <v>1123</v>
      </c>
      <c r="EH7" s="4" t="s">
        <v>1137</v>
      </c>
      <c r="EI7" s="4" t="s">
        <v>1144</v>
      </c>
      <c r="EJ7" s="4" t="s">
        <v>144</v>
      </c>
      <c r="EK7" s="4" t="s">
        <v>1162</v>
      </c>
      <c r="EL7" s="4" t="s">
        <v>435</v>
      </c>
      <c r="EM7" s="4" t="s">
        <v>1184</v>
      </c>
      <c r="EN7" s="4" t="s">
        <v>1197</v>
      </c>
      <c r="EP7" s="4" t="s">
        <v>1209</v>
      </c>
      <c r="EQ7" s="4" t="s">
        <v>1220</v>
      </c>
      <c r="ES7" s="4" t="s">
        <v>1233</v>
      </c>
      <c r="ET7" s="4" t="s">
        <v>1237</v>
      </c>
      <c r="EU7" s="4" t="s">
        <v>1249</v>
      </c>
      <c r="EV7" s="4" t="s">
        <v>1206</v>
      </c>
      <c r="EW7" s="4" t="s">
        <v>1251</v>
      </c>
      <c r="EX7" s="4" t="s">
        <v>1233</v>
      </c>
      <c r="EY7" s="4" t="s">
        <v>1274</v>
      </c>
      <c r="EZ7" s="4" t="s">
        <v>1283</v>
      </c>
      <c r="FA7" s="4" t="s">
        <v>1289</v>
      </c>
      <c r="FC7" s="4" t="s">
        <v>1302</v>
      </c>
      <c r="FD7" s="4" t="s">
        <v>1308</v>
      </c>
      <c r="FE7" s="4" t="s">
        <v>1320</v>
      </c>
      <c r="FF7" s="4" t="s">
        <v>1323</v>
      </c>
      <c r="FG7" s="4" t="s">
        <v>1330</v>
      </c>
      <c r="FI7" s="4" t="s">
        <v>1336</v>
      </c>
      <c r="FJ7" s="4" t="s">
        <v>1339</v>
      </c>
      <c r="FK7" s="4" t="s">
        <v>1347</v>
      </c>
      <c r="FM7" s="4" t="s">
        <v>1360</v>
      </c>
      <c r="FO7" s="4" t="s">
        <v>1209</v>
      </c>
      <c r="FP7" s="4" t="s">
        <v>1368</v>
      </c>
    </row>
    <row r="8" spans="1:172" x14ac:dyDescent="0.35">
      <c r="C8" s="3" t="s">
        <v>105</v>
      </c>
      <c r="E8" s="3" t="s">
        <v>81</v>
      </c>
      <c r="I8" s="3" t="s">
        <v>106</v>
      </c>
      <c r="K8" s="3" t="s">
        <v>107</v>
      </c>
      <c r="M8" s="3" t="s">
        <v>108</v>
      </c>
      <c r="O8" s="3" t="s">
        <v>109</v>
      </c>
      <c r="P8" s="3" t="s">
        <v>110</v>
      </c>
      <c r="Q8" s="3" t="s">
        <v>111</v>
      </c>
      <c r="R8" s="4" t="s">
        <v>126</v>
      </c>
      <c r="S8" s="4" t="s">
        <v>133</v>
      </c>
      <c r="T8" s="4" t="s">
        <v>331</v>
      </c>
      <c r="U8" s="4" t="s">
        <v>350</v>
      </c>
      <c r="V8" s="4" t="s">
        <v>371</v>
      </c>
      <c r="W8" s="4" t="s">
        <v>136</v>
      </c>
      <c r="X8" s="4" t="s">
        <v>394</v>
      </c>
      <c r="Y8" s="4" t="s">
        <v>405</v>
      </c>
      <c r="Z8" s="4" t="s">
        <v>421</v>
      </c>
      <c r="AA8" s="4" t="s">
        <v>431</v>
      </c>
      <c r="AB8" s="4" t="s">
        <v>448</v>
      </c>
      <c r="AC8" s="4" t="s">
        <v>459</v>
      </c>
      <c r="AD8" s="4" t="s">
        <v>464</v>
      </c>
      <c r="AE8" s="4" t="s">
        <v>468</v>
      </c>
      <c r="AF8" s="4" t="s">
        <v>483</v>
      </c>
      <c r="AG8" s="4" t="s">
        <v>488</v>
      </c>
      <c r="AH8" s="4" t="s">
        <v>493</v>
      </c>
      <c r="AI8" s="4" t="s">
        <v>435</v>
      </c>
      <c r="AJ8" s="4" t="s">
        <v>506</v>
      </c>
      <c r="AK8" s="4" t="s">
        <v>488</v>
      </c>
      <c r="AM8" s="4" t="s">
        <v>521</v>
      </c>
      <c r="AN8" s="4" t="s">
        <v>530</v>
      </c>
      <c r="AP8" s="4" t="s">
        <v>543</v>
      </c>
      <c r="AQ8" s="4" t="s">
        <v>552</v>
      </c>
      <c r="AT8" s="4" t="s">
        <v>568</v>
      </c>
      <c r="AU8" s="4" t="s">
        <v>576</v>
      </c>
      <c r="AV8" s="4" t="s">
        <v>585</v>
      </c>
      <c r="AY8" s="4" t="s">
        <v>598</v>
      </c>
      <c r="AZ8" s="4" t="s">
        <v>605</v>
      </c>
      <c r="BA8" s="4" t="s">
        <v>612</v>
      </c>
      <c r="BB8" s="4" t="s">
        <v>629</v>
      </c>
      <c r="BE8" s="4" t="s">
        <v>647</v>
      </c>
      <c r="BF8" s="4" t="s">
        <v>649</v>
      </c>
      <c r="BG8" s="4" t="s">
        <v>661</v>
      </c>
      <c r="BH8" s="4" t="s">
        <v>669</v>
      </c>
      <c r="BI8" s="4" t="s">
        <v>679</v>
      </c>
      <c r="BJ8" s="4" t="s">
        <v>450</v>
      </c>
      <c r="BK8" s="4" t="s">
        <v>692</v>
      </c>
      <c r="BL8" s="4" t="s">
        <v>702</v>
      </c>
      <c r="BM8" s="4" t="s">
        <v>483</v>
      </c>
      <c r="BO8" s="4" t="s">
        <v>720</v>
      </c>
      <c r="BQ8" s="4" t="s">
        <v>730</v>
      </c>
      <c r="BR8" s="4" t="s">
        <v>741</v>
      </c>
      <c r="BS8" s="4" t="s">
        <v>751</v>
      </c>
      <c r="BV8" s="4" t="s">
        <v>766</v>
      </c>
      <c r="BW8" s="4" t="s">
        <v>780</v>
      </c>
      <c r="BX8" s="4" t="s">
        <v>785</v>
      </c>
      <c r="CB8" s="4" t="s">
        <v>808</v>
      </c>
      <c r="CH8" s="4" t="s">
        <v>441</v>
      </c>
      <c r="CK8" s="4" t="s">
        <v>81</v>
      </c>
      <c r="CO8" s="4" t="s">
        <v>848</v>
      </c>
      <c r="CQ8" s="4" t="s">
        <v>863</v>
      </c>
      <c r="CR8" s="4" t="s">
        <v>123</v>
      </c>
      <c r="CU8" s="4" t="s">
        <v>877</v>
      </c>
      <c r="CV8" s="4" t="s">
        <v>884</v>
      </c>
      <c r="CW8" s="4" t="s">
        <v>891</v>
      </c>
      <c r="CX8" s="4" t="s">
        <v>900</v>
      </c>
      <c r="DE8" s="4" t="s">
        <v>944</v>
      </c>
      <c r="DG8" s="4" t="s">
        <v>969</v>
      </c>
      <c r="DH8" s="4" t="s">
        <v>976</v>
      </c>
      <c r="DI8" s="4" t="s">
        <v>986</v>
      </c>
      <c r="DJ8" s="4" t="s">
        <v>997</v>
      </c>
      <c r="DK8" s="4" t="s">
        <v>1005</v>
      </c>
      <c r="DL8" s="4" t="s">
        <v>1012</v>
      </c>
      <c r="DM8" s="4" t="s">
        <v>1017</v>
      </c>
      <c r="DO8" s="4" t="s">
        <v>1031</v>
      </c>
      <c r="DP8" s="4" t="s">
        <v>1038</v>
      </c>
      <c r="DQ8" s="4" t="s">
        <v>1044</v>
      </c>
      <c r="DR8" s="4" t="s">
        <v>1049</v>
      </c>
      <c r="DS8" s="4" t="s">
        <v>432</v>
      </c>
      <c r="DV8" s="4" t="s">
        <v>455</v>
      </c>
      <c r="DW8" s="4" t="s">
        <v>1068</v>
      </c>
      <c r="DX8" s="4" t="s">
        <v>483</v>
      </c>
      <c r="DY8" s="4" t="s">
        <v>1077</v>
      </c>
      <c r="DZ8" s="4" t="s">
        <v>659</v>
      </c>
      <c r="EA8" s="4" t="s">
        <v>1087</v>
      </c>
      <c r="EB8" s="4" t="s">
        <v>31</v>
      </c>
      <c r="EC8" s="4" t="s">
        <v>484</v>
      </c>
      <c r="ED8" s="4" t="s">
        <v>488</v>
      </c>
      <c r="EE8" s="4" t="s">
        <v>1115</v>
      </c>
      <c r="EF8" s="4" t="s">
        <v>1066</v>
      </c>
      <c r="EG8" s="4" t="s">
        <v>1122</v>
      </c>
      <c r="EH8" s="4" t="s">
        <v>1136</v>
      </c>
      <c r="EI8" s="4" t="s">
        <v>1150</v>
      </c>
      <c r="EJ8" s="4" t="s">
        <v>1154</v>
      </c>
      <c r="EK8" s="4" t="s">
        <v>1171</v>
      </c>
      <c r="EL8" s="4" t="s">
        <v>136</v>
      </c>
      <c r="EM8" s="4" t="s">
        <v>1182</v>
      </c>
      <c r="EN8" s="4" t="s">
        <v>1196</v>
      </c>
      <c r="EP8" s="4" t="s">
        <v>1208</v>
      </c>
      <c r="EQ8" s="4" t="s">
        <v>1219</v>
      </c>
      <c r="ES8" s="4" t="s">
        <v>1232</v>
      </c>
      <c r="ET8" s="4" t="s">
        <v>1235</v>
      </c>
      <c r="EU8" s="4" t="s">
        <v>1248</v>
      </c>
      <c r="EV8" s="4" t="s">
        <v>1259</v>
      </c>
      <c r="EW8" s="4" t="s">
        <v>1263</v>
      </c>
      <c r="EY8" s="4" t="s">
        <v>1273</v>
      </c>
      <c r="EZ8" s="4" t="s">
        <v>1282</v>
      </c>
      <c r="FC8" s="4" t="s">
        <v>1301</v>
      </c>
      <c r="FE8" s="4" t="s">
        <v>1319</v>
      </c>
      <c r="FI8" s="4" t="s">
        <v>1335</v>
      </c>
      <c r="FK8" s="4" t="s">
        <v>1346</v>
      </c>
      <c r="FO8" s="4" t="s">
        <v>1366</v>
      </c>
    </row>
    <row r="9" spans="1:172" x14ac:dyDescent="0.35">
      <c r="C9" s="3" t="s">
        <v>114</v>
      </c>
      <c r="E9" s="3" t="s">
        <v>95</v>
      </c>
      <c r="I9" s="3" t="s">
        <v>115</v>
      </c>
      <c r="K9" s="3" t="s">
        <v>116</v>
      </c>
      <c r="M9" s="3" t="s">
        <v>117</v>
      </c>
      <c r="O9" s="3" t="s">
        <v>118</v>
      </c>
      <c r="P9" s="3" t="s">
        <v>119</v>
      </c>
      <c r="R9" s="4" t="s">
        <v>157</v>
      </c>
      <c r="S9" s="4" t="s">
        <v>121</v>
      </c>
      <c r="T9" s="4" t="s">
        <v>336</v>
      </c>
      <c r="U9" s="4" t="s">
        <v>347</v>
      </c>
      <c r="V9" s="4" t="s">
        <v>372</v>
      </c>
      <c r="W9" s="4" t="s">
        <v>373</v>
      </c>
      <c r="X9" s="4" t="s">
        <v>392</v>
      </c>
      <c r="Y9" s="4" t="s">
        <v>391</v>
      </c>
      <c r="Z9" s="4" t="s">
        <v>420</v>
      </c>
      <c r="AA9" s="4" t="s">
        <v>437</v>
      </c>
      <c r="AB9" s="4" t="s">
        <v>450</v>
      </c>
      <c r="AC9" s="4" t="s">
        <v>462</v>
      </c>
      <c r="AE9" s="4" t="s">
        <v>411</v>
      </c>
      <c r="AF9" s="4" t="s">
        <v>450</v>
      </c>
      <c r="AG9" s="4" t="s">
        <v>472</v>
      </c>
      <c r="AH9" s="4" t="s">
        <v>492</v>
      </c>
      <c r="AI9" s="4" t="s">
        <v>42</v>
      </c>
      <c r="AJ9" s="4" t="s">
        <v>503</v>
      </c>
      <c r="AK9" s="4" t="s">
        <v>442</v>
      </c>
      <c r="AM9" s="4" t="s">
        <v>42</v>
      </c>
      <c r="AN9" s="4" t="s">
        <v>529</v>
      </c>
      <c r="AP9" s="4" t="s">
        <v>542</v>
      </c>
      <c r="AQ9" s="4" t="s">
        <v>551</v>
      </c>
      <c r="AU9" s="4" t="s">
        <v>575</v>
      </c>
      <c r="AV9" s="4" t="s">
        <v>584</v>
      </c>
      <c r="AY9" s="4" t="s">
        <v>597</v>
      </c>
      <c r="BB9" s="4" t="s">
        <v>628</v>
      </c>
      <c r="BE9" s="4" t="s">
        <v>442</v>
      </c>
      <c r="BF9" s="4" t="s">
        <v>652</v>
      </c>
      <c r="BG9" s="4" t="s">
        <v>658</v>
      </c>
      <c r="BH9" s="4" t="s">
        <v>652</v>
      </c>
      <c r="BI9" s="4" t="s">
        <v>678</v>
      </c>
      <c r="BJ9" s="4" t="s">
        <v>687</v>
      </c>
      <c r="BK9" s="4" t="s">
        <v>691</v>
      </c>
      <c r="BL9" s="4" t="s">
        <v>475</v>
      </c>
      <c r="BM9" s="4" t="s">
        <v>413</v>
      </c>
      <c r="BO9" s="4" t="s">
        <v>719</v>
      </c>
      <c r="BR9" s="4" t="s">
        <v>740</v>
      </c>
      <c r="BS9" s="4" t="s">
        <v>750</v>
      </c>
      <c r="BV9" s="4" t="s">
        <v>769</v>
      </c>
      <c r="BW9" s="4" t="s">
        <v>779</v>
      </c>
      <c r="CB9" s="4" t="s">
        <v>32</v>
      </c>
      <c r="CQ9" s="4" t="s">
        <v>862</v>
      </c>
      <c r="CR9" s="4" t="s">
        <v>129</v>
      </c>
      <c r="CU9" s="4" t="s">
        <v>876</v>
      </c>
      <c r="CV9" s="4" t="s">
        <v>883</v>
      </c>
      <c r="CX9" s="4" t="s">
        <v>906</v>
      </c>
      <c r="DE9" s="4" t="s">
        <v>943</v>
      </c>
      <c r="DG9" s="4" t="s">
        <v>968</v>
      </c>
      <c r="DH9" s="4" t="s">
        <v>975</v>
      </c>
      <c r="DI9" s="4" t="s">
        <v>985</v>
      </c>
      <c r="DJ9" s="4" t="s">
        <v>996</v>
      </c>
      <c r="DK9" s="4" t="s">
        <v>1009</v>
      </c>
      <c r="DL9" s="4" t="s">
        <v>1011</v>
      </c>
      <c r="DM9" s="4" t="s">
        <v>1019</v>
      </c>
      <c r="DO9" s="4" t="s">
        <v>1029</v>
      </c>
      <c r="DP9" s="4" t="s">
        <v>1026</v>
      </c>
      <c r="DQ9" s="4" t="s">
        <v>1043</v>
      </c>
      <c r="DR9" s="4" t="s">
        <v>1050</v>
      </c>
      <c r="DS9" s="4" t="s">
        <v>1058</v>
      </c>
      <c r="DV9" s="4" t="s">
        <v>472</v>
      </c>
      <c r="DW9" s="4" t="s">
        <v>455</v>
      </c>
      <c r="DX9" s="4" t="s">
        <v>488</v>
      </c>
      <c r="DY9" s="4" t="s">
        <v>1081</v>
      </c>
      <c r="DZ9" s="4" t="s">
        <v>450</v>
      </c>
      <c r="EA9" s="4" t="s">
        <v>1090</v>
      </c>
      <c r="EB9" s="4" t="s">
        <v>67</v>
      </c>
      <c r="EE9" s="4" t="s">
        <v>1114</v>
      </c>
      <c r="EG9" s="4" t="s">
        <v>637</v>
      </c>
      <c r="EH9" s="4" t="s">
        <v>1129</v>
      </c>
      <c r="EI9" s="4" t="s">
        <v>1143</v>
      </c>
      <c r="EJ9" s="4" t="s">
        <v>1159</v>
      </c>
      <c r="EK9" s="4" t="s">
        <v>1170</v>
      </c>
      <c r="EL9" s="4" t="s">
        <v>1066</v>
      </c>
      <c r="EM9" s="4" t="s">
        <v>1183</v>
      </c>
      <c r="EN9" s="4" t="s">
        <v>1195</v>
      </c>
      <c r="EP9" s="4" t="s">
        <v>1207</v>
      </c>
      <c r="EQ9" s="4" t="s">
        <v>1218</v>
      </c>
      <c r="ES9" s="4" t="s">
        <v>1230</v>
      </c>
      <c r="EU9" s="4" t="s">
        <v>1246</v>
      </c>
      <c r="EV9" s="4" t="s">
        <v>136</v>
      </c>
      <c r="EW9" s="4" t="s">
        <v>1266</v>
      </c>
      <c r="EY9" s="4" t="s">
        <v>1272</v>
      </c>
      <c r="EZ9" s="4" t="s">
        <v>1281</v>
      </c>
      <c r="FC9" s="4" t="s">
        <v>1300</v>
      </c>
      <c r="FE9" s="4" t="s">
        <v>1318</v>
      </c>
      <c r="FO9" s="4" t="s">
        <v>1367</v>
      </c>
    </row>
    <row r="10" spans="1:172" x14ac:dyDescent="0.35">
      <c r="I10" s="3" t="s">
        <v>122</v>
      </c>
      <c r="M10" s="3" t="s">
        <v>123</v>
      </c>
      <c r="O10" s="3" t="s">
        <v>124</v>
      </c>
      <c r="P10" s="3" t="s">
        <v>125</v>
      </c>
      <c r="R10" s="4" t="s">
        <v>37</v>
      </c>
      <c r="S10" s="4" t="s">
        <v>137</v>
      </c>
      <c r="T10" s="4" t="s">
        <v>133</v>
      </c>
      <c r="U10" s="4" t="s">
        <v>346</v>
      </c>
      <c r="V10" s="4" t="s">
        <v>363</v>
      </c>
      <c r="W10" s="4" t="s">
        <v>380</v>
      </c>
      <c r="X10" s="4" t="s">
        <v>384</v>
      </c>
      <c r="Y10" s="4" t="s">
        <v>397</v>
      </c>
      <c r="Z10" s="4" t="s">
        <v>419</v>
      </c>
      <c r="AA10" s="4" t="s">
        <v>438</v>
      </c>
      <c r="AB10" s="4" t="s">
        <v>449</v>
      </c>
      <c r="AC10" s="4" t="s">
        <v>457</v>
      </c>
      <c r="AE10" s="4" t="s">
        <v>410</v>
      </c>
      <c r="AF10" s="4" t="s">
        <v>412</v>
      </c>
      <c r="AH10" s="4" t="s">
        <v>442</v>
      </c>
      <c r="AJ10" s="4" t="s">
        <v>504</v>
      </c>
      <c r="AN10" s="4" t="s">
        <v>528</v>
      </c>
      <c r="AP10" s="4" t="s">
        <v>541</v>
      </c>
      <c r="AQ10" s="4" t="s">
        <v>550</v>
      </c>
      <c r="AV10" s="4" t="s">
        <v>583</v>
      </c>
      <c r="BB10" s="4" t="s">
        <v>627</v>
      </c>
      <c r="BE10" s="4" t="s">
        <v>474</v>
      </c>
      <c r="BF10" s="4" t="s">
        <v>60</v>
      </c>
      <c r="BG10" s="4" t="s">
        <v>660</v>
      </c>
      <c r="BH10" s="4" t="s">
        <v>671</v>
      </c>
      <c r="BI10" s="4" t="s">
        <v>674</v>
      </c>
      <c r="BJ10" s="4" t="s">
        <v>681</v>
      </c>
      <c r="BK10" s="4" t="s">
        <v>671</v>
      </c>
      <c r="BL10" s="4" t="s">
        <v>705</v>
      </c>
      <c r="BM10" s="4" t="s">
        <v>705</v>
      </c>
      <c r="BR10" s="4" t="s">
        <v>739</v>
      </c>
      <c r="BS10" s="4" t="s">
        <v>749</v>
      </c>
      <c r="BV10" s="4" t="s">
        <v>768</v>
      </c>
      <c r="BW10" s="4" t="s">
        <v>776</v>
      </c>
      <c r="CB10" s="4" t="s">
        <v>50</v>
      </c>
      <c r="CQ10" s="4" t="s">
        <v>861</v>
      </c>
      <c r="CU10" s="4" t="s">
        <v>875</v>
      </c>
      <c r="CX10" s="4" t="s">
        <v>905</v>
      </c>
      <c r="DE10" s="4" t="s">
        <v>942</v>
      </c>
      <c r="DG10" s="4" t="s">
        <v>967</v>
      </c>
      <c r="DI10" s="4" t="s">
        <v>984</v>
      </c>
      <c r="DJ10" s="4" t="s">
        <v>995</v>
      </c>
      <c r="DK10" s="4" t="s">
        <v>1008</v>
      </c>
      <c r="DM10" s="4" t="s">
        <v>1020</v>
      </c>
      <c r="DO10" s="4" t="s">
        <v>1028</v>
      </c>
      <c r="DP10" s="4" t="s">
        <v>1025</v>
      </c>
      <c r="DQ10" s="4" t="s">
        <v>1042</v>
      </c>
      <c r="DR10" s="4" t="s">
        <v>42</v>
      </c>
      <c r="DS10" s="4" t="s">
        <v>474</v>
      </c>
      <c r="DV10" s="4" t="s">
        <v>445</v>
      </c>
      <c r="DY10" s="4" t="s">
        <v>1080</v>
      </c>
      <c r="DZ10" s="4" t="s">
        <v>498</v>
      </c>
      <c r="EA10" s="4" t="s">
        <v>1092</v>
      </c>
      <c r="EB10" s="4" t="s">
        <v>21</v>
      </c>
      <c r="EE10" s="4" t="s">
        <v>1113</v>
      </c>
      <c r="EG10" s="4" t="s">
        <v>642</v>
      </c>
      <c r="EH10" s="4" t="s">
        <v>1132</v>
      </c>
      <c r="EI10" s="4" t="s">
        <v>1147</v>
      </c>
      <c r="EJ10" s="4" t="s">
        <v>1158</v>
      </c>
      <c r="EK10" s="4" t="s">
        <v>1169</v>
      </c>
      <c r="EL10" s="4" t="s">
        <v>1179</v>
      </c>
      <c r="EM10" s="4" t="s">
        <v>1187</v>
      </c>
      <c r="EN10" s="4" t="s">
        <v>1194</v>
      </c>
      <c r="EQ10" s="4" t="s">
        <v>1217</v>
      </c>
      <c r="EU10" s="4" t="s">
        <v>1247</v>
      </c>
      <c r="EV10" s="4" t="s">
        <v>1257</v>
      </c>
      <c r="EW10" s="4" t="s">
        <v>1265</v>
      </c>
      <c r="EZ10" s="4" t="s">
        <v>1280</v>
      </c>
      <c r="FC10" s="4" t="s">
        <v>1298</v>
      </c>
      <c r="FE10" s="4" t="s">
        <v>1314</v>
      </c>
    </row>
    <row r="11" spans="1:172" x14ac:dyDescent="0.35">
      <c r="I11" s="3" t="s">
        <v>128</v>
      </c>
      <c r="M11" s="3" t="s">
        <v>129</v>
      </c>
      <c r="O11" s="3" t="s">
        <v>130</v>
      </c>
      <c r="P11" s="3" t="s">
        <v>131</v>
      </c>
      <c r="R11" s="4" t="s">
        <v>149</v>
      </c>
      <c r="S11" s="4" t="s">
        <v>90</v>
      </c>
      <c r="T11" s="4" t="s">
        <v>329</v>
      </c>
      <c r="U11" s="4" t="s">
        <v>352</v>
      </c>
      <c r="V11" s="4" t="s">
        <v>364</v>
      </c>
      <c r="W11" s="4" t="s">
        <v>361</v>
      </c>
      <c r="X11" s="4" t="s">
        <v>385</v>
      </c>
      <c r="Y11" s="4" t="s">
        <v>407</v>
      </c>
      <c r="Z11" s="4" t="s">
        <v>356</v>
      </c>
      <c r="AA11" s="4" t="s">
        <v>433</v>
      </c>
      <c r="AB11" s="4" t="s">
        <v>446</v>
      </c>
      <c r="AC11" s="4" t="s">
        <v>428</v>
      </c>
      <c r="AE11" s="4" t="s">
        <v>42</v>
      </c>
      <c r="AF11" s="4" t="s">
        <v>476</v>
      </c>
      <c r="AH11" s="4" t="s">
        <v>445</v>
      </c>
      <c r="AJ11" s="4" t="s">
        <v>442</v>
      </c>
      <c r="AN11" s="4" t="s">
        <v>527</v>
      </c>
      <c r="AP11" s="4" t="s">
        <v>488</v>
      </c>
      <c r="BB11" s="4" t="s">
        <v>626</v>
      </c>
      <c r="BF11" s="4" t="s">
        <v>76</v>
      </c>
      <c r="BH11" s="4" t="s">
        <v>42</v>
      </c>
      <c r="BI11" s="4" t="s">
        <v>442</v>
      </c>
      <c r="BJ11" s="4" t="s">
        <v>136</v>
      </c>
      <c r="BK11" s="4" t="s">
        <v>503</v>
      </c>
      <c r="BL11" s="4" t="s">
        <v>42</v>
      </c>
      <c r="BM11" s="4" t="s">
        <v>711</v>
      </c>
      <c r="BR11" s="4" t="s">
        <v>738</v>
      </c>
      <c r="BS11" s="4" t="s">
        <v>748</v>
      </c>
      <c r="BW11" s="4" t="s">
        <v>778</v>
      </c>
      <c r="CB11" s="4" t="s">
        <v>68</v>
      </c>
      <c r="CQ11" s="4" t="s">
        <v>860</v>
      </c>
      <c r="CU11" s="4" t="s">
        <v>873</v>
      </c>
      <c r="CX11" s="4" t="s">
        <v>904</v>
      </c>
      <c r="DE11" s="4" t="s">
        <v>940</v>
      </c>
      <c r="DG11" s="4" t="s">
        <v>965</v>
      </c>
      <c r="DI11" s="4" t="s">
        <v>982</v>
      </c>
      <c r="DJ11" s="4" t="s">
        <v>994</v>
      </c>
      <c r="DK11" s="4" t="s">
        <v>1007</v>
      </c>
      <c r="DM11" s="4" t="s">
        <v>1016</v>
      </c>
      <c r="DO11" s="4" t="s">
        <v>1027</v>
      </c>
      <c r="DP11" s="4" t="s">
        <v>1037</v>
      </c>
      <c r="DR11" s="4" t="s">
        <v>76</v>
      </c>
      <c r="DS11" s="4" t="s">
        <v>1055</v>
      </c>
      <c r="DY11" s="4" t="s">
        <v>1079</v>
      </c>
      <c r="DZ11" s="4" t="s">
        <v>1050</v>
      </c>
      <c r="EA11" s="4" t="s">
        <v>509</v>
      </c>
      <c r="EB11" s="4" t="s">
        <v>1099</v>
      </c>
      <c r="EE11" s="4" t="s">
        <v>1112</v>
      </c>
      <c r="EG11" s="4" t="s">
        <v>1121</v>
      </c>
      <c r="EH11" s="4" t="s">
        <v>1130</v>
      </c>
      <c r="EI11" s="4" t="s">
        <v>1146</v>
      </c>
      <c r="EJ11" s="4" t="s">
        <v>1115</v>
      </c>
      <c r="EK11" s="4" t="s">
        <v>1167</v>
      </c>
      <c r="EL11" s="4" t="s">
        <v>1121</v>
      </c>
      <c r="EM11" s="4" t="s">
        <v>1186</v>
      </c>
      <c r="EN11" s="4" t="s">
        <v>1193</v>
      </c>
      <c r="EQ11" s="4" t="s">
        <v>1215</v>
      </c>
      <c r="EU11" s="4" t="s">
        <v>1242</v>
      </c>
      <c r="EW11" s="4" t="s">
        <v>121</v>
      </c>
      <c r="FC11" s="4" t="s">
        <v>1299</v>
      </c>
      <c r="FE11" s="4" t="s">
        <v>1099</v>
      </c>
    </row>
    <row r="12" spans="1:172" x14ac:dyDescent="0.35">
      <c r="M12" s="3" t="s">
        <v>134</v>
      </c>
      <c r="P12" s="3" t="s">
        <v>135</v>
      </c>
      <c r="R12" s="4" t="s">
        <v>151</v>
      </c>
      <c r="S12" s="4" t="s">
        <v>74</v>
      </c>
      <c r="T12" s="4" t="s">
        <v>335</v>
      </c>
      <c r="U12" s="4" t="s">
        <v>349</v>
      </c>
      <c r="V12" s="4" t="s">
        <v>362</v>
      </c>
      <c r="W12" s="4" t="s">
        <v>376</v>
      </c>
      <c r="X12" s="4" t="s">
        <v>112</v>
      </c>
      <c r="Y12" s="4" t="s">
        <v>401</v>
      </c>
      <c r="Z12" s="4" t="s">
        <v>418</v>
      </c>
      <c r="AA12" s="4" t="s">
        <v>435</v>
      </c>
      <c r="AB12" s="4" t="s">
        <v>447</v>
      </c>
      <c r="AC12" s="4" t="s">
        <v>432</v>
      </c>
      <c r="AF12" s="4" t="s">
        <v>482</v>
      </c>
      <c r="AN12" s="4" t="s">
        <v>526</v>
      </c>
      <c r="BB12" s="4" t="s">
        <v>625</v>
      </c>
      <c r="BF12" s="4" t="s">
        <v>432</v>
      </c>
      <c r="BH12" s="4" t="s">
        <v>667</v>
      </c>
      <c r="BI12" s="4" t="s">
        <v>455</v>
      </c>
      <c r="BJ12" s="4" t="s">
        <v>154</v>
      </c>
      <c r="BK12" s="4" t="s">
        <v>689</v>
      </c>
      <c r="BL12" s="4" t="s">
        <v>697</v>
      </c>
      <c r="BM12" s="4" t="s">
        <v>382</v>
      </c>
      <c r="CB12" s="4" t="s">
        <v>84</v>
      </c>
      <c r="CU12" s="4" t="s">
        <v>872</v>
      </c>
      <c r="CX12" s="4" t="s">
        <v>903</v>
      </c>
      <c r="DE12" s="4" t="s">
        <v>939</v>
      </c>
      <c r="DG12" s="4" t="s">
        <v>964</v>
      </c>
      <c r="DK12" s="4" t="s">
        <v>1004</v>
      </c>
      <c r="DM12" s="4" t="s">
        <v>909</v>
      </c>
      <c r="DP12" s="4" t="s">
        <v>1036</v>
      </c>
      <c r="DR12" s="4" t="s">
        <v>472</v>
      </c>
      <c r="DY12" s="4" t="s">
        <v>1082</v>
      </c>
      <c r="DZ12" s="4" t="s">
        <v>474</v>
      </c>
      <c r="EA12" s="4" t="s">
        <v>1086</v>
      </c>
      <c r="EG12" s="4" t="s">
        <v>1120</v>
      </c>
      <c r="EH12" s="4" t="s">
        <v>1133</v>
      </c>
      <c r="EJ12" s="4" t="s">
        <v>1114</v>
      </c>
      <c r="EL12" s="4" t="s">
        <v>1120</v>
      </c>
      <c r="EN12" s="4" t="s">
        <v>1199</v>
      </c>
      <c r="EU12" s="4" t="s">
        <v>136</v>
      </c>
      <c r="EW12" s="4" t="s">
        <v>1262</v>
      </c>
      <c r="FE12" s="4" t="s">
        <v>1315</v>
      </c>
    </row>
    <row r="13" spans="1:172" x14ac:dyDescent="0.35">
      <c r="M13" s="3" t="s">
        <v>138</v>
      </c>
      <c r="P13" s="3" t="s">
        <v>139</v>
      </c>
      <c r="R13" s="4" t="s">
        <v>55</v>
      </c>
      <c r="S13" s="4" t="s">
        <v>152</v>
      </c>
      <c r="T13" s="4" t="s">
        <v>334</v>
      </c>
      <c r="U13" s="4" t="s">
        <v>354</v>
      </c>
      <c r="V13" s="4" t="s">
        <v>368</v>
      </c>
      <c r="W13" s="4" t="s">
        <v>379</v>
      </c>
      <c r="X13" s="4" t="s">
        <v>390</v>
      </c>
      <c r="Y13" s="4" t="s">
        <v>141</v>
      </c>
      <c r="Z13" s="4" t="s">
        <v>417</v>
      </c>
      <c r="AA13" s="4" t="s">
        <v>76</v>
      </c>
      <c r="AB13" s="4" t="s">
        <v>60</v>
      </c>
      <c r="AC13" s="4" t="s">
        <v>442</v>
      </c>
      <c r="AF13" s="4" t="s">
        <v>481</v>
      </c>
      <c r="AN13" s="4" t="s">
        <v>523</v>
      </c>
      <c r="BB13" s="4" t="s">
        <v>624</v>
      </c>
      <c r="BF13" s="4" t="s">
        <v>655</v>
      </c>
      <c r="BH13" s="4" t="s">
        <v>432</v>
      </c>
      <c r="BJ13" s="4" t="s">
        <v>684</v>
      </c>
      <c r="BK13" s="4" t="s">
        <v>695</v>
      </c>
      <c r="BL13" s="4" t="s">
        <v>701</v>
      </c>
      <c r="BM13" s="4" t="s">
        <v>42</v>
      </c>
      <c r="CU13" s="4" t="s">
        <v>871</v>
      </c>
      <c r="CX13" s="4" t="s">
        <v>899</v>
      </c>
      <c r="DE13" s="4" t="s">
        <v>938</v>
      </c>
      <c r="DG13" s="4" t="s">
        <v>963</v>
      </c>
      <c r="DK13" s="4" t="s">
        <v>1003</v>
      </c>
      <c r="DM13" s="4" t="s">
        <v>709</v>
      </c>
      <c r="DR13" s="4" t="s">
        <v>445</v>
      </c>
      <c r="DZ13" s="4" t="s">
        <v>1061</v>
      </c>
      <c r="EA13" s="4" t="s">
        <v>1088</v>
      </c>
      <c r="EH13" s="4" t="s">
        <v>375</v>
      </c>
      <c r="EJ13" s="4" t="s">
        <v>1157</v>
      </c>
      <c r="EL13" s="4" t="s">
        <v>1178</v>
      </c>
      <c r="EN13" s="4" t="s">
        <v>1198</v>
      </c>
      <c r="EU13" s="4" t="s">
        <v>1245</v>
      </c>
    </row>
    <row r="14" spans="1:172" x14ac:dyDescent="0.35">
      <c r="P14" s="3" t="s">
        <v>142</v>
      </c>
      <c r="R14" s="4" t="s">
        <v>112</v>
      </c>
      <c r="S14" s="4" t="s">
        <v>141</v>
      </c>
      <c r="T14" s="4" t="s">
        <v>332</v>
      </c>
      <c r="U14" s="4" t="s">
        <v>351</v>
      </c>
      <c r="V14" s="4" t="s">
        <v>369</v>
      </c>
      <c r="W14" s="4" t="s">
        <v>381</v>
      </c>
      <c r="X14" s="4" t="s">
        <v>389</v>
      </c>
      <c r="Y14" s="4" t="s">
        <v>154</v>
      </c>
      <c r="Z14" s="4" t="s">
        <v>416</v>
      </c>
      <c r="AA14" s="4" t="s">
        <v>428</v>
      </c>
      <c r="AB14" s="4" t="s">
        <v>443</v>
      </c>
      <c r="AC14" s="4" t="s">
        <v>455</v>
      </c>
      <c r="AF14" s="4" t="s">
        <v>475</v>
      </c>
      <c r="BB14" s="4" t="s">
        <v>623</v>
      </c>
      <c r="BF14" s="4" t="s">
        <v>442</v>
      </c>
      <c r="BH14" s="4" t="s">
        <v>494</v>
      </c>
      <c r="BK14" s="4" t="s">
        <v>694</v>
      </c>
      <c r="BL14" s="4" t="s">
        <v>704</v>
      </c>
      <c r="BM14" s="4" t="s">
        <v>709</v>
      </c>
      <c r="CX14" s="4" t="s">
        <v>898</v>
      </c>
      <c r="DE14" s="4" t="s">
        <v>937</v>
      </c>
      <c r="DG14" s="4" t="s">
        <v>962</v>
      </c>
      <c r="DK14" s="4" t="s">
        <v>1002</v>
      </c>
      <c r="DM14" s="4" t="s">
        <v>908</v>
      </c>
      <c r="EA14" s="4" t="s">
        <v>445</v>
      </c>
      <c r="EH14" s="4" t="s">
        <v>1142</v>
      </c>
      <c r="EJ14" s="4" t="s">
        <v>1161</v>
      </c>
      <c r="EL14" s="4" t="s">
        <v>1060</v>
      </c>
      <c r="EN14" s="4" t="s">
        <v>1200</v>
      </c>
      <c r="EU14" s="4" t="s">
        <v>1255</v>
      </c>
    </row>
    <row r="15" spans="1:172" x14ac:dyDescent="0.35">
      <c r="R15" s="4" t="s">
        <v>73</v>
      </c>
      <c r="S15" s="4" t="s">
        <v>154</v>
      </c>
      <c r="T15" s="4" t="s">
        <v>90</v>
      </c>
      <c r="U15" s="4" t="s">
        <v>144</v>
      </c>
      <c r="V15" s="4" t="s">
        <v>136</v>
      </c>
      <c r="X15" s="4" t="s">
        <v>391</v>
      </c>
      <c r="Y15" s="4" t="s">
        <v>406</v>
      </c>
      <c r="Z15" s="4" t="s">
        <v>414</v>
      </c>
      <c r="AA15" s="4" t="s">
        <v>432</v>
      </c>
      <c r="AB15" s="4" t="s">
        <v>442</v>
      </c>
      <c r="AF15" s="4" t="s">
        <v>442</v>
      </c>
      <c r="BF15" s="4" t="s">
        <v>653</v>
      </c>
      <c r="BH15" s="4" t="s">
        <v>672</v>
      </c>
      <c r="BK15" s="4" t="s">
        <v>693</v>
      </c>
      <c r="BL15" s="4" t="s">
        <v>703</v>
      </c>
      <c r="BM15" s="4" t="s">
        <v>712</v>
      </c>
      <c r="DE15" s="4" t="s">
        <v>936</v>
      </c>
      <c r="DG15" s="4" t="s">
        <v>961</v>
      </c>
      <c r="DK15" s="4" t="s">
        <v>1001</v>
      </c>
      <c r="DM15" s="4" t="s">
        <v>660</v>
      </c>
      <c r="EH15" s="4" t="s">
        <v>1134</v>
      </c>
      <c r="EJ15" s="4" t="s">
        <v>1160</v>
      </c>
      <c r="EL15" s="4" t="s">
        <v>455</v>
      </c>
      <c r="EN15" s="4" t="s">
        <v>1192</v>
      </c>
      <c r="EU15" s="4" t="s">
        <v>127</v>
      </c>
    </row>
    <row r="16" spans="1:172" x14ac:dyDescent="0.35">
      <c r="R16" s="4" t="s">
        <v>143</v>
      </c>
      <c r="S16" s="4" t="s">
        <v>146</v>
      </c>
      <c r="T16" s="4" t="s">
        <v>342</v>
      </c>
      <c r="U16" s="4" t="s">
        <v>345</v>
      </c>
      <c r="V16" s="4" t="s">
        <v>361</v>
      </c>
      <c r="X16" s="4" t="s">
        <v>395</v>
      </c>
      <c r="Y16" s="4" t="s">
        <v>403</v>
      </c>
      <c r="Z16" s="4" t="s">
        <v>413</v>
      </c>
      <c r="AB16" s="4" t="s">
        <v>445</v>
      </c>
      <c r="AF16" s="4" t="s">
        <v>173</v>
      </c>
      <c r="DE16" s="4" t="s">
        <v>935</v>
      </c>
      <c r="DG16" s="4" t="s">
        <v>956</v>
      </c>
      <c r="DM16" s="4" t="s">
        <v>1018</v>
      </c>
      <c r="EH16" s="4" t="s">
        <v>1135</v>
      </c>
      <c r="EL16" s="4" t="s">
        <v>472</v>
      </c>
      <c r="EU16" s="4" t="s">
        <v>1243</v>
      </c>
    </row>
    <row r="17" spans="18:151" x14ac:dyDescent="0.35">
      <c r="R17" s="4" t="s">
        <v>120</v>
      </c>
      <c r="S17" s="4" t="s">
        <v>144</v>
      </c>
      <c r="T17" s="4" t="s">
        <v>136</v>
      </c>
      <c r="V17" s="4" t="s">
        <v>359</v>
      </c>
      <c r="Y17" s="4" t="s">
        <v>404</v>
      </c>
      <c r="Z17" s="4" t="s">
        <v>412</v>
      </c>
      <c r="AB17" s="4" t="s">
        <v>451</v>
      </c>
      <c r="AF17" s="4" t="s">
        <v>474</v>
      </c>
      <c r="DE17" s="4" t="s">
        <v>934</v>
      </c>
      <c r="DG17" s="4" t="s">
        <v>960</v>
      </c>
      <c r="EL17" s="4" t="s">
        <v>1061</v>
      </c>
      <c r="EU17" s="4" t="s">
        <v>1244</v>
      </c>
    </row>
    <row r="18" spans="18:151" x14ac:dyDescent="0.35">
      <c r="R18" s="4" t="s">
        <v>155</v>
      </c>
      <c r="S18" s="4" t="s">
        <v>148</v>
      </c>
      <c r="T18" s="4" t="s">
        <v>154</v>
      </c>
      <c r="Y18" s="4" t="s">
        <v>409</v>
      </c>
      <c r="Z18" s="4" t="s">
        <v>411</v>
      </c>
      <c r="AF18" s="4" t="s">
        <v>472</v>
      </c>
      <c r="DE18" s="4" t="s">
        <v>933</v>
      </c>
      <c r="DG18" s="4" t="s">
        <v>959</v>
      </c>
      <c r="EL18" s="4" t="s">
        <v>1173</v>
      </c>
    </row>
    <row r="19" spans="18:151" x14ac:dyDescent="0.35">
      <c r="R19" s="4" t="s">
        <v>147</v>
      </c>
      <c r="S19" s="4" t="s">
        <v>127</v>
      </c>
      <c r="T19" s="4" t="s">
        <v>144</v>
      </c>
      <c r="Z19" s="4" t="s">
        <v>410</v>
      </c>
      <c r="DG19" s="4" t="s">
        <v>958</v>
      </c>
      <c r="EL19" s="4" t="s">
        <v>1177</v>
      </c>
    </row>
    <row r="20" spans="18:151" x14ac:dyDescent="0.35">
      <c r="R20" s="4" t="s">
        <v>136</v>
      </c>
      <c r="S20" s="4" t="s">
        <v>158</v>
      </c>
      <c r="T20" s="4" t="s">
        <v>339</v>
      </c>
      <c r="Z20" s="4" t="s">
        <v>42</v>
      </c>
      <c r="DG20" s="4" t="s">
        <v>957</v>
      </c>
    </row>
    <row r="21" spans="18:151" x14ac:dyDescent="0.35">
      <c r="R21" s="4" t="s">
        <v>140</v>
      </c>
      <c r="S21" s="4" t="s">
        <v>156</v>
      </c>
      <c r="T21" s="4" t="s">
        <v>341</v>
      </c>
      <c r="Z21" s="4" t="s">
        <v>415</v>
      </c>
    </row>
    <row r="22" spans="18:151" x14ac:dyDescent="0.35">
      <c r="R22" s="4" t="s">
        <v>161</v>
      </c>
      <c r="S22" s="4" t="s">
        <v>56</v>
      </c>
      <c r="T22" s="4" t="s">
        <v>340</v>
      </c>
    </row>
    <row r="23" spans="18:151" x14ac:dyDescent="0.35">
      <c r="R23" s="4" t="s">
        <v>159</v>
      </c>
      <c r="T23" s="4" t="s">
        <v>333</v>
      </c>
    </row>
    <row r="24" spans="18:151" x14ac:dyDescent="0.35">
      <c r="T24" s="4" t="s">
        <v>338</v>
      </c>
    </row>
  </sheetData>
  <sortState xmlns:xlrd2="http://schemas.microsoft.com/office/spreadsheetml/2017/richdata2" ref="FP2:FP7">
    <sortCondition ref="FP2:FP7"/>
  </sortState>
  <conditionalFormatting sqref="A1:Q1">
    <cfRule type="duplicateValues" dxfId="27" priority="16"/>
  </conditionalFormatting>
  <conditionalFormatting sqref="R1:Y1">
    <cfRule type="duplicateValues" dxfId="26" priority="11"/>
    <cfRule type="duplicateValues" dxfId="25" priority="12"/>
  </conditionalFormatting>
  <conditionalFormatting sqref="Z1:AK1">
    <cfRule type="duplicateValues" dxfId="24" priority="9"/>
    <cfRule type="duplicateValues" dxfId="23" priority="10"/>
  </conditionalFormatting>
  <conditionalFormatting sqref="AL1:BD1">
    <cfRule type="duplicateValues" dxfId="22" priority="7"/>
    <cfRule type="duplicateValues" dxfId="21" priority="8"/>
  </conditionalFormatting>
  <conditionalFormatting sqref="BN1:CE1">
    <cfRule type="duplicateValues" dxfId="20" priority="6"/>
  </conditionalFormatting>
  <conditionalFormatting sqref="CF1:DD1">
    <cfRule type="duplicateValues" dxfId="19" priority="5"/>
  </conditionalFormatting>
  <conditionalFormatting sqref="DR1:ED1">
    <cfRule type="duplicateValues" dxfId="18" priority="4"/>
  </conditionalFormatting>
  <conditionalFormatting sqref="EE1:EN1">
    <cfRule type="duplicateValues" dxfId="17" priority="3"/>
  </conditionalFormatting>
  <conditionalFormatting sqref="EO1:EY1">
    <cfRule type="duplicateValues" dxfId="16" priority="2"/>
  </conditionalFormatting>
  <conditionalFormatting sqref="EZ1:FP1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4197-9705-4303-B86A-0C79AD15F725}">
  <dimension ref="A1:FP24"/>
  <sheetViews>
    <sheetView topLeftCell="I1" zoomScale="70" zoomScaleNormal="70" workbookViewId="0">
      <selection activeCell="O22" sqref="O22"/>
    </sheetView>
  </sheetViews>
  <sheetFormatPr defaultRowHeight="14.5" x14ac:dyDescent="0.35"/>
  <cols>
    <col min="1" max="1" width="33.36328125" style="5" bestFit="1" customWidth="1"/>
    <col min="2" max="2" width="14.6328125" style="5" bestFit="1" customWidth="1"/>
    <col min="3" max="3" width="17.26953125" style="5" bestFit="1" customWidth="1"/>
    <col min="4" max="4" width="13.453125" style="5" bestFit="1" customWidth="1"/>
    <col min="5" max="5" width="17.26953125" style="5" bestFit="1" customWidth="1"/>
    <col min="6" max="6" width="16" style="5" bestFit="1" customWidth="1"/>
    <col min="7" max="7" width="15.08984375" style="5" bestFit="1" customWidth="1"/>
    <col min="8" max="8" width="13.7265625" style="5" bestFit="1" customWidth="1"/>
    <col min="9" max="9" width="15.26953125" style="5" bestFit="1" customWidth="1"/>
    <col min="10" max="10" width="14.6328125" style="5" bestFit="1" customWidth="1"/>
    <col min="11" max="11" width="17.1796875" style="5" bestFit="1" customWidth="1"/>
    <col min="12" max="12" width="16.81640625" style="5" bestFit="1" customWidth="1"/>
    <col min="13" max="13" width="18.81640625" style="5" bestFit="1" customWidth="1"/>
    <col min="14" max="14" width="15.6328125" style="5" bestFit="1" customWidth="1"/>
    <col min="15" max="15" width="18.54296875" style="5" bestFit="1" customWidth="1"/>
    <col min="16" max="16" width="11.1796875" style="5" bestFit="1" customWidth="1"/>
    <col min="17" max="17" width="14.54296875" style="5" bestFit="1" customWidth="1"/>
    <col min="18" max="18" width="16" bestFit="1" customWidth="1"/>
    <col min="19" max="19" width="22.6328125" bestFit="1" customWidth="1"/>
    <col min="20" max="20" width="15.54296875" bestFit="1" customWidth="1"/>
    <col min="21" max="21" width="19.36328125" bestFit="1" customWidth="1"/>
    <col min="22" max="22" width="16.7265625" bestFit="1" customWidth="1"/>
    <col min="23" max="23" width="18.54296875" bestFit="1" customWidth="1"/>
    <col min="24" max="24" width="20.90625" bestFit="1" customWidth="1"/>
    <col min="25" max="25" width="17.6328125" bestFit="1" customWidth="1"/>
    <col min="26" max="26" width="17.54296875" style="9" bestFit="1" customWidth="1"/>
    <col min="27" max="27" width="13.6328125" style="9" bestFit="1" customWidth="1"/>
    <col min="28" max="28" width="14.7265625" style="9" bestFit="1" customWidth="1"/>
    <col min="29" max="29" width="15.54296875" style="9" bestFit="1" customWidth="1"/>
    <col min="30" max="30" width="14.54296875" style="9" bestFit="1" customWidth="1"/>
    <col min="31" max="31" width="16.08984375" style="9" bestFit="1" customWidth="1"/>
    <col min="32" max="32" width="20" style="9" bestFit="1" customWidth="1"/>
    <col min="33" max="33" width="14.90625" style="9" bestFit="1" customWidth="1"/>
    <col min="34" max="34" width="23.26953125" style="9" bestFit="1" customWidth="1"/>
    <col min="35" max="35" width="17.26953125" style="9" bestFit="1" customWidth="1"/>
    <col min="36" max="36" width="13.90625" style="9" bestFit="1" customWidth="1"/>
    <col min="37" max="37" width="21.6328125" style="9" bestFit="1" customWidth="1"/>
    <col min="38" max="38" width="16.36328125" bestFit="1" customWidth="1"/>
    <col min="39" max="39" width="14" bestFit="1" customWidth="1"/>
    <col min="40" max="40" width="12.453125" bestFit="1" customWidth="1"/>
    <col min="41" max="41" width="12.90625" bestFit="1" customWidth="1"/>
    <col min="42" max="42" width="16" bestFit="1" customWidth="1"/>
    <col min="43" max="43" width="17.6328125" bestFit="1" customWidth="1"/>
    <col min="44" max="44" width="14.08984375" bestFit="1" customWidth="1"/>
    <col min="45" max="45" width="15.81640625" bestFit="1" customWidth="1"/>
    <col min="46" max="46" width="13.453125" bestFit="1" customWidth="1"/>
    <col min="47" max="47" width="22.36328125" bestFit="1" customWidth="1"/>
    <col min="48" max="48" width="11.36328125" bestFit="1" customWidth="1"/>
    <col min="49" max="49" width="25.1796875" bestFit="1" customWidth="1"/>
    <col min="50" max="50" width="16" bestFit="1" customWidth="1"/>
    <col min="51" max="51" width="14.7265625" bestFit="1" customWidth="1"/>
    <col min="52" max="52" width="13.90625" bestFit="1" customWidth="1"/>
    <col min="53" max="53" width="15.1796875" bestFit="1" customWidth="1"/>
    <col min="54" max="54" width="26.54296875" bestFit="1" customWidth="1"/>
    <col min="55" max="55" width="15.81640625" bestFit="1" customWidth="1"/>
    <col min="56" max="56" width="13.7265625" bestFit="1" customWidth="1"/>
    <col min="57" max="57" width="13" bestFit="1" customWidth="1"/>
    <col min="58" max="58" width="15.7265625" bestFit="1" customWidth="1"/>
    <col min="59" max="59" width="14.6328125" bestFit="1" customWidth="1"/>
    <col min="60" max="60" width="15.26953125" bestFit="1" customWidth="1"/>
    <col min="61" max="61" width="13.90625" bestFit="1" customWidth="1"/>
    <col min="62" max="62" width="19.26953125" bestFit="1" customWidth="1"/>
    <col min="63" max="63" width="13.54296875" bestFit="1" customWidth="1"/>
    <col min="64" max="64" width="16" bestFit="1" customWidth="1"/>
    <col min="65" max="66" width="14.81640625" bestFit="1" customWidth="1"/>
    <col min="67" max="67" width="18.54296875" bestFit="1" customWidth="1"/>
    <col min="68" max="68" width="13.7265625" bestFit="1" customWidth="1"/>
    <col min="69" max="69" width="18.26953125" bestFit="1" customWidth="1"/>
    <col min="70" max="70" width="13.81640625" bestFit="1" customWidth="1"/>
    <col min="71" max="71" width="18.453125" bestFit="1" customWidth="1"/>
    <col min="72" max="72" width="13.6328125" bestFit="1" customWidth="1"/>
    <col min="73" max="73" width="14.90625" bestFit="1" customWidth="1"/>
    <col min="74" max="74" width="15.54296875" bestFit="1" customWidth="1"/>
    <col min="75" max="75" width="24.26953125" bestFit="1" customWidth="1"/>
    <col min="76" max="76" width="16.54296875" bestFit="1" customWidth="1"/>
    <col min="77" max="77" width="16.1796875" bestFit="1" customWidth="1"/>
    <col min="78" max="78" width="13.36328125" bestFit="1" customWidth="1"/>
    <col min="79" max="79" width="13.54296875" bestFit="1" customWidth="1"/>
    <col min="80" max="80" width="19.54296875" bestFit="1" customWidth="1"/>
    <col min="81" max="81" width="20.36328125" bestFit="1" customWidth="1"/>
    <col min="82" max="82" width="15.08984375" bestFit="1" customWidth="1"/>
    <col min="83" max="83" width="14.6328125" bestFit="1" customWidth="1"/>
    <col min="84" max="84" width="17.26953125" bestFit="1" customWidth="1"/>
    <col min="85" max="85" width="18" bestFit="1" customWidth="1"/>
    <col min="86" max="86" width="22.81640625" bestFit="1" customWidth="1"/>
    <col min="87" max="87" width="13.90625" bestFit="1" customWidth="1"/>
    <col min="88" max="88" width="13.6328125" bestFit="1" customWidth="1"/>
    <col min="89" max="89" width="17.453125" bestFit="1" customWidth="1"/>
    <col min="90" max="90" width="13.26953125" bestFit="1" customWidth="1"/>
    <col min="91" max="91" width="14.1796875" bestFit="1" customWidth="1"/>
    <col min="92" max="92" width="12.90625" bestFit="1" customWidth="1"/>
    <col min="93" max="93" width="23.08984375" bestFit="1" customWidth="1"/>
    <col min="94" max="94" width="16.08984375" bestFit="1" customWidth="1"/>
    <col min="95" max="95" width="22.54296875" bestFit="1" customWidth="1"/>
    <col min="96" max="96" width="16.6328125" bestFit="1" customWidth="1"/>
    <col min="97" max="97" width="20.36328125" bestFit="1" customWidth="1"/>
    <col min="98" max="98" width="14.26953125" bestFit="1" customWidth="1"/>
    <col min="99" max="99" width="15.6328125" bestFit="1" customWidth="1"/>
    <col min="100" max="100" width="13" bestFit="1" customWidth="1"/>
    <col min="101" max="101" width="14.36328125" bestFit="1" customWidth="1"/>
    <col min="102" max="102" width="18.1796875" bestFit="1" customWidth="1"/>
    <col min="103" max="103" width="14.08984375" bestFit="1" customWidth="1"/>
    <col min="104" max="104" width="14.453125" bestFit="1" customWidth="1"/>
    <col min="105" max="105" width="17.08984375" bestFit="1" customWidth="1"/>
    <col min="106" max="106" width="15.54296875" bestFit="1" customWidth="1"/>
    <col min="107" max="107" width="15.1796875" bestFit="1" customWidth="1"/>
    <col min="108" max="108" width="19.7265625" bestFit="1" customWidth="1"/>
    <col min="109" max="109" width="17.1796875" bestFit="1" customWidth="1"/>
    <col min="110" max="110" width="13" bestFit="1" customWidth="1"/>
    <col min="111" max="111" width="12.453125" bestFit="1" customWidth="1"/>
    <col min="112" max="112" width="15.6328125" bestFit="1" customWidth="1"/>
    <col min="113" max="113" width="13.08984375" bestFit="1" customWidth="1"/>
    <col min="114" max="114" width="16.54296875" bestFit="1" customWidth="1"/>
    <col min="115" max="115" width="15.6328125" bestFit="1" customWidth="1"/>
    <col min="116" max="116" width="9.6328125" bestFit="1" customWidth="1"/>
    <col min="117" max="117" width="15.7265625" bestFit="1" customWidth="1"/>
    <col min="118" max="118" width="12.1796875" bestFit="1" customWidth="1"/>
    <col min="119" max="119" width="15.26953125" bestFit="1" customWidth="1"/>
    <col min="120" max="120" width="19.7265625" bestFit="1" customWidth="1"/>
    <col min="121" max="121" width="16.453125" bestFit="1" customWidth="1"/>
    <col min="122" max="122" width="19.81640625" bestFit="1" customWidth="1"/>
    <col min="123" max="123" width="14.08984375" bestFit="1" customWidth="1"/>
    <col min="124" max="124" width="13.81640625" bestFit="1" customWidth="1"/>
    <col min="125" max="125" width="12" bestFit="1" customWidth="1"/>
    <col min="126" max="126" width="21.08984375" bestFit="1" customWidth="1"/>
    <col min="127" max="127" width="17.7265625" bestFit="1" customWidth="1"/>
    <col min="128" max="128" width="16.08984375" bestFit="1" customWidth="1"/>
    <col min="129" max="129" width="11.90625" bestFit="1" customWidth="1"/>
    <col min="130" max="130" width="18.1796875" bestFit="1" customWidth="1"/>
    <col min="131" max="131" width="18.453125" bestFit="1" customWidth="1"/>
    <col min="132" max="132" width="14.26953125" bestFit="1" customWidth="1"/>
    <col min="133" max="133" width="13.1796875" bestFit="1" customWidth="1"/>
    <col min="134" max="134" width="14.90625" bestFit="1" customWidth="1"/>
    <col min="135" max="135" width="16.1796875" bestFit="1" customWidth="1"/>
    <col min="136" max="136" width="17.08984375" bestFit="1" customWidth="1"/>
    <col min="137" max="137" width="15.26953125" bestFit="1" customWidth="1"/>
    <col min="138" max="138" width="20.08984375" bestFit="1" customWidth="1"/>
    <col min="139" max="139" width="14.81640625" bestFit="1" customWidth="1"/>
    <col min="140" max="140" width="19.08984375" bestFit="1" customWidth="1"/>
    <col min="141" max="141" width="13.7265625" bestFit="1" customWidth="1"/>
    <col min="142" max="142" width="14.1796875" bestFit="1" customWidth="1"/>
    <col min="143" max="143" width="16.08984375" bestFit="1" customWidth="1"/>
    <col min="144" max="144" width="16.7265625" bestFit="1" customWidth="1"/>
    <col min="145" max="145" width="13.90625" bestFit="1" customWidth="1"/>
    <col min="146" max="146" width="18.7265625" bestFit="1" customWidth="1"/>
    <col min="147" max="147" width="16.26953125" bestFit="1" customWidth="1"/>
    <col min="148" max="148" width="16" bestFit="1" customWidth="1"/>
    <col min="149" max="149" width="15.54296875" bestFit="1" customWidth="1"/>
    <col min="150" max="150" width="17.453125" bestFit="1" customWidth="1"/>
    <col min="151" max="151" width="21.1796875" bestFit="1" customWidth="1"/>
    <col min="152" max="152" width="16.54296875" bestFit="1" customWidth="1"/>
    <col min="153" max="153" width="21.90625" bestFit="1" customWidth="1"/>
    <col min="154" max="154" width="17.26953125" bestFit="1" customWidth="1"/>
    <col min="155" max="155" width="17.6328125" bestFit="1" customWidth="1"/>
    <col min="156" max="156" width="15.26953125" bestFit="1" customWidth="1"/>
    <col min="157" max="157" width="17.26953125" bestFit="1" customWidth="1"/>
    <col min="158" max="158" width="18.1796875" bestFit="1" customWidth="1"/>
    <col min="159" max="159" width="14.453125" bestFit="1" customWidth="1"/>
    <col min="160" max="160" width="13.90625" bestFit="1" customWidth="1"/>
    <col min="161" max="161" width="15.6328125" bestFit="1" customWidth="1"/>
    <col min="162" max="162" width="18.54296875" bestFit="1" customWidth="1"/>
    <col min="163" max="163" width="16.36328125" bestFit="1" customWidth="1"/>
    <col min="164" max="164" width="18.36328125" bestFit="1" customWidth="1"/>
    <col min="165" max="165" width="12.453125" bestFit="1" customWidth="1"/>
    <col min="166" max="166" width="13.1796875" bestFit="1" customWidth="1"/>
    <col min="167" max="167" width="22.54296875" bestFit="1" customWidth="1"/>
    <col min="168" max="168" width="14.81640625" bestFit="1" customWidth="1"/>
    <col min="169" max="169" width="13" bestFit="1" customWidth="1"/>
    <col min="170" max="171" width="15.36328125" bestFit="1" customWidth="1"/>
    <col min="172" max="172" width="13.36328125" bestFit="1" customWidth="1"/>
  </cols>
  <sheetData>
    <row r="1" spans="1:172" s="2" customFormat="1" x14ac:dyDescent="0.3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6260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198</v>
      </c>
      <c r="AA1" s="1" t="s">
        <v>199</v>
      </c>
      <c r="AB1" s="1" t="s">
        <v>200</v>
      </c>
      <c r="AC1" s="1" t="s">
        <v>201</v>
      </c>
      <c r="AD1" s="1" t="s">
        <v>202</v>
      </c>
      <c r="AE1" s="1" t="s">
        <v>203</v>
      </c>
      <c r="AF1" s="1" t="s">
        <v>6259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1386</v>
      </c>
      <c r="AL1" s="1" t="s">
        <v>208</v>
      </c>
      <c r="AM1" s="1" t="s">
        <v>209</v>
      </c>
      <c r="AN1" s="1" t="s">
        <v>210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1388</v>
      </c>
      <c r="AV1" s="1" t="s">
        <v>217</v>
      </c>
      <c r="AW1" s="1" t="s">
        <v>1390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1392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234</v>
      </c>
      <c r="BP1" s="1" t="s">
        <v>235</v>
      </c>
      <c r="BQ1" s="1" t="s">
        <v>236</v>
      </c>
      <c r="BR1" s="1" t="s">
        <v>237</v>
      </c>
      <c r="BS1" s="1" t="s">
        <v>238</v>
      </c>
      <c r="BT1" s="1" t="s">
        <v>239</v>
      </c>
      <c r="BU1" s="1" t="s">
        <v>240</v>
      </c>
      <c r="BV1" s="1" t="s">
        <v>241</v>
      </c>
      <c r="BW1" s="1" t="s">
        <v>1393</v>
      </c>
      <c r="BX1" s="1" t="s">
        <v>242</v>
      </c>
      <c r="BY1" s="1" t="s">
        <v>243</v>
      </c>
      <c r="BZ1" s="1" t="s">
        <v>244</v>
      </c>
      <c r="CA1" s="1" t="s">
        <v>245</v>
      </c>
      <c r="CB1" s="1" t="s">
        <v>246</v>
      </c>
      <c r="CC1" s="1" t="s">
        <v>247</v>
      </c>
      <c r="CD1" s="1" t="s">
        <v>248</v>
      </c>
      <c r="CE1" s="1" t="s">
        <v>249</v>
      </c>
      <c r="CF1" s="1" t="s">
        <v>250</v>
      </c>
      <c r="CG1" s="1" t="s">
        <v>932</v>
      </c>
      <c r="CH1" s="1" t="s">
        <v>1385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857</v>
      </c>
      <c r="CQ1" s="1" t="s">
        <v>1473</v>
      </c>
      <c r="CR1" s="1" t="s">
        <v>258</v>
      </c>
      <c r="CS1" s="1" t="s">
        <v>864</v>
      </c>
      <c r="CT1" s="1" t="s">
        <v>259</v>
      </c>
      <c r="CU1" s="1" t="s">
        <v>260</v>
      </c>
      <c r="CV1" s="1" t="s">
        <v>261</v>
      </c>
      <c r="CW1" s="1" t="s">
        <v>262</v>
      </c>
      <c r="CX1" s="1" t="s">
        <v>910</v>
      </c>
      <c r="CY1" s="1" t="s">
        <v>263</v>
      </c>
      <c r="CZ1" s="1" t="s">
        <v>264</v>
      </c>
      <c r="DA1" s="1" t="s">
        <v>265</v>
      </c>
      <c r="DB1" s="1" t="s">
        <v>266</v>
      </c>
      <c r="DC1" s="1" t="s">
        <v>267</v>
      </c>
      <c r="DD1" s="1" t="s">
        <v>1387</v>
      </c>
      <c r="DE1" s="1" t="s">
        <v>268</v>
      </c>
      <c r="DF1" s="1" t="s">
        <v>269</v>
      </c>
      <c r="DG1" s="1" t="s">
        <v>270</v>
      </c>
      <c r="DH1" s="1" t="s">
        <v>271</v>
      </c>
      <c r="DI1" s="1" t="s">
        <v>272</v>
      </c>
      <c r="DJ1" s="1" t="s">
        <v>273</v>
      </c>
      <c r="DK1" s="1" t="s">
        <v>274</v>
      </c>
      <c r="DL1" s="1" t="s">
        <v>275</v>
      </c>
      <c r="DM1" s="1" t="s">
        <v>276</v>
      </c>
      <c r="DN1" s="1" t="s">
        <v>277</v>
      </c>
      <c r="DO1" s="1" t="s">
        <v>278</v>
      </c>
      <c r="DP1" s="1" t="s">
        <v>279</v>
      </c>
      <c r="DQ1" s="1" t="s">
        <v>280</v>
      </c>
      <c r="DR1" s="1" t="s">
        <v>281</v>
      </c>
      <c r="DS1" s="1" t="s">
        <v>282</v>
      </c>
      <c r="DT1" s="1" t="s">
        <v>283</v>
      </c>
      <c r="DU1" s="1" t="s">
        <v>284</v>
      </c>
      <c r="DV1" s="1" t="s">
        <v>1391</v>
      </c>
      <c r="DW1" s="1" t="s">
        <v>285</v>
      </c>
      <c r="DX1" s="1" t="s">
        <v>286</v>
      </c>
      <c r="DY1" s="1" t="s">
        <v>287</v>
      </c>
      <c r="DZ1" s="1" t="s">
        <v>1395</v>
      </c>
      <c r="EA1" s="1" t="s">
        <v>288</v>
      </c>
      <c r="EB1" s="1" t="s">
        <v>289</v>
      </c>
      <c r="EC1" s="1" t="s">
        <v>290</v>
      </c>
      <c r="ED1" s="1" t="s">
        <v>291</v>
      </c>
      <c r="EE1" s="1" t="s">
        <v>292</v>
      </c>
      <c r="EF1" s="1" t="s">
        <v>293</v>
      </c>
      <c r="EG1" s="1" t="s">
        <v>294</v>
      </c>
      <c r="EH1" s="1" t="s">
        <v>1384</v>
      </c>
      <c r="EI1" s="1" t="s">
        <v>295</v>
      </c>
      <c r="EJ1" s="1" t="s">
        <v>296</v>
      </c>
      <c r="EK1" s="1" t="s">
        <v>297</v>
      </c>
      <c r="EL1" s="1" t="s">
        <v>298</v>
      </c>
      <c r="EM1" s="1" t="s">
        <v>299</v>
      </c>
      <c r="EN1" s="1" t="s">
        <v>300</v>
      </c>
      <c r="EO1" s="1" t="s">
        <v>301</v>
      </c>
      <c r="EP1" s="1" t="s">
        <v>302</v>
      </c>
      <c r="EQ1" s="1" t="s">
        <v>303</v>
      </c>
      <c r="ER1" s="1" t="s">
        <v>304</v>
      </c>
      <c r="ES1" s="1" t="s">
        <v>305</v>
      </c>
      <c r="ET1" s="1" t="s">
        <v>306</v>
      </c>
      <c r="EU1" s="1" t="s">
        <v>1394</v>
      </c>
      <c r="EV1" s="1" t="s">
        <v>307</v>
      </c>
      <c r="EW1" s="1" t="s">
        <v>308</v>
      </c>
      <c r="EX1" s="1" t="s">
        <v>309</v>
      </c>
      <c r="EY1" s="1" t="s">
        <v>310</v>
      </c>
      <c r="EZ1" s="1" t="s">
        <v>311</v>
      </c>
      <c r="FA1" s="1" t="s">
        <v>312</v>
      </c>
      <c r="FB1" s="1" t="s">
        <v>313</v>
      </c>
      <c r="FC1" s="1" t="s">
        <v>314</v>
      </c>
      <c r="FD1" s="1" t="s">
        <v>315</v>
      </c>
      <c r="FE1" s="1" t="s">
        <v>316</v>
      </c>
      <c r="FF1" s="1" t="s">
        <v>1389</v>
      </c>
      <c r="FG1" s="1" t="s">
        <v>317</v>
      </c>
      <c r="FH1" s="1" t="s">
        <v>318</v>
      </c>
      <c r="FI1" s="1" t="s">
        <v>319</v>
      </c>
      <c r="FJ1" s="1" t="s">
        <v>320</v>
      </c>
      <c r="FK1" s="1" t="s">
        <v>321</v>
      </c>
      <c r="FL1" s="1" t="s">
        <v>322</v>
      </c>
      <c r="FM1" s="1" t="s">
        <v>323</v>
      </c>
      <c r="FN1" s="1" t="s">
        <v>324</v>
      </c>
      <c r="FO1" s="1" t="s">
        <v>325</v>
      </c>
      <c r="FP1" s="1" t="s">
        <v>326</v>
      </c>
    </row>
    <row r="2" spans="1:172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7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150</v>
      </c>
      <c r="T2" s="4" t="s">
        <v>343</v>
      </c>
      <c r="U2" s="4" t="s">
        <v>348</v>
      </c>
      <c r="V2" s="4" t="s">
        <v>360</v>
      </c>
      <c r="W2" s="4" t="s">
        <v>378</v>
      </c>
      <c r="X2" s="4" t="s">
        <v>396</v>
      </c>
      <c r="Y2" s="4" t="s">
        <v>104</v>
      </c>
      <c r="Z2" s="4" t="s">
        <v>427</v>
      </c>
      <c r="AA2" s="4" t="s">
        <v>440</v>
      </c>
      <c r="AB2" s="4" t="s">
        <v>444</v>
      </c>
      <c r="AC2" s="4" t="s">
        <v>456</v>
      </c>
      <c r="AD2" s="4" t="s">
        <v>466</v>
      </c>
      <c r="AE2" s="4" t="s">
        <v>467</v>
      </c>
      <c r="AF2" s="4" t="s">
        <v>478</v>
      </c>
      <c r="AG2" s="4" t="s">
        <v>486</v>
      </c>
      <c r="AH2" s="4" t="s">
        <v>489</v>
      </c>
      <c r="AI2" s="4" t="s">
        <v>496</v>
      </c>
      <c r="AJ2" s="4" t="s">
        <v>505</v>
      </c>
      <c r="AK2" s="4" t="s">
        <v>510</v>
      </c>
      <c r="AL2" s="4" t="s">
        <v>515</v>
      </c>
      <c r="AM2" s="4" t="s">
        <v>522</v>
      </c>
      <c r="AN2" s="4" t="s">
        <v>534</v>
      </c>
      <c r="AO2" s="4" t="s">
        <v>540</v>
      </c>
      <c r="AP2" s="4" t="s">
        <v>549</v>
      </c>
      <c r="AQ2" s="4" t="s">
        <v>558</v>
      </c>
      <c r="AR2" s="4" t="s">
        <v>564</v>
      </c>
      <c r="AS2" s="4" t="s">
        <v>567</v>
      </c>
      <c r="AT2" s="4" t="s">
        <v>574</v>
      </c>
      <c r="AU2" s="4" t="s">
        <v>582</v>
      </c>
      <c r="AV2" s="4" t="s">
        <v>591</v>
      </c>
      <c r="AW2" s="4" t="s">
        <v>596</v>
      </c>
      <c r="AX2" s="4" t="s">
        <v>26</v>
      </c>
      <c r="AY2" s="4" t="s">
        <v>604</v>
      </c>
      <c r="AZ2" s="4" t="s">
        <v>611</v>
      </c>
      <c r="BA2" s="4" t="s">
        <v>618</v>
      </c>
      <c r="BB2" s="4" t="s">
        <v>631</v>
      </c>
      <c r="BC2" s="4" t="s">
        <v>636</v>
      </c>
      <c r="BD2" s="4" t="s">
        <v>637</v>
      </c>
      <c r="BE2" s="4" t="s">
        <v>645</v>
      </c>
      <c r="BF2" s="4" t="s">
        <v>648</v>
      </c>
      <c r="BG2" s="4" t="s">
        <v>423</v>
      </c>
      <c r="BH2" s="4" t="s">
        <v>666</v>
      </c>
      <c r="BI2" s="4" t="s">
        <v>673</v>
      </c>
      <c r="BJ2" s="4" t="s">
        <v>685</v>
      </c>
      <c r="BK2" s="4" t="s">
        <v>424</v>
      </c>
      <c r="BL2" s="4" t="s">
        <v>699</v>
      </c>
      <c r="BM2" s="4" t="s">
        <v>710</v>
      </c>
      <c r="BN2" s="4" t="s">
        <v>717</v>
      </c>
      <c r="BO2" s="4" t="s">
        <v>718</v>
      </c>
      <c r="BP2" s="4" t="s">
        <v>729</v>
      </c>
      <c r="BQ2" s="4" t="s">
        <v>736</v>
      </c>
      <c r="BR2" s="4" t="s">
        <v>657</v>
      </c>
      <c r="BS2" s="4" t="s">
        <v>746</v>
      </c>
      <c r="BT2" s="4" t="s">
        <v>760</v>
      </c>
      <c r="BU2" s="4" t="s">
        <v>765</v>
      </c>
      <c r="BV2" s="4" t="s">
        <v>774</v>
      </c>
      <c r="BW2" s="4" t="s">
        <v>775</v>
      </c>
      <c r="BX2" s="4" t="s">
        <v>791</v>
      </c>
      <c r="BY2" s="4" t="s">
        <v>796</v>
      </c>
      <c r="BZ2" s="4" t="s">
        <v>801</v>
      </c>
      <c r="CA2" s="4" t="s">
        <v>806</v>
      </c>
      <c r="CB2" s="4" t="s">
        <v>807</v>
      </c>
      <c r="CC2" s="4" t="s">
        <v>32</v>
      </c>
      <c r="CD2" s="4" t="s">
        <v>818</v>
      </c>
      <c r="CE2" s="4" t="s">
        <v>819</v>
      </c>
      <c r="CF2" s="4" t="s">
        <v>827</v>
      </c>
      <c r="CG2" s="4" t="s">
        <v>829</v>
      </c>
      <c r="CH2" s="4" t="s">
        <v>835</v>
      </c>
      <c r="CI2" s="4" t="s">
        <v>836</v>
      </c>
      <c r="CJ2" s="4" t="s">
        <v>841</v>
      </c>
      <c r="CK2" s="4" t="s">
        <v>842</v>
      </c>
      <c r="CL2" s="4" t="s">
        <v>574</v>
      </c>
      <c r="CM2" s="4" t="s">
        <v>844</v>
      </c>
      <c r="CN2" s="4" t="s">
        <v>847</v>
      </c>
      <c r="CO2" s="4" t="s">
        <v>850</v>
      </c>
      <c r="CP2" s="4" t="s">
        <v>856</v>
      </c>
      <c r="CQ2" s="4" t="s">
        <v>858</v>
      </c>
      <c r="CR2" s="4" t="s">
        <v>32</v>
      </c>
      <c r="CS2" s="4" t="s">
        <v>866</v>
      </c>
      <c r="CT2" s="4" t="s">
        <v>867</v>
      </c>
      <c r="CU2" s="4" t="s">
        <v>882</v>
      </c>
      <c r="CV2" s="4" t="s">
        <v>890</v>
      </c>
      <c r="CW2" s="4" t="s">
        <v>897</v>
      </c>
      <c r="CX2" s="4" t="s">
        <v>901</v>
      </c>
      <c r="CY2" s="4" t="s">
        <v>441</v>
      </c>
      <c r="CZ2" s="4" t="s">
        <v>914</v>
      </c>
      <c r="DA2" s="4" t="s">
        <v>915</v>
      </c>
      <c r="DB2" s="4" t="s">
        <v>923</v>
      </c>
      <c r="DC2" s="4" t="s">
        <v>927</v>
      </c>
      <c r="DD2" s="4" t="s">
        <v>928</v>
      </c>
      <c r="DE2" s="4" t="s">
        <v>949</v>
      </c>
      <c r="DF2" s="4" t="s">
        <v>955</v>
      </c>
      <c r="DG2" s="4" t="s">
        <v>974</v>
      </c>
      <c r="DH2" s="4" t="s">
        <v>980</v>
      </c>
      <c r="DI2" s="4" t="s">
        <v>990</v>
      </c>
      <c r="DJ2" s="4" t="s">
        <v>992</v>
      </c>
      <c r="DK2" s="4" t="s">
        <v>495</v>
      </c>
      <c r="DL2" s="4" t="s">
        <v>26</v>
      </c>
      <c r="DM2" s="4" t="s">
        <v>1015</v>
      </c>
      <c r="DN2" s="4" t="s">
        <v>31</v>
      </c>
      <c r="DO2" s="4" t="s">
        <v>835</v>
      </c>
      <c r="DP2" s="4" t="s">
        <v>1033</v>
      </c>
      <c r="DQ2" s="4" t="s">
        <v>1039</v>
      </c>
      <c r="DR2" s="4" t="s">
        <v>1048</v>
      </c>
      <c r="DS2" s="4" t="s">
        <v>434</v>
      </c>
      <c r="DT2" s="4" t="s">
        <v>1059</v>
      </c>
      <c r="DU2" s="4" t="s">
        <v>1060</v>
      </c>
      <c r="DV2" s="4" t="s">
        <v>1063</v>
      </c>
      <c r="DW2" s="4" t="s">
        <v>1069</v>
      </c>
      <c r="DX2" s="4" t="s">
        <v>1076</v>
      </c>
      <c r="DY2" s="4" t="s">
        <v>485</v>
      </c>
      <c r="DZ2" s="4" t="s">
        <v>1084</v>
      </c>
      <c r="EA2" s="4" t="s">
        <v>419</v>
      </c>
      <c r="EB2" s="4" t="s">
        <v>1095</v>
      </c>
      <c r="EC2" s="4" t="s">
        <v>1100</v>
      </c>
      <c r="ED2" s="4" t="s">
        <v>1105</v>
      </c>
      <c r="EE2" s="4" t="s">
        <v>1111</v>
      </c>
      <c r="EF2" s="4" t="s">
        <v>1116</v>
      </c>
      <c r="EG2" s="4" t="s">
        <v>1128</v>
      </c>
      <c r="EH2" s="4" t="s">
        <v>1131</v>
      </c>
      <c r="EI2" s="4" t="s">
        <v>1149</v>
      </c>
      <c r="EJ2" s="4" t="s">
        <v>331</v>
      </c>
      <c r="EK2" s="4" t="s">
        <v>1168</v>
      </c>
      <c r="EL2" s="4" t="s">
        <v>1172</v>
      </c>
      <c r="EM2" s="4" t="s">
        <v>1180</v>
      </c>
      <c r="EN2" s="4" t="s">
        <v>1190</v>
      </c>
      <c r="EO2" s="4" t="s">
        <v>1206</v>
      </c>
      <c r="EP2" s="4" t="s">
        <v>1214</v>
      </c>
      <c r="EQ2" s="4" t="s">
        <v>1224</v>
      </c>
      <c r="ER2" s="4" t="s">
        <v>1229</v>
      </c>
      <c r="ES2" s="4" t="s">
        <v>1231</v>
      </c>
      <c r="ET2" s="4" t="s">
        <v>1236</v>
      </c>
      <c r="EU2" s="4" t="s">
        <v>1254</v>
      </c>
      <c r="EV2" s="4" t="s">
        <v>1261</v>
      </c>
      <c r="EW2" s="4" t="s">
        <v>1267</v>
      </c>
      <c r="EX2" s="4" t="s">
        <v>1268</v>
      </c>
      <c r="EY2" s="4" t="s">
        <v>1279</v>
      </c>
      <c r="EZ2" s="4" t="s">
        <v>1288</v>
      </c>
      <c r="FA2" s="4" t="s">
        <v>1294</v>
      </c>
      <c r="FB2" s="4" t="s">
        <v>1297</v>
      </c>
      <c r="FC2" s="4" t="s">
        <v>1307</v>
      </c>
      <c r="FD2" s="4" t="s">
        <v>1313</v>
      </c>
      <c r="FE2" s="4" t="s">
        <v>1316</v>
      </c>
      <c r="FF2" s="4" t="s">
        <v>1327</v>
      </c>
      <c r="FG2" s="4" t="s">
        <v>1331</v>
      </c>
      <c r="FH2" s="4" t="s">
        <v>363</v>
      </c>
      <c r="FI2" s="4" t="s">
        <v>1111</v>
      </c>
      <c r="FJ2" s="4" t="s">
        <v>1344</v>
      </c>
      <c r="FK2" s="4" t="s">
        <v>1345</v>
      </c>
      <c r="FL2" s="4" t="s">
        <v>1354</v>
      </c>
      <c r="FM2" s="4" t="s">
        <v>1359</v>
      </c>
      <c r="FN2" s="4" t="s">
        <v>1365</v>
      </c>
      <c r="FO2" s="4" t="s">
        <v>1214</v>
      </c>
      <c r="FP2" s="4" t="s">
        <v>1373</v>
      </c>
    </row>
    <row r="3" spans="1:172" x14ac:dyDescent="0.3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4" t="s">
        <v>145</v>
      </c>
      <c r="S3" s="4" t="s">
        <v>160</v>
      </c>
      <c r="T3" s="4" t="s">
        <v>337</v>
      </c>
      <c r="U3" s="4" t="s">
        <v>353</v>
      </c>
      <c r="V3" s="4" t="s">
        <v>370</v>
      </c>
      <c r="W3" s="4" t="s">
        <v>377</v>
      </c>
      <c r="X3" s="4" t="s">
        <v>1486</v>
      </c>
      <c r="Y3" s="4" t="s">
        <v>399</v>
      </c>
      <c r="Z3" s="4" t="s">
        <v>426</v>
      </c>
      <c r="AA3" s="4" t="s">
        <v>429</v>
      </c>
      <c r="AB3" s="4" t="s">
        <v>452</v>
      </c>
      <c r="AC3" s="4" t="s">
        <v>458</v>
      </c>
      <c r="AD3" s="4" t="s">
        <v>463</v>
      </c>
      <c r="AE3" s="4" t="s">
        <v>469</v>
      </c>
      <c r="AF3" s="4" t="s">
        <v>477</v>
      </c>
      <c r="AG3" s="4" t="s">
        <v>485</v>
      </c>
      <c r="AH3" s="4" t="s">
        <v>412</v>
      </c>
      <c r="AI3" s="4" t="s">
        <v>477</v>
      </c>
      <c r="AJ3" s="4" t="s">
        <v>501</v>
      </c>
      <c r="AK3" s="4" t="s">
        <v>483</v>
      </c>
      <c r="AL3" s="4" t="s">
        <v>514</v>
      </c>
      <c r="AM3" s="4" t="s">
        <v>520</v>
      </c>
      <c r="AN3" s="4" t="s">
        <v>525</v>
      </c>
      <c r="AO3" s="4" t="s">
        <v>539</v>
      </c>
      <c r="AP3" s="4" t="s">
        <v>548</v>
      </c>
      <c r="AQ3" s="4" t="s">
        <v>557</v>
      </c>
      <c r="AR3" s="4" t="s">
        <v>563</v>
      </c>
      <c r="AS3" s="4" t="s">
        <v>566</v>
      </c>
      <c r="AT3" s="4" t="s">
        <v>573</v>
      </c>
      <c r="AU3" s="4" t="s">
        <v>581</v>
      </c>
      <c r="AV3" s="4" t="s">
        <v>590</v>
      </c>
      <c r="AW3" s="4" t="s">
        <v>595</v>
      </c>
      <c r="AX3" s="4" t="s">
        <v>44</v>
      </c>
      <c r="AY3" s="4" t="s">
        <v>603</v>
      </c>
      <c r="AZ3" s="4" t="s">
        <v>610</v>
      </c>
      <c r="BA3" s="4" t="s">
        <v>616</v>
      </c>
      <c r="BB3" s="4" t="s">
        <v>622</v>
      </c>
      <c r="BC3" s="4" t="s">
        <v>635</v>
      </c>
      <c r="BD3" s="4" t="s">
        <v>642</v>
      </c>
      <c r="BE3" s="4" t="s">
        <v>648</v>
      </c>
      <c r="BF3" s="4" t="s">
        <v>650</v>
      </c>
      <c r="BG3" s="4" t="s">
        <v>422</v>
      </c>
      <c r="BH3" s="4" t="s">
        <v>664</v>
      </c>
      <c r="BI3" s="4" t="s">
        <v>677</v>
      </c>
      <c r="BJ3" s="4" t="s">
        <v>682</v>
      </c>
      <c r="BK3" s="4" t="s">
        <v>510</v>
      </c>
      <c r="BL3" s="4" t="s">
        <v>698</v>
      </c>
      <c r="BM3" s="4" t="s">
        <v>708</v>
      </c>
      <c r="BN3" s="4" t="s">
        <v>716</v>
      </c>
      <c r="BO3" s="4" t="s">
        <v>725</v>
      </c>
      <c r="BP3" s="4" t="s">
        <v>728</v>
      </c>
      <c r="BQ3" s="4" t="s">
        <v>735</v>
      </c>
      <c r="BR3" s="4" t="s">
        <v>737</v>
      </c>
      <c r="BS3" s="4" t="s">
        <v>755</v>
      </c>
      <c r="BT3" s="4" t="s">
        <v>759</v>
      </c>
      <c r="BU3" s="4" t="s">
        <v>764</v>
      </c>
      <c r="BV3" s="4" t="s">
        <v>773</v>
      </c>
      <c r="BW3" s="4" t="s">
        <v>784</v>
      </c>
      <c r="BX3" s="4" t="s">
        <v>790</v>
      </c>
      <c r="BY3" s="4" t="s">
        <v>795</v>
      </c>
      <c r="BZ3" s="4" t="s">
        <v>800</v>
      </c>
      <c r="CA3" s="4" t="s">
        <v>805</v>
      </c>
      <c r="CB3" s="4" t="s">
        <v>813</v>
      </c>
      <c r="CC3" s="4" t="s">
        <v>50</v>
      </c>
      <c r="CD3" s="4" t="s">
        <v>817</v>
      </c>
      <c r="CE3" s="4" t="s">
        <v>823</v>
      </c>
      <c r="CF3" s="4" t="s">
        <v>826</v>
      </c>
      <c r="CG3" s="4" t="s">
        <v>5395</v>
      </c>
      <c r="CH3" s="4" t="s">
        <v>834</v>
      </c>
      <c r="CI3" s="4" t="s">
        <v>491</v>
      </c>
      <c r="CJ3" s="4" t="s">
        <v>840</v>
      </c>
      <c r="CK3" s="4" t="s">
        <v>843</v>
      </c>
      <c r="CL3" s="4" t="s">
        <v>573</v>
      </c>
      <c r="CM3" s="4" t="s">
        <v>835</v>
      </c>
      <c r="CN3" s="4" t="s">
        <v>846</v>
      </c>
      <c r="CO3" s="4" t="s">
        <v>849</v>
      </c>
      <c r="CP3" s="4" t="s">
        <v>855</v>
      </c>
      <c r="CQ3" s="4" t="s">
        <v>43</v>
      </c>
      <c r="CR3" s="4" t="s">
        <v>50</v>
      </c>
      <c r="CS3" s="4" t="s">
        <v>865</v>
      </c>
      <c r="CT3" s="4" t="s">
        <v>870</v>
      </c>
      <c r="CU3" s="4" t="s">
        <v>881</v>
      </c>
      <c r="CV3" s="4" t="s">
        <v>889</v>
      </c>
      <c r="CW3" s="4" t="s">
        <v>896</v>
      </c>
      <c r="CX3" s="4" t="s">
        <v>902</v>
      </c>
      <c r="CY3" s="4" t="s">
        <v>411</v>
      </c>
      <c r="CZ3" s="4" t="s">
        <v>21</v>
      </c>
      <c r="DA3" s="4" t="s">
        <v>5</v>
      </c>
      <c r="DB3" s="4" t="s">
        <v>922</v>
      </c>
      <c r="DC3" s="4" t="s">
        <v>926</v>
      </c>
      <c r="DD3" s="4" t="s">
        <v>931</v>
      </c>
      <c r="DE3" s="4" t="s">
        <v>948</v>
      </c>
      <c r="DF3" s="4" t="s">
        <v>951</v>
      </c>
      <c r="DG3" s="4" t="s">
        <v>973</v>
      </c>
      <c r="DH3" s="4" t="s">
        <v>978</v>
      </c>
      <c r="DI3" s="4" t="s">
        <v>989</v>
      </c>
      <c r="DJ3" s="4" t="s">
        <v>991</v>
      </c>
      <c r="DK3" s="4" t="s">
        <v>494</v>
      </c>
      <c r="DL3" s="4" t="s">
        <v>44</v>
      </c>
      <c r="DM3" s="4" t="s">
        <v>1024</v>
      </c>
      <c r="DN3" s="4" t="s">
        <v>67</v>
      </c>
      <c r="DO3" s="4" t="s">
        <v>834</v>
      </c>
      <c r="DP3" s="4" t="s">
        <v>1034</v>
      </c>
      <c r="DQ3" s="4" t="s">
        <v>1040</v>
      </c>
      <c r="DR3" s="4" t="s">
        <v>1053</v>
      </c>
      <c r="DS3" s="4" t="s">
        <v>1054</v>
      </c>
      <c r="DT3" s="4" t="s">
        <v>510</v>
      </c>
      <c r="DU3" s="4" t="s">
        <v>455</v>
      </c>
      <c r="DV3" s="4" t="s">
        <v>1064</v>
      </c>
      <c r="DW3" s="4" t="s">
        <v>1073</v>
      </c>
      <c r="DX3" s="4" t="s">
        <v>1075</v>
      </c>
      <c r="DY3" s="4" t="s">
        <v>419</v>
      </c>
      <c r="DZ3" s="4" t="s">
        <v>708</v>
      </c>
      <c r="EA3" s="4" t="s">
        <v>1091</v>
      </c>
      <c r="EB3" s="4" t="s">
        <v>1094</v>
      </c>
      <c r="EC3" s="4" t="s">
        <v>1102</v>
      </c>
      <c r="ED3" s="4" t="s">
        <v>483</v>
      </c>
      <c r="EE3" s="4" t="s">
        <v>1110</v>
      </c>
      <c r="EF3" s="4" t="s">
        <v>448</v>
      </c>
      <c r="EG3" s="4" t="s">
        <v>1127</v>
      </c>
      <c r="EH3" s="4" t="s">
        <v>1141</v>
      </c>
      <c r="EI3" s="4" t="s">
        <v>1148</v>
      </c>
      <c r="EJ3" s="4" t="s">
        <v>1156</v>
      </c>
      <c r="EK3" s="4" t="s">
        <v>1166</v>
      </c>
      <c r="EL3" s="4" t="s">
        <v>1176</v>
      </c>
      <c r="EM3" s="4" t="s">
        <v>1181</v>
      </c>
      <c r="EN3" s="4" t="s">
        <v>1203</v>
      </c>
      <c r="EO3" s="4" t="s">
        <v>1205</v>
      </c>
      <c r="EP3" s="4" t="s">
        <v>1213</v>
      </c>
      <c r="EQ3" s="4" t="s">
        <v>1223</v>
      </c>
      <c r="ER3" s="4" t="s">
        <v>1228</v>
      </c>
      <c r="ES3" s="4" t="s">
        <v>32</v>
      </c>
      <c r="ET3" s="4" t="s">
        <v>1241</v>
      </c>
      <c r="EU3" s="4" t="s">
        <v>1253</v>
      </c>
      <c r="EV3" s="4" t="s">
        <v>402</v>
      </c>
      <c r="EW3" s="4" t="s">
        <v>1264</v>
      </c>
      <c r="EX3" s="4" t="s">
        <v>1269</v>
      </c>
      <c r="EY3" s="4" t="s">
        <v>1278</v>
      </c>
      <c r="EZ3" s="4" t="s">
        <v>1287</v>
      </c>
      <c r="FA3" s="4" t="s">
        <v>1293</v>
      </c>
      <c r="FB3" s="4" t="s">
        <v>1296</v>
      </c>
      <c r="FC3" s="4" t="s">
        <v>1306</v>
      </c>
      <c r="FD3" s="4" t="s">
        <v>1312</v>
      </c>
      <c r="FE3" s="4" t="s">
        <v>1132</v>
      </c>
      <c r="FF3" s="4" t="s">
        <v>1326</v>
      </c>
      <c r="FG3" s="4" t="s">
        <v>1332</v>
      </c>
      <c r="FH3" s="4" t="s">
        <v>1334</v>
      </c>
      <c r="FI3" s="4" t="s">
        <v>1110</v>
      </c>
      <c r="FJ3" s="4" t="s">
        <v>1343</v>
      </c>
      <c r="FK3" s="4" t="s">
        <v>1113</v>
      </c>
      <c r="FL3" s="4" t="s">
        <v>1353</v>
      </c>
      <c r="FM3" s="4" t="s">
        <v>1358</v>
      </c>
      <c r="FN3" s="4" t="s">
        <v>1364</v>
      </c>
      <c r="FO3" s="4" t="s">
        <v>1213</v>
      </c>
      <c r="FP3" s="4" t="s">
        <v>1372</v>
      </c>
    </row>
    <row r="4" spans="1:172" x14ac:dyDescent="0.35">
      <c r="A4" s="3" t="s">
        <v>39</v>
      </c>
      <c r="B4" s="3" t="s">
        <v>40</v>
      </c>
      <c r="C4" s="3" t="s">
        <v>41</v>
      </c>
      <c r="D4" s="3" t="s">
        <v>42</v>
      </c>
      <c r="E4" s="3" t="s">
        <v>11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4" t="s">
        <v>103</v>
      </c>
      <c r="S4" s="4" t="s">
        <v>104</v>
      </c>
      <c r="T4" s="4" t="s">
        <v>132</v>
      </c>
      <c r="U4" s="4" t="s">
        <v>355</v>
      </c>
      <c r="V4" s="4" t="s">
        <v>366</v>
      </c>
      <c r="W4" s="4" t="s">
        <v>382</v>
      </c>
      <c r="X4" s="4" t="s">
        <v>387</v>
      </c>
      <c r="Y4" s="4" t="s">
        <v>400</v>
      </c>
      <c r="Z4" s="4" t="s">
        <v>425</v>
      </c>
      <c r="AA4" s="4" t="s">
        <v>436</v>
      </c>
      <c r="AB4" s="4" t="s">
        <v>419</v>
      </c>
      <c r="AC4" s="4" t="s">
        <v>454</v>
      </c>
      <c r="AD4" s="4" t="s">
        <v>465</v>
      </c>
      <c r="AE4" s="4" t="s">
        <v>427</v>
      </c>
      <c r="AF4" s="4" t="s">
        <v>448</v>
      </c>
      <c r="AG4" s="4" t="s">
        <v>448</v>
      </c>
      <c r="AH4" s="4" t="s">
        <v>491</v>
      </c>
      <c r="AI4" s="4" t="s">
        <v>497</v>
      </c>
      <c r="AJ4" s="4" t="s">
        <v>502</v>
      </c>
      <c r="AK4" s="4" t="s">
        <v>42</v>
      </c>
      <c r="AL4" s="4" t="s">
        <v>513</v>
      </c>
      <c r="AM4" s="4" t="s">
        <v>519</v>
      </c>
      <c r="AN4" s="4" t="s">
        <v>524</v>
      </c>
      <c r="AO4" s="4" t="s">
        <v>538</v>
      </c>
      <c r="AP4" s="4" t="s">
        <v>547</v>
      </c>
      <c r="AQ4" s="4" t="s">
        <v>556</v>
      </c>
      <c r="AR4" s="4" t="s">
        <v>562</v>
      </c>
      <c r="AS4" s="4" t="s">
        <v>565</v>
      </c>
      <c r="AT4" s="4" t="s">
        <v>572</v>
      </c>
      <c r="AU4" s="4" t="s">
        <v>580</v>
      </c>
      <c r="AV4" s="4" t="s">
        <v>589</v>
      </c>
      <c r="AW4" s="4" t="s">
        <v>594</v>
      </c>
      <c r="AX4" s="4" t="s">
        <v>62</v>
      </c>
      <c r="AY4" s="4" t="s">
        <v>602</v>
      </c>
      <c r="AZ4" s="4" t="s">
        <v>609</v>
      </c>
      <c r="BA4" s="4" t="s">
        <v>617</v>
      </c>
      <c r="BB4" s="4" t="s">
        <v>621</v>
      </c>
      <c r="BC4" s="4" t="s">
        <v>634</v>
      </c>
      <c r="BD4" s="4" t="s">
        <v>641</v>
      </c>
      <c r="BE4" s="4" t="s">
        <v>646</v>
      </c>
      <c r="BF4" s="4" t="s">
        <v>651</v>
      </c>
      <c r="BG4" s="4" t="s">
        <v>662</v>
      </c>
      <c r="BH4" s="4" t="s">
        <v>665</v>
      </c>
      <c r="BI4" s="4" t="s">
        <v>676</v>
      </c>
      <c r="BJ4" s="4" t="s">
        <v>688</v>
      </c>
      <c r="BK4" s="4" t="s">
        <v>690</v>
      </c>
      <c r="BL4" s="4" t="s">
        <v>700</v>
      </c>
      <c r="BM4" s="4" t="s">
        <v>424</v>
      </c>
      <c r="BN4" s="4" t="s">
        <v>715</v>
      </c>
      <c r="BO4" s="4" t="s">
        <v>724</v>
      </c>
      <c r="BP4" s="4" t="s">
        <v>727</v>
      </c>
      <c r="BQ4" s="4" t="s">
        <v>734</v>
      </c>
      <c r="BR4" s="4" t="s">
        <v>745</v>
      </c>
      <c r="BS4" s="4" t="s">
        <v>754</v>
      </c>
      <c r="BT4" s="4" t="s">
        <v>758</v>
      </c>
      <c r="BU4" s="4" t="s">
        <v>763</v>
      </c>
      <c r="BV4" s="4" t="s">
        <v>772</v>
      </c>
      <c r="BW4" s="4" t="s">
        <v>783</v>
      </c>
      <c r="BX4" s="4" t="s">
        <v>789</v>
      </c>
      <c r="BY4" s="4" t="s">
        <v>794</v>
      </c>
      <c r="BZ4" s="4" t="s">
        <v>799</v>
      </c>
      <c r="CA4" s="4" t="s">
        <v>804</v>
      </c>
      <c r="CB4" s="4" t="s">
        <v>812</v>
      </c>
      <c r="CC4" s="4" t="s">
        <v>68</v>
      </c>
      <c r="CD4" s="4" t="s">
        <v>816</v>
      </c>
      <c r="CE4" s="4" t="s">
        <v>822</v>
      </c>
      <c r="CF4" s="4" t="s">
        <v>825</v>
      </c>
      <c r="CG4" s="4" t="s">
        <v>828</v>
      </c>
      <c r="CH4" s="4" t="s">
        <v>833</v>
      </c>
      <c r="CI4" s="4" t="s">
        <v>490</v>
      </c>
      <c r="CJ4" s="4" t="s">
        <v>839</v>
      </c>
      <c r="CK4" s="4" t="s">
        <v>11</v>
      </c>
      <c r="CL4" s="4" t="s">
        <v>572</v>
      </c>
      <c r="CM4" s="4" t="s">
        <v>834</v>
      </c>
      <c r="CN4" s="4" t="s">
        <v>845</v>
      </c>
      <c r="CO4" s="4" t="s">
        <v>854</v>
      </c>
      <c r="CQ4" s="4" t="s">
        <v>61</v>
      </c>
      <c r="CR4" s="4" t="s">
        <v>68</v>
      </c>
      <c r="CT4" s="4" t="s">
        <v>869</v>
      </c>
      <c r="CU4" s="4" t="s">
        <v>880</v>
      </c>
      <c r="CV4" s="4" t="s">
        <v>888</v>
      </c>
      <c r="CW4" s="4" t="s">
        <v>895</v>
      </c>
      <c r="CX4" s="4" t="s">
        <v>909</v>
      </c>
      <c r="CY4" s="4" t="s">
        <v>410</v>
      </c>
      <c r="CZ4" s="4" t="s">
        <v>40</v>
      </c>
      <c r="DA4" s="4" t="s">
        <v>918</v>
      </c>
      <c r="DB4" s="4" t="s">
        <v>921</v>
      </c>
      <c r="DC4" s="4" t="s">
        <v>925</v>
      </c>
      <c r="DD4" s="4" t="s">
        <v>930</v>
      </c>
      <c r="DE4" s="4" t="s">
        <v>947</v>
      </c>
      <c r="DF4" s="4" t="s">
        <v>954</v>
      </c>
      <c r="DG4" s="4" t="s">
        <v>972</v>
      </c>
      <c r="DH4" s="4" t="s">
        <v>869</v>
      </c>
      <c r="DI4" s="4" t="s">
        <v>988</v>
      </c>
      <c r="DJ4" s="4" t="s">
        <v>1000</v>
      </c>
      <c r="DK4" s="4" t="s">
        <v>493</v>
      </c>
      <c r="DL4" s="4" t="s">
        <v>62</v>
      </c>
      <c r="DM4" s="4" t="s">
        <v>1023</v>
      </c>
      <c r="DN4" s="4" t="s">
        <v>83</v>
      </c>
      <c r="DO4" s="4" t="s">
        <v>833</v>
      </c>
      <c r="DP4" s="4" t="s">
        <v>67</v>
      </c>
      <c r="DQ4" s="4" t="s">
        <v>1041</v>
      </c>
      <c r="DR4" s="4" t="s">
        <v>707</v>
      </c>
      <c r="DS4" s="4" t="s">
        <v>1056</v>
      </c>
      <c r="DT4" s="4" t="s">
        <v>483</v>
      </c>
      <c r="DU4" s="4" t="s">
        <v>472</v>
      </c>
      <c r="DV4" s="4" t="s">
        <v>1067</v>
      </c>
      <c r="DW4" s="4" t="s">
        <v>419</v>
      </c>
      <c r="DX4" s="4" t="s">
        <v>1064</v>
      </c>
      <c r="DY4" s="4" t="s">
        <v>498</v>
      </c>
      <c r="DZ4" s="4" t="s">
        <v>1085</v>
      </c>
      <c r="EA4" s="4" t="s">
        <v>1093</v>
      </c>
      <c r="EB4" s="4" t="s">
        <v>1097</v>
      </c>
      <c r="EC4" s="4" t="s">
        <v>456</v>
      </c>
      <c r="ED4" s="4" t="s">
        <v>23</v>
      </c>
      <c r="EE4" s="4" t="s">
        <v>1109</v>
      </c>
      <c r="EF4" s="4" t="s">
        <v>470</v>
      </c>
      <c r="EG4" s="4" t="s">
        <v>1126</v>
      </c>
      <c r="EH4" s="4" t="s">
        <v>1140</v>
      </c>
      <c r="EI4" s="4" t="s">
        <v>1152</v>
      </c>
      <c r="EJ4" s="4" t="s">
        <v>1155</v>
      </c>
      <c r="EK4" s="4" t="s">
        <v>1165</v>
      </c>
      <c r="EL4" s="4" t="s">
        <v>483</v>
      </c>
      <c r="EM4" s="4" t="s">
        <v>1189</v>
      </c>
      <c r="EN4" s="4" t="s">
        <v>1202</v>
      </c>
      <c r="EO4" s="4" t="s">
        <v>1204</v>
      </c>
      <c r="EP4" s="4" t="s">
        <v>1212</v>
      </c>
      <c r="EQ4" s="4" t="s">
        <v>1222</v>
      </c>
      <c r="ER4" s="4" t="s">
        <v>1227</v>
      </c>
      <c r="ES4" s="4" t="s">
        <v>50</v>
      </c>
      <c r="ET4" s="4" t="s">
        <v>1240</v>
      </c>
      <c r="EU4" s="4" t="s">
        <v>1252</v>
      </c>
      <c r="EV4" s="4" t="s">
        <v>1258</v>
      </c>
      <c r="EW4" s="4" t="s">
        <v>1254</v>
      </c>
      <c r="EX4" s="4" t="s">
        <v>1271</v>
      </c>
      <c r="EY4" s="4" t="s">
        <v>1277</v>
      </c>
      <c r="EZ4" s="4" t="s">
        <v>1286</v>
      </c>
      <c r="FA4" s="4" t="s">
        <v>1292</v>
      </c>
      <c r="FB4" s="4" t="s">
        <v>1295</v>
      </c>
      <c r="FC4" s="4" t="s">
        <v>1305</v>
      </c>
      <c r="FD4" s="4" t="s">
        <v>1311</v>
      </c>
      <c r="FE4" s="4" t="s">
        <v>1317</v>
      </c>
      <c r="FF4" s="4" t="s">
        <v>1325</v>
      </c>
      <c r="FG4" s="4" t="s">
        <v>1329</v>
      </c>
      <c r="FH4" s="4" t="s">
        <v>364</v>
      </c>
      <c r="FI4" s="4" t="s">
        <v>1109</v>
      </c>
      <c r="FJ4" s="4" t="s">
        <v>1342</v>
      </c>
      <c r="FK4" s="4" t="s">
        <v>1350</v>
      </c>
      <c r="FL4" s="4" t="s">
        <v>1352</v>
      </c>
      <c r="FM4" s="4" t="s">
        <v>1357</v>
      </c>
      <c r="FN4" s="4" t="s">
        <v>1363</v>
      </c>
      <c r="FO4" s="4" t="s">
        <v>1212</v>
      </c>
      <c r="FP4" s="4" t="s">
        <v>1371</v>
      </c>
    </row>
    <row r="5" spans="1:172" x14ac:dyDescent="0.35">
      <c r="A5" s="3" t="s">
        <v>57</v>
      </c>
      <c r="B5" s="3" t="s">
        <v>58</v>
      </c>
      <c r="C5" s="3" t="s">
        <v>59</v>
      </c>
      <c r="D5" s="3" t="s">
        <v>60</v>
      </c>
      <c r="E5" s="3" t="s">
        <v>29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4" t="s">
        <v>132</v>
      </c>
      <c r="S5" s="4" t="s">
        <v>113</v>
      </c>
      <c r="T5" s="4" t="s">
        <v>327</v>
      </c>
      <c r="U5" s="4" t="s">
        <v>357</v>
      </c>
      <c r="V5" s="4" t="s">
        <v>367</v>
      </c>
      <c r="W5" s="4" t="s">
        <v>375</v>
      </c>
      <c r="X5" s="4" t="s">
        <v>388</v>
      </c>
      <c r="Y5" s="4" t="s">
        <v>402</v>
      </c>
      <c r="Z5" s="4" t="s">
        <v>424</v>
      </c>
      <c r="AA5" s="4" t="s">
        <v>430</v>
      </c>
      <c r="AB5" s="4" t="s">
        <v>441</v>
      </c>
      <c r="AC5" s="4" t="s">
        <v>453</v>
      </c>
      <c r="AD5" s="4" t="s">
        <v>448</v>
      </c>
      <c r="AE5" s="4" t="s">
        <v>466</v>
      </c>
      <c r="AF5" s="4" t="s">
        <v>473</v>
      </c>
      <c r="AG5" s="4" t="s">
        <v>487</v>
      </c>
      <c r="AH5" s="4" t="s">
        <v>490</v>
      </c>
      <c r="AI5" s="4" t="s">
        <v>498</v>
      </c>
      <c r="AJ5" s="4" t="s">
        <v>500</v>
      </c>
      <c r="AK5" s="4" t="s">
        <v>508</v>
      </c>
      <c r="AL5" s="4" t="s">
        <v>512</v>
      </c>
      <c r="AM5" s="4" t="s">
        <v>518</v>
      </c>
      <c r="AN5" s="4" t="s">
        <v>533</v>
      </c>
      <c r="AO5" s="4" t="s">
        <v>537</v>
      </c>
      <c r="AP5" s="4" t="s">
        <v>546</v>
      </c>
      <c r="AQ5" s="4" t="s">
        <v>555</v>
      </c>
      <c r="AR5" s="4" t="s">
        <v>561</v>
      </c>
      <c r="AT5" s="4" t="s">
        <v>571</v>
      </c>
      <c r="AU5" s="4" t="s">
        <v>579</v>
      </c>
      <c r="AV5" s="4" t="s">
        <v>588</v>
      </c>
      <c r="AW5" s="4" t="s">
        <v>593</v>
      </c>
      <c r="AX5" s="4" t="s">
        <v>79</v>
      </c>
      <c r="AY5" s="4" t="s">
        <v>601</v>
      </c>
      <c r="AZ5" s="4" t="s">
        <v>608</v>
      </c>
      <c r="BA5" s="4" t="s">
        <v>615</v>
      </c>
      <c r="BB5" s="4" t="s">
        <v>620</v>
      </c>
      <c r="BC5" s="4" t="s">
        <v>633</v>
      </c>
      <c r="BD5" s="4" t="s">
        <v>640</v>
      </c>
      <c r="BE5" s="4" t="s">
        <v>643</v>
      </c>
      <c r="BF5" s="4" t="s">
        <v>452</v>
      </c>
      <c r="BG5" s="4" t="s">
        <v>656</v>
      </c>
      <c r="BH5" s="4" t="s">
        <v>670</v>
      </c>
      <c r="BI5" s="4" t="s">
        <v>675</v>
      </c>
      <c r="BJ5" s="4" t="s">
        <v>686</v>
      </c>
      <c r="BK5" s="4" t="s">
        <v>438</v>
      </c>
      <c r="BL5" s="4" t="s">
        <v>696</v>
      </c>
      <c r="BM5" s="4" t="s">
        <v>419</v>
      </c>
      <c r="BN5" s="4" t="s">
        <v>714</v>
      </c>
      <c r="BO5" s="4" t="s">
        <v>723</v>
      </c>
      <c r="BP5" s="4" t="s">
        <v>726</v>
      </c>
      <c r="BQ5" s="4" t="s">
        <v>733</v>
      </c>
      <c r="BR5" s="4" t="s">
        <v>744</v>
      </c>
      <c r="BS5" s="4" t="s">
        <v>753</v>
      </c>
      <c r="BT5" s="4" t="s">
        <v>757</v>
      </c>
      <c r="BU5" s="4" t="s">
        <v>762</v>
      </c>
      <c r="BV5" s="4" t="s">
        <v>771</v>
      </c>
      <c r="BW5" s="4" t="s">
        <v>782</v>
      </c>
      <c r="BX5" s="4" t="s">
        <v>788</v>
      </c>
      <c r="BY5" s="4" t="s">
        <v>793</v>
      </c>
      <c r="BZ5" s="4" t="s">
        <v>798</v>
      </c>
      <c r="CA5" s="4" t="s">
        <v>803</v>
      </c>
      <c r="CB5" s="4" t="s">
        <v>811</v>
      </c>
      <c r="CC5" s="4" t="s">
        <v>84</v>
      </c>
      <c r="CD5" s="4" t="s">
        <v>815</v>
      </c>
      <c r="CE5" s="4" t="s">
        <v>821</v>
      </c>
      <c r="CF5" s="4" t="s">
        <v>824</v>
      </c>
      <c r="CH5" s="4" t="s">
        <v>832</v>
      </c>
      <c r="CI5" s="4" t="s">
        <v>837</v>
      </c>
      <c r="CJ5" s="4" t="s">
        <v>838</v>
      </c>
      <c r="CK5" s="4" t="s">
        <v>29</v>
      </c>
      <c r="CL5" s="4" t="s">
        <v>571</v>
      </c>
      <c r="CM5" s="4" t="s">
        <v>833</v>
      </c>
      <c r="CO5" s="4" t="s">
        <v>853</v>
      </c>
      <c r="CQ5" s="4" t="s">
        <v>78</v>
      </c>
      <c r="CR5" s="4" t="s">
        <v>84</v>
      </c>
      <c r="CT5" s="4" t="s">
        <v>868</v>
      </c>
      <c r="CU5" s="4" t="s">
        <v>879</v>
      </c>
      <c r="CV5" s="4" t="s">
        <v>887</v>
      </c>
      <c r="CW5" s="4" t="s">
        <v>894</v>
      </c>
      <c r="CX5" s="4" t="s">
        <v>709</v>
      </c>
      <c r="CY5" s="4" t="s">
        <v>913</v>
      </c>
      <c r="CZ5" s="4" t="s">
        <v>58</v>
      </c>
      <c r="DA5" s="4" t="s">
        <v>917</v>
      </c>
      <c r="DB5" s="4" t="s">
        <v>919</v>
      </c>
      <c r="DC5" s="4" t="s">
        <v>924</v>
      </c>
      <c r="DD5" s="4" t="s">
        <v>929</v>
      </c>
      <c r="DE5" s="4" t="s">
        <v>946</v>
      </c>
      <c r="DF5" s="4" t="s">
        <v>953</v>
      </c>
      <c r="DG5" s="4" t="s">
        <v>971</v>
      </c>
      <c r="DH5" s="4" t="s">
        <v>868</v>
      </c>
      <c r="DI5" s="4" t="s">
        <v>987</v>
      </c>
      <c r="DJ5" s="4" t="s">
        <v>999</v>
      </c>
      <c r="DK5" s="4" t="s">
        <v>492</v>
      </c>
      <c r="DL5" s="4" t="s">
        <v>79</v>
      </c>
      <c r="DM5" s="4" t="s">
        <v>1022</v>
      </c>
      <c r="DN5" s="4" t="s">
        <v>97</v>
      </c>
      <c r="DO5" s="4" t="s">
        <v>1030</v>
      </c>
      <c r="DP5" s="4" t="s">
        <v>83</v>
      </c>
      <c r="DQ5" s="4" t="s">
        <v>1047</v>
      </c>
      <c r="DR5" s="4" t="s">
        <v>473</v>
      </c>
      <c r="DS5" s="4" t="s">
        <v>475</v>
      </c>
      <c r="DT5" s="4" t="s">
        <v>23</v>
      </c>
      <c r="DU5" s="4" t="s">
        <v>1061</v>
      </c>
      <c r="DV5" s="4" t="s">
        <v>1065</v>
      </c>
      <c r="DW5" s="4" t="s">
        <v>1072</v>
      </c>
      <c r="DX5" s="4" t="s">
        <v>452</v>
      </c>
      <c r="DY5" s="4" t="s">
        <v>1078</v>
      </c>
      <c r="DZ5" s="4" t="s">
        <v>1083</v>
      </c>
      <c r="EA5" s="4" t="s">
        <v>448</v>
      </c>
      <c r="EB5" s="4" t="s">
        <v>1096</v>
      </c>
      <c r="EC5" s="4" t="s">
        <v>424</v>
      </c>
      <c r="ED5" s="4" t="s">
        <v>42</v>
      </c>
      <c r="EE5" s="4" t="s">
        <v>1108</v>
      </c>
      <c r="EF5" s="4" t="s">
        <v>1119</v>
      </c>
      <c r="EG5" s="4" t="s">
        <v>1125</v>
      </c>
      <c r="EH5" s="4" t="s">
        <v>1139</v>
      </c>
      <c r="EI5" s="4" t="s">
        <v>1151</v>
      </c>
      <c r="EJ5" s="4" t="s">
        <v>390</v>
      </c>
      <c r="EK5" s="4" t="s">
        <v>1164</v>
      </c>
      <c r="EL5" s="4" t="s">
        <v>1175</v>
      </c>
      <c r="EM5" s="4" t="s">
        <v>1188</v>
      </c>
      <c r="EN5" s="4" t="s">
        <v>1191</v>
      </c>
      <c r="EP5" s="4" t="s">
        <v>1211</v>
      </c>
      <c r="EQ5" s="4" t="s">
        <v>1221</v>
      </c>
      <c r="ER5" s="4" t="s">
        <v>1226</v>
      </c>
      <c r="ES5" s="4" t="s">
        <v>84</v>
      </c>
      <c r="ET5" s="4" t="s">
        <v>1239</v>
      </c>
      <c r="EU5" s="4" t="s">
        <v>1251</v>
      </c>
      <c r="EV5" s="4" t="s">
        <v>1256</v>
      </c>
      <c r="EW5" s="4" t="s">
        <v>1253</v>
      </c>
      <c r="EX5" s="4" t="s">
        <v>1234</v>
      </c>
      <c r="EY5" s="4" t="s">
        <v>1276</v>
      </c>
      <c r="EZ5" s="4" t="s">
        <v>1285</v>
      </c>
      <c r="FA5" s="4" t="s">
        <v>1291</v>
      </c>
      <c r="FC5" s="4" t="s">
        <v>1304</v>
      </c>
      <c r="FD5" s="4" t="s">
        <v>1310</v>
      </c>
      <c r="FE5" s="4" t="s">
        <v>1130</v>
      </c>
      <c r="FF5" s="4" t="s">
        <v>1322</v>
      </c>
      <c r="FG5" s="4" t="s">
        <v>1333</v>
      </c>
      <c r="FH5" s="4" t="s">
        <v>362</v>
      </c>
      <c r="FI5" s="4" t="s">
        <v>1338</v>
      </c>
      <c r="FJ5" s="4" t="s">
        <v>1341</v>
      </c>
      <c r="FK5" s="4" t="s">
        <v>1349</v>
      </c>
      <c r="FL5" s="4" t="s">
        <v>1351</v>
      </c>
      <c r="FM5" s="4" t="s">
        <v>1356</v>
      </c>
      <c r="FN5" s="4" t="s">
        <v>1362</v>
      </c>
      <c r="FO5" s="4" t="s">
        <v>1211</v>
      </c>
      <c r="FP5" s="4" t="s">
        <v>1370</v>
      </c>
    </row>
    <row r="6" spans="1:172" x14ac:dyDescent="0.35">
      <c r="A6" s="3" t="s">
        <v>75</v>
      </c>
      <c r="B6" s="3" t="s">
        <v>76</v>
      </c>
      <c r="C6" s="3" t="s">
        <v>77</v>
      </c>
      <c r="E6" s="3" t="s">
        <v>47</v>
      </c>
      <c r="F6" s="3" t="s">
        <v>78</v>
      </c>
      <c r="G6" s="3" t="s">
        <v>79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86</v>
      </c>
      <c r="P6" s="3" t="s">
        <v>87</v>
      </c>
      <c r="Q6" s="3" t="s">
        <v>88</v>
      </c>
      <c r="R6" s="4" t="s">
        <v>153</v>
      </c>
      <c r="S6" s="4" t="s">
        <v>19</v>
      </c>
      <c r="T6" s="4" t="s">
        <v>328</v>
      </c>
      <c r="U6" s="4" t="s">
        <v>344</v>
      </c>
      <c r="V6" s="4" t="s">
        <v>365</v>
      </c>
      <c r="W6" s="4" t="s">
        <v>147</v>
      </c>
      <c r="X6" s="4" t="s">
        <v>386</v>
      </c>
      <c r="Y6" s="4" t="s">
        <v>398</v>
      </c>
      <c r="Z6" s="4" t="s">
        <v>423</v>
      </c>
      <c r="AA6" s="4" t="s">
        <v>434</v>
      </c>
      <c r="AB6" s="4" t="s">
        <v>434</v>
      </c>
      <c r="AC6" s="4" t="s">
        <v>461</v>
      </c>
      <c r="AD6" s="4" t="s">
        <v>450</v>
      </c>
      <c r="AE6" s="4" t="s">
        <v>471</v>
      </c>
      <c r="AF6" s="4" t="s">
        <v>480</v>
      </c>
      <c r="AG6" s="4" t="s">
        <v>484</v>
      </c>
      <c r="AH6" s="4" t="s">
        <v>495</v>
      </c>
      <c r="AI6" s="4" t="s">
        <v>499</v>
      </c>
      <c r="AJ6" s="4" t="s">
        <v>419</v>
      </c>
      <c r="AK6" s="4" t="s">
        <v>91</v>
      </c>
      <c r="AL6" s="4" t="s">
        <v>511</v>
      </c>
      <c r="AM6" s="4" t="s">
        <v>517</v>
      </c>
      <c r="AN6" s="4" t="s">
        <v>532</v>
      </c>
      <c r="AO6" s="4" t="s">
        <v>536</v>
      </c>
      <c r="AP6" s="4" t="s">
        <v>545</v>
      </c>
      <c r="AQ6" s="4" t="s">
        <v>554</v>
      </c>
      <c r="AR6" s="4" t="s">
        <v>560</v>
      </c>
      <c r="AT6" s="4" t="s">
        <v>570</v>
      </c>
      <c r="AU6" s="4" t="s">
        <v>578</v>
      </c>
      <c r="AV6" s="4" t="s">
        <v>587</v>
      </c>
      <c r="AW6" s="4" t="s">
        <v>592</v>
      </c>
      <c r="AY6" s="4" t="s">
        <v>600</v>
      </c>
      <c r="AZ6" s="4" t="s">
        <v>607</v>
      </c>
      <c r="BA6" s="4" t="s">
        <v>614</v>
      </c>
      <c r="BB6" s="4" t="s">
        <v>619</v>
      </c>
      <c r="BC6" s="4" t="s">
        <v>632</v>
      </c>
      <c r="BD6" s="4" t="s">
        <v>639</v>
      </c>
      <c r="BE6" s="4" t="s">
        <v>347</v>
      </c>
      <c r="BF6" s="4" t="s">
        <v>654</v>
      </c>
      <c r="BG6" s="4" t="s">
        <v>659</v>
      </c>
      <c r="BH6" s="4" t="s">
        <v>668</v>
      </c>
      <c r="BI6" s="4" t="s">
        <v>419</v>
      </c>
      <c r="BJ6" s="4" t="s">
        <v>683</v>
      </c>
      <c r="BK6" s="4" t="s">
        <v>48</v>
      </c>
      <c r="BL6" s="4" t="s">
        <v>707</v>
      </c>
      <c r="BM6" s="4" t="s">
        <v>434</v>
      </c>
      <c r="BN6" s="4" t="s">
        <v>713</v>
      </c>
      <c r="BO6" s="4" t="s">
        <v>722</v>
      </c>
      <c r="BQ6" s="4" t="s">
        <v>732</v>
      </c>
      <c r="BR6" s="4" t="s">
        <v>743</v>
      </c>
      <c r="BS6" s="4" t="s">
        <v>752</v>
      </c>
      <c r="BT6" s="4" t="s">
        <v>756</v>
      </c>
      <c r="BU6" s="4" t="s">
        <v>761</v>
      </c>
      <c r="BV6" s="4" t="s">
        <v>767</v>
      </c>
      <c r="BW6" s="4" t="s">
        <v>781</v>
      </c>
      <c r="BX6" s="4" t="s">
        <v>787</v>
      </c>
      <c r="BY6" s="4" t="s">
        <v>792</v>
      </c>
      <c r="BZ6" s="4" t="s">
        <v>797</v>
      </c>
      <c r="CA6" s="4" t="s">
        <v>802</v>
      </c>
      <c r="CB6" s="4" t="s">
        <v>810</v>
      </c>
      <c r="CC6" s="4" t="s">
        <v>108</v>
      </c>
      <c r="CD6" s="4" t="s">
        <v>814</v>
      </c>
      <c r="CE6" s="4" t="s">
        <v>820</v>
      </c>
      <c r="CH6" s="4" t="s">
        <v>831</v>
      </c>
      <c r="CK6" s="4" t="s">
        <v>47</v>
      </c>
      <c r="CL6" s="4" t="s">
        <v>570</v>
      </c>
      <c r="CM6" s="4" t="s">
        <v>832</v>
      </c>
      <c r="CO6" s="4" t="s">
        <v>852</v>
      </c>
      <c r="CQ6" s="4" t="s">
        <v>93</v>
      </c>
      <c r="CR6" s="4" t="s">
        <v>108</v>
      </c>
      <c r="CU6" s="4" t="s">
        <v>874</v>
      </c>
      <c r="CV6" s="4" t="s">
        <v>886</v>
      </c>
      <c r="CW6" s="4" t="s">
        <v>893</v>
      </c>
      <c r="CX6" s="4" t="s">
        <v>908</v>
      </c>
      <c r="CY6" s="4" t="s">
        <v>912</v>
      </c>
      <c r="DA6" s="4" t="s">
        <v>916</v>
      </c>
      <c r="DB6" s="4" t="s">
        <v>920</v>
      </c>
      <c r="DE6" s="4" t="s">
        <v>941</v>
      </c>
      <c r="DF6" s="4" t="s">
        <v>952</v>
      </c>
      <c r="DG6" s="4" t="s">
        <v>966</v>
      </c>
      <c r="DH6" s="4" t="s">
        <v>979</v>
      </c>
      <c r="DI6" s="4" t="s">
        <v>983</v>
      </c>
      <c r="DJ6" s="4" t="s">
        <v>998</v>
      </c>
      <c r="DK6" s="4" t="s">
        <v>1006</v>
      </c>
      <c r="DL6" s="4" t="s">
        <v>1014</v>
      </c>
      <c r="DM6" s="4" t="s">
        <v>1021</v>
      </c>
      <c r="DN6" s="4" t="s">
        <v>1026</v>
      </c>
      <c r="DO6" s="4" t="s">
        <v>830</v>
      </c>
      <c r="DP6" s="4" t="s">
        <v>97</v>
      </c>
      <c r="DQ6" s="4" t="s">
        <v>1046</v>
      </c>
      <c r="DR6" s="4" t="s">
        <v>1052</v>
      </c>
      <c r="DS6" s="4" t="s">
        <v>433</v>
      </c>
      <c r="DT6" s="4" t="s">
        <v>442</v>
      </c>
      <c r="DV6" s="4" t="s">
        <v>1062</v>
      </c>
      <c r="DW6" s="4" t="s">
        <v>1070</v>
      </c>
      <c r="DX6" s="4" t="s">
        <v>424</v>
      </c>
      <c r="DY6" s="4" t="s">
        <v>42</v>
      </c>
      <c r="DZ6" s="4" t="s">
        <v>448</v>
      </c>
      <c r="EA6" s="4" t="s">
        <v>473</v>
      </c>
      <c r="EB6" s="4" t="s">
        <v>1098</v>
      </c>
      <c r="EC6" s="4" t="s">
        <v>1101</v>
      </c>
      <c r="ED6" s="4" t="s">
        <v>60</v>
      </c>
      <c r="EE6" s="4" t="s">
        <v>1107</v>
      </c>
      <c r="EF6" s="4" t="s">
        <v>1118</v>
      </c>
      <c r="EG6" s="4" t="s">
        <v>1124</v>
      </c>
      <c r="EH6" s="4" t="s">
        <v>1138</v>
      </c>
      <c r="EI6" s="4" t="s">
        <v>1145</v>
      </c>
      <c r="EJ6" s="4" t="s">
        <v>1153</v>
      </c>
      <c r="EK6" s="4" t="s">
        <v>1163</v>
      </c>
      <c r="EL6" s="4" t="s">
        <v>1174</v>
      </c>
      <c r="EM6" s="4" t="s">
        <v>1185</v>
      </c>
      <c r="EN6" s="4" t="s">
        <v>1201</v>
      </c>
      <c r="EP6" s="4" t="s">
        <v>1210</v>
      </c>
      <c r="EQ6" s="4" t="s">
        <v>1216</v>
      </c>
      <c r="ER6" s="4" t="s">
        <v>1225</v>
      </c>
      <c r="ES6" s="4" t="s">
        <v>1234</v>
      </c>
      <c r="ET6" s="4" t="s">
        <v>1238</v>
      </c>
      <c r="EU6" s="4" t="s">
        <v>1250</v>
      </c>
      <c r="EV6" s="4" t="s">
        <v>1260</v>
      </c>
      <c r="EW6" s="4" t="s">
        <v>1252</v>
      </c>
      <c r="EX6" s="4" t="s">
        <v>1270</v>
      </c>
      <c r="EY6" s="4" t="s">
        <v>1275</v>
      </c>
      <c r="EZ6" s="4" t="s">
        <v>1284</v>
      </c>
      <c r="FA6" s="4" t="s">
        <v>1290</v>
      </c>
      <c r="FC6" s="4" t="s">
        <v>1303</v>
      </c>
      <c r="FD6" s="4" t="s">
        <v>1309</v>
      </c>
      <c r="FE6" s="4" t="s">
        <v>1321</v>
      </c>
      <c r="FF6" s="4" t="s">
        <v>1324</v>
      </c>
      <c r="FG6" s="4" t="s">
        <v>1328</v>
      </c>
      <c r="FI6" s="4" t="s">
        <v>1337</v>
      </c>
      <c r="FJ6" s="4" t="s">
        <v>1340</v>
      </c>
      <c r="FK6" s="4" t="s">
        <v>1348</v>
      </c>
      <c r="FM6" s="4" t="s">
        <v>1355</v>
      </c>
      <c r="FN6" s="4" t="s">
        <v>1361</v>
      </c>
      <c r="FO6" s="4" t="s">
        <v>1210</v>
      </c>
      <c r="FP6" s="4" t="s">
        <v>1369</v>
      </c>
    </row>
    <row r="7" spans="1:172" x14ac:dyDescent="0.35">
      <c r="B7" s="3" t="s">
        <v>91</v>
      </c>
      <c r="C7" s="3" t="s">
        <v>92</v>
      </c>
      <c r="E7" s="3" t="s">
        <v>65</v>
      </c>
      <c r="F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 t="s">
        <v>100</v>
      </c>
      <c r="P7" s="3" t="s">
        <v>101</v>
      </c>
      <c r="Q7" s="3" t="s">
        <v>102</v>
      </c>
      <c r="R7" s="4" t="s">
        <v>89</v>
      </c>
      <c r="S7" s="4" t="s">
        <v>38</v>
      </c>
      <c r="T7" s="4" t="s">
        <v>330</v>
      </c>
      <c r="U7" s="4" t="s">
        <v>356</v>
      </c>
      <c r="V7" s="4" t="s">
        <v>358</v>
      </c>
      <c r="W7" s="4" t="s">
        <v>374</v>
      </c>
      <c r="X7" s="4" t="s">
        <v>393</v>
      </c>
      <c r="Y7" s="4" t="s">
        <v>408</v>
      </c>
      <c r="Z7" s="4" t="s">
        <v>422</v>
      </c>
      <c r="AA7" s="4" t="s">
        <v>439</v>
      </c>
      <c r="AB7" s="4" t="s">
        <v>356</v>
      </c>
      <c r="AC7" s="4" t="s">
        <v>460</v>
      </c>
      <c r="AD7" s="4" t="s">
        <v>435</v>
      </c>
      <c r="AE7" s="4" t="s">
        <v>470</v>
      </c>
      <c r="AF7" s="4" t="s">
        <v>479</v>
      </c>
      <c r="AG7" s="4" t="s">
        <v>432</v>
      </c>
      <c r="AH7" s="4" t="s">
        <v>494</v>
      </c>
      <c r="AI7" s="4" t="s">
        <v>23</v>
      </c>
      <c r="AJ7" s="4" t="s">
        <v>507</v>
      </c>
      <c r="AK7" s="4" t="s">
        <v>509</v>
      </c>
      <c r="AM7" s="4" t="s">
        <v>516</v>
      </c>
      <c r="AN7" s="4" t="s">
        <v>531</v>
      </c>
      <c r="AO7" s="4" t="s">
        <v>535</v>
      </c>
      <c r="AP7" s="4" t="s">
        <v>544</v>
      </c>
      <c r="AQ7" s="4" t="s">
        <v>553</v>
      </c>
      <c r="AR7" s="4" t="s">
        <v>559</v>
      </c>
      <c r="AT7" s="4" t="s">
        <v>569</v>
      </c>
      <c r="AU7" s="4" t="s">
        <v>577</v>
      </c>
      <c r="AV7" s="4" t="s">
        <v>586</v>
      </c>
      <c r="AY7" s="4" t="s">
        <v>599</v>
      </c>
      <c r="AZ7" s="4" t="s">
        <v>606</v>
      </c>
      <c r="BA7" s="4" t="s">
        <v>613</v>
      </c>
      <c r="BB7" s="4" t="s">
        <v>630</v>
      </c>
      <c r="BD7" s="4" t="s">
        <v>638</v>
      </c>
      <c r="BE7" s="4" t="s">
        <v>644</v>
      </c>
      <c r="BF7" s="4" t="s">
        <v>510</v>
      </c>
      <c r="BG7" s="4" t="s">
        <v>657</v>
      </c>
      <c r="BH7" s="4" t="s">
        <v>663</v>
      </c>
      <c r="BI7" s="4" t="s">
        <v>665</v>
      </c>
      <c r="BJ7" s="4" t="s">
        <v>680</v>
      </c>
      <c r="BK7" s="4" t="s">
        <v>66</v>
      </c>
      <c r="BL7" s="4" t="s">
        <v>706</v>
      </c>
      <c r="BM7" s="4" t="s">
        <v>657</v>
      </c>
      <c r="BN7" s="4" t="s">
        <v>442</v>
      </c>
      <c r="BO7" s="4" t="s">
        <v>721</v>
      </c>
      <c r="BQ7" s="4" t="s">
        <v>731</v>
      </c>
      <c r="BR7" s="4" t="s">
        <v>742</v>
      </c>
      <c r="BS7" s="4" t="s">
        <v>747</v>
      </c>
      <c r="BV7" s="4" t="s">
        <v>770</v>
      </c>
      <c r="BW7" s="4" t="s">
        <v>777</v>
      </c>
      <c r="BX7" s="4" t="s">
        <v>786</v>
      </c>
      <c r="CB7" s="4" t="s">
        <v>809</v>
      </c>
      <c r="CC7" s="4" t="s">
        <v>117</v>
      </c>
      <c r="CH7" s="4" t="s">
        <v>830</v>
      </c>
      <c r="CK7" s="4" t="s">
        <v>65</v>
      </c>
      <c r="CO7" s="4" t="s">
        <v>851</v>
      </c>
      <c r="CQ7" s="4" t="s">
        <v>859</v>
      </c>
      <c r="CR7" s="4" t="s">
        <v>117</v>
      </c>
      <c r="CU7" s="4" t="s">
        <v>878</v>
      </c>
      <c r="CV7" s="4" t="s">
        <v>885</v>
      </c>
      <c r="CW7" s="4" t="s">
        <v>892</v>
      </c>
      <c r="CX7" s="4" t="s">
        <v>907</v>
      </c>
      <c r="CY7" s="4" t="s">
        <v>911</v>
      </c>
      <c r="DE7" s="4" t="s">
        <v>945</v>
      </c>
      <c r="DF7" s="4" t="s">
        <v>950</v>
      </c>
      <c r="DG7" s="4" t="s">
        <v>970</v>
      </c>
      <c r="DH7" s="4" t="s">
        <v>977</v>
      </c>
      <c r="DI7" s="4" t="s">
        <v>981</v>
      </c>
      <c r="DJ7" s="4" t="s">
        <v>993</v>
      </c>
      <c r="DK7" s="4" t="s">
        <v>1010</v>
      </c>
      <c r="DL7" s="4" t="s">
        <v>1013</v>
      </c>
      <c r="DM7" s="4" t="s">
        <v>424</v>
      </c>
      <c r="DN7" s="4" t="s">
        <v>1025</v>
      </c>
      <c r="DO7" s="4" t="s">
        <v>1032</v>
      </c>
      <c r="DP7" s="4" t="s">
        <v>1035</v>
      </c>
      <c r="DQ7" s="4" t="s">
        <v>1045</v>
      </c>
      <c r="DR7" s="4" t="s">
        <v>1051</v>
      </c>
      <c r="DS7" s="4" t="s">
        <v>1057</v>
      </c>
      <c r="DV7" s="4" t="s">
        <v>1066</v>
      </c>
      <c r="DW7" s="4" t="s">
        <v>1071</v>
      </c>
      <c r="DX7" s="4" t="s">
        <v>1074</v>
      </c>
      <c r="DY7" s="4" t="s">
        <v>432</v>
      </c>
      <c r="DZ7" s="4" t="s">
        <v>1072</v>
      </c>
      <c r="EA7" s="4" t="s">
        <v>1089</v>
      </c>
      <c r="EB7" s="4" t="s">
        <v>23</v>
      </c>
      <c r="EC7" s="4" t="s">
        <v>1103</v>
      </c>
      <c r="ED7" s="4" t="s">
        <v>1104</v>
      </c>
      <c r="EE7" s="4" t="s">
        <v>1106</v>
      </c>
      <c r="EF7" s="4" t="s">
        <v>1117</v>
      </c>
      <c r="EG7" s="4" t="s">
        <v>1123</v>
      </c>
      <c r="EH7" s="4" t="s">
        <v>1137</v>
      </c>
      <c r="EI7" s="4" t="s">
        <v>1144</v>
      </c>
      <c r="EJ7" s="4" t="s">
        <v>144</v>
      </c>
      <c r="EK7" s="4" t="s">
        <v>1162</v>
      </c>
      <c r="EL7" s="4" t="s">
        <v>435</v>
      </c>
      <c r="EM7" s="4" t="s">
        <v>1184</v>
      </c>
      <c r="EN7" s="4" t="s">
        <v>1197</v>
      </c>
      <c r="EP7" s="4" t="s">
        <v>1209</v>
      </c>
      <c r="EQ7" s="4" t="s">
        <v>1220</v>
      </c>
      <c r="ES7" s="4" t="s">
        <v>1233</v>
      </c>
      <c r="ET7" s="4" t="s">
        <v>1237</v>
      </c>
      <c r="EU7" s="4" t="s">
        <v>1249</v>
      </c>
      <c r="EV7" s="4" t="s">
        <v>1206</v>
      </c>
      <c r="EW7" s="4" t="s">
        <v>1251</v>
      </c>
      <c r="EX7" s="4" t="s">
        <v>1233</v>
      </c>
      <c r="EY7" s="4" t="s">
        <v>1274</v>
      </c>
      <c r="EZ7" s="4" t="s">
        <v>1283</v>
      </c>
      <c r="FA7" s="4" t="s">
        <v>1289</v>
      </c>
      <c r="FC7" s="4" t="s">
        <v>1302</v>
      </c>
      <c r="FD7" s="4" t="s">
        <v>1308</v>
      </c>
      <c r="FE7" s="4" t="s">
        <v>1320</v>
      </c>
      <c r="FF7" s="4" t="s">
        <v>1323</v>
      </c>
      <c r="FG7" s="4" t="s">
        <v>1330</v>
      </c>
      <c r="FI7" s="4" t="s">
        <v>1336</v>
      </c>
      <c r="FJ7" s="4" t="s">
        <v>1339</v>
      </c>
      <c r="FK7" s="4" t="s">
        <v>1347</v>
      </c>
      <c r="FM7" s="4" t="s">
        <v>1360</v>
      </c>
      <c r="FO7" s="4" t="s">
        <v>1209</v>
      </c>
      <c r="FP7" s="4" t="s">
        <v>1368</v>
      </c>
    </row>
    <row r="8" spans="1:172" x14ac:dyDescent="0.35">
      <c r="C8" s="3" t="s">
        <v>105</v>
      </c>
      <c r="E8" s="3" t="s">
        <v>81</v>
      </c>
      <c r="I8" s="3" t="s">
        <v>106</v>
      </c>
      <c r="K8" s="3" t="s">
        <v>107</v>
      </c>
      <c r="M8" s="3" t="s">
        <v>108</v>
      </c>
      <c r="O8" s="3" t="s">
        <v>109</v>
      </c>
      <c r="P8" s="3" t="s">
        <v>110</v>
      </c>
      <c r="Q8" s="3" t="s">
        <v>111</v>
      </c>
      <c r="R8" s="4" t="s">
        <v>126</v>
      </c>
      <c r="S8" s="4" t="s">
        <v>133</v>
      </c>
      <c r="T8" s="4" t="s">
        <v>331</v>
      </c>
      <c r="U8" s="4" t="s">
        <v>350</v>
      </c>
      <c r="V8" s="4" t="s">
        <v>371</v>
      </c>
      <c r="W8" s="4" t="s">
        <v>136</v>
      </c>
      <c r="X8" s="4" t="s">
        <v>394</v>
      </c>
      <c r="Y8" s="4" t="s">
        <v>405</v>
      </c>
      <c r="Z8" s="4" t="s">
        <v>421</v>
      </c>
      <c r="AA8" s="4" t="s">
        <v>431</v>
      </c>
      <c r="AB8" s="4" t="s">
        <v>448</v>
      </c>
      <c r="AC8" s="4" t="s">
        <v>459</v>
      </c>
      <c r="AD8" s="4" t="s">
        <v>464</v>
      </c>
      <c r="AE8" s="4" t="s">
        <v>468</v>
      </c>
      <c r="AF8" s="4" t="s">
        <v>483</v>
      </c>
      <c r="AG8" s="4" t="s">
        <v>488</v>
      </c>
      <c r="AH8" s="4" t="s">
        <v>493</v>
      </c>
      <c r="AI8" s="4" t="s">
        <v>435</v>
      </c>
      <c r="AJ8" s="4" t="s">
        <v>506</v>
      </c>
      <c r="AK8" s="4" t="s">
        <v>488</v>
      </c>
      <c r="AM8" s="4" t="s">
        <v>521</v>
      </c>
      <c r="AN8" s="4" t="s">
        <v>530</v>
      </c>
      <c r="AP8" s="4" t="s">
        <v>543</v>
      </c>
      <c r="AQ8" s="4" t="s">
        <v>552</v>
      </c>
      <c r="AT8" s="4" t="s">
        <v>568</v>
      </c>
      <c r="AU8" s="4" t="s">
        <v>576</v>
      </c>
      <c r="AV8" s="4" t="s">
        <v>585</v>
      </c>
      <c r="AY8" s="4" t="s">
        <v>598</v>
      </c>
      <c r="AZ8" s="4" t="s">
        <v>605</v>
      </c>
      <c r="BA8" s="4" t="s">
        <v>612</v>
      </c>
      <c r="BB8" s="4" t="s">
        <v>629</v>
      </c>
      <c r="BE8" s="4" t="s">
        <v>647</v>
      </c>
      <c r="BF8" s="4" t="s">
        <v>649</v>
      </c>
      <c r="BG8" s="4" t="s">
        <v>661</v>
      </c>
      <c r="BH8" s="4" t="s">
        <v>669</v>
      </c>
      <c r="BI8" s="4" t="s">
        <v>679</v>
      </c>
      <c r="BJ8" s="4" t="s">
        <v>450</v>
      </c>
      <c r="BK8" s="4" t="s">
        <v>692</v>
      </c>
      <c r="BL8" s="4" t="s">
        <v>702</v>
      </c>
      <c r="BM8" s="4" t="s">
        <v>483</v>
      </c>
      <c r="BO8" s="4" t="s">
        <v>720</v>
      </c>
      <c r="BQ8" s="4" t="s">
        <v>730</v>
      </c>
      <c r="BR8" s="4" t="s">
        <v>741</v>
      </c>
      <c r="BS8" s="4" t="s">
        <v>751</v>
      </c>
      <c r="BV8" s="4" t="s">
        <v>766</v>
      </c>
      <c r="BW8" s="4" t="s">
        <v>780</v>
      </c>
      <c r="BX8" s="4" t="s">
        <v>785</v>
      </c>
      <c r="CB8" s="4" t="s">
        <v>808</v>
      </c>
      <c r="CH8" s="4" t="s">
        <v>441</v>
      </c>
      <c r="CK8" s="4" t="s">
        <v>81</v>
      </c>
      <c r="CO8" s="4" t="s">
        <v>848</v>
      </c>
      <c r="CQ8" s="4" t="s">
        <v>863</v>
      </c>
      <c r="CR8" s="4" t="s">
        <v>123</v>
      </c>
      <c r="CU8" s="4" t="s">
        <v>877</v>
      </c>
      <c r="CV8" s="4" t="s">
        <v>884</v>
      </c>
      <c r="CW8" s="4" t="s">
        <v>891</v>
      </c>
      <c r="CX8" s="4" t="s">
        <v>900</v>
      </c>
      <c r="DE8" s="4" t="s">
        <v>944</v>
      </c>
      <c r="DG8" s="4" t="s">
        <v>969</v>
      </c>
      <c r="DH8" s="4" t="s">
        <v>976</v>
      </c>
      <c r="DI8" s="4" t="s">
        <v>986</v>
      </c>
      <c r="DJ8" s="4" t="s">
        <v>997</v>
      </c>
      <c r="DK8" s="4" t="s">
        <v>1005</v>
      </c>
      <c r="DL8" s="4" t="s">
        <v>1012</v>
      </c>
      <c r="DM8" s="4" t="s">
        <v>1017</v>
      </c>
      <c r="DO8" s="4" t="s">
        <v>1031</v>
      </c>
      <c r="DP8" s="4" t="s">
        <v>1038</v>
      </c>
      <c r="DQ8" s="4" t="s">
        <v>1044</v>
      </c>
      <c r="DR8" s="4" t="s">
        <v>1049</v>
      </c>
      <c r="DS8" s="4" t="s">
        <v>432</v>
      </c>
      <c r="DV8" s="4" t="s">
        <v>455</v>
      </c>
      <c r="DW8" s="4" t="s">
        <v>1068</v>
      </c>
      <c r="DX8" s="4" t="s">
        <v>483</v>
      </c>
      <c r="DY8" s="4" t="s">
        <v>1077</v>
      </c>
      <c r="DZ8" s="4" t="s">
        <v>659</v>
      </c>
      <c r="EA8" s="4" t="s">
        <v>1087</v>
      </c>
      <c r="EB8" s="4" t="s">
        <v>31</v>
      </c>
      <c r="EC8" s="4" t="s">
        <v>484</v>
      </c>
      <c r="ED8" s="4" t="s">
        <v>488</v>
      </c>
      <c r="EE8" s="4" t="s">
        <v>1115</v>
      </c>
      <c r="EF8" s="4" t="s">
        <v>1066</v>
      </c>
      <c r="EG8" s="4" t="s">
        <v>1122</v>
      </c>
      <c r="EH8" s="4" t="s">
        <v>1136</v>
      </c>
      <c r="EI8" s="4" t="s">
        <v>1150</v>
      </c>
      <c r="EJ8" s="4" t="s">
        <v>1154</v>
      </c>
      <c r="EK8" s="4" t="s">
        <v>1171</v>
      </c>
      <c r="EL8" s="4" t="s">
        <v>136</v>
      </c>
      <c r="EM8" s="4" t="s">
        <v>1182</v>
      </c>
      <c r="EN8" s="4" t="s">
        <v>1196</v>
      </c>
      <c r="EP8" s="4" t="s">
        <v>1208</v>
      </c>
      <c r="EQ8" s="4" t="s">
        <v>1219</v>
      </c>
      <c r="ES8" s="4" t="s">
        <v>1232</v>
      </c>
      <c r="ET8" s="4" t="s">
        <v>1235</v>
      </c>
      <c r="EU8" s="4" t="s">
        <v>1248</v>
      </c>
      <c r="EV8" s="4" t="s">
        <v>1259</v>
      </c>
      <c r="EW8" s="4" t="s">
        <v>1263</v>
      </c>
      <c r="EY8" s="4" t="s">
        <v>1273</v>
      </c>
      <c r="EZ8" s="4" t="s">
        <v>1282</v>
      </c>
      <c r="FC8" s="4" t="s">
        <v>1301</v>
      </c>
      <c r="FE8" s="4" t="s">
        <v>1319</v>
      </c>
      <c r="FI8" s="4" t="s">
        <v>1335</v>
      </c>
      <c r="FK8" s="4" t="s">
        <v>1346</v>
      </c>
      <c r="FO8" s="4" t="s">
        <v>1366</v>
      </c>
    </row>
    <row r="9" spans="1:172" x14ac:dyDescent="0.35">
      <c r="C9" s="3" t="s">
        <v>114</v>
      </c>
      <c r="E9" s="3" t="s">
        <v>95</v>
      </c>
      <c r="I9" s="3" t="s">
        <v>115</v>
      </c>
      <c r="K9" s="3" t="s">
        <v>116</v>
      </c>
      <c r="M9" s="3" t="s">
        <v>117</v>
      </c>
      <c r="O9" s="3" t="s">
        <v>118</v>
      </c>
      <c r="P9" s="3" t="s">
        <v>119</v>
      </c>
      <c r="R9" s="4" t="s">
        <v>157</v>
      </c>
      <c r="S9" s="4" t="s">
        <v>121</v>
      </c>
      <c r="T9" s="4" t="s">
        <v>336</v>
      </c>
      <c r="U9" s="4" t="s">
        <v>347</v>
      </c>
      <c r="V9" s="4" t="s">
        <v>372</v>
      </c>
      <c r="W9" s="4" t="s">
        <v>373</v>
      </c>
      <c r="X9" s="4" t="s">
        <v>392</v>
      </c>
      <c r="Y9" s="4" t="s">
        <v>391</v>
      </c>
      <c r="Z9" s="4" t="s">
        <v>420</v>
      </c>
      <c r="AA9" s="4" t="s">
        <v>437</v>
      </c>
      <c r="AB9" s="4" t="s">
        <v>450</v>
      </c>
      <c r="AC9" s="4" t="s">
        <v>462</v>
      </c>
      <c r="AE9" s="4" t="s">
        <v>411</v>
      </c>
      <c r="AF9" s="4" t="s">
        <v>450</v>
      </c>
      <c r="AG9" s="4" t="s">
        <v>472</v>
      </c>
      <c r="AH9" s="4" t="s">
        <v>492</v>
      </c>
      <c r="AI9" s="4" t="s">
        <v>42</v>
      </c>
      <c r="AJ9" s="4" t="s">
        <v>503</v>
      </c>
      <c r="AK9" s="4" t="s">
        <v>442</v>
      </c>
      <c r="AM9" s="4" t="s">
        <v>42</v>
      </c>
      <c r="AN9" s="4" t="s">
        <v>529</v>
      </c>
      <c r="AP9" s="4" t="s">
        <v>542</v>
      </c>
      <c r="AQ9" s="4" t="s">
        <v>551</v>
      </c>
      <c r="AU9" s="4" t="s">
        <v>575</v>
      </c>
      <c r="AV9" s="4" t="s">
        <v>584</v>
      </c>
      <c r="AY9" s="4" t="s">
        <v>597</v>
      </c>
      <c r="BB9" s="4" t="s">
        <v>628</v>
      </c>
      <c r="BE9" s="4" t="s">
        <v>442</v>
      </c>
      <c r="BF9" s="4" t="s">
        <v>652</v>
      </c>
      <c r="BG9" s="4" t="s">
        <v>658</v>
      </c>
      <c r="BH9" s="4" t="s">
        <v>652</v>
      </c>
      <c r="BI9" s="4" t="s">
        <v>678</v>
      </c>
      <c r="BJ9" s="4" t="s">
        <v>687</v>
      </c>
      <c r="BK9" s="4" t="s">
        <v>691</v>
      </c>
      <c r="BL9" s="4" t="s">
        <v>475</v>
      </c>
      <c r="BM9" s="4" t="s">
        <v>413</v>
      </c>
      <c r="BO9" s="4" t="s">
        <v>719</v>
      </c>
      <c r="BR9" s="4" t="s">
        <v>740</v>
      </c>
      <c r="BS9" s="4" t="s">
        <v>750</v>
      </c>
      <c r="BV9" s="4" t="s">
        <v>769</v>
      </c>
      <c r="BW9" s="4" t="s">
        <v>779</v>
      </c>
      <c r="CB9" s="4" t="s">
        <v>32</v>
      </c>
      <c r="CQ9" s="4" t="s">
        <v>862</v>
      </c>
      <c r="CR9" s="4" t="s">
        <v>129</v>
      </c>
      <c r="CU9" s="4" t="s">
        <v>876</v>
      </c>
      <c r="CV9" s="4" t="s">
        <v>883</v>
      </c>
      <c r="CX9" s="4" t="s">
        <v>906</v>
      </c>
      <c r="DE9" s="4" t="s">
        <v>943</v>
      </c>
      <c r="DG9" s="4" t="s">
        <v>968</v>
      </c>
      <c r="DH9" s="4" t="s">
        <v>975</v>
      </c>
      <c r="DI9" s="4" t="s">
        <v>985</v>
      </c>
      <c r="DJ9" s="4" t="s">
        <v>996</v>
      </c>
      <c r="DK9" s="4" t="s">
        <v>1009</v>
      </c>
      <c r="DL9" s="4" t="s">
        <v>1011</v>
      </c>
      <c r="DM9" s="4" t="s">
        <v>1019</v>
      </c>
      <c r="DO9" s="4" t="s">
        <v>1029</v>
      </c>
      <c r="DP9" s="4" t="s">
        <v>1026</v>
      </c>
      <c r="DQ9" s="4" t="s">
        <v>1043</v>
      </c>
      <c r="DR9" s="4" t="s">
        <v>1050</v>
      </c>
      <c r="DS9" s="4" t="s">
        <v>1058</v>
      </c>
      <c r="DV9" s="4" t="s">
        <v>472</v>
      </c>
      <c r="DW9" s="4" t="s">
        <v>455</v>
      </c>
      <c r="DX9" s="4" t="s">
        <v>488</v>
      </c>
      <c r="DY9" s="4" t="s">
        <v>1081</v>
      </c>
      <c r="DZ9" s="4" t="s">
        <v>450</v>
      </c>
      <c r="EA9" s="4" t="s">
        <v>1090</v>
      </c>
      <c r="EB9" s="4" t="s">
        <v>67</v>
      </c>
      <c r="EE9" s="4" t="s">
        <v>1114</v>
      </c>
      <c r="EG9" s="4" t="s">
        <v>637</v>
      </c>
      <c r="EH9" s="4" t="s">
        <v>1129</v>
      </c>
      <c r="EI9" s="4" t="s">
        <v>1143</v>
      </c>
      <c r="EJ9" s="4" t="s">
        <v>1159</v>
      </c>
      <c r="EK9" s="4" t="s">
        <v>1170</v>
      </c>
      <c r="EL9" s="4" t="s">
        <v>1066</v>
      </c>
      <c r="EM9" s="4" t="s">
        <v>1183</v>
      </c>
      <c r="EN9" s="4" t="s">
        <v>1195</v>
      </c>
      <c r="EP9" s="4" t="s">
        <v>1207</v>
      </c>
      <c r="EQ9" s="4" t="s">
        <v>1218</v>
      </c>
      <c r="ES9" s="4" t="s">
        <v>1230</v>
      </c>
      <c r="EU9" s="4" t="s">
        <v>1246</v>
      </c>
      <c r="EV9" s="4" t="s">
        <v>136</v>
      </c>
      <c r="EW9" s="4" t="s">
        <v>1266</v>
      </c>
      <c r="EY9" s="4" t="s">
        <v>1272</v>
      </c>
      <c r="EZ9" s="4" t="s">
        <v>1281</v>
      </c>
      <c r="FC9" s="4" t="s">
        <v>1300</v>
      </c>
      <c r="FE9" s="4" t="s">
        <v>1318</v>
      </c>
      <c r="FO9" s="4" t="s">
        <v>1367</v>
      </c>
    </row>
    <row r="10" spans="1:172" x14ac:dyDescent="0.35">
      <c r="I10" s="3" t="s">
        <v>122</v>
      </c>
      <c r="M10" s="3" t="s">
        <v>123</v>
      </c>
      <c r="O10" s="3" t="s">
        <v>124</v>
      </c>
      <c r="P10" s="3" t="s">
        <v>125</v>
      </c>
      <c r="R10" s="4" t="s">
        <v>37</v>
      </c>
      <c r="S10" s="4" t="s">
        <v>137</v>
      </c>
      <c r="T10" s="4" t="s">
        <v>133</v>
      </c>
      <c r="U10" s="4" t="s">
        <v>346</v>
      </c>
      <c r="V10" s="4" t="s">
        <v>363</v>
      </c>
      <c r="W10" s="4" t="s">
        <v>380</v>
      </c>
      <c r="X10" s="4" t="s">
        <v>384</v>
      </c>
      <c r="Y10" s="4" t="s">
        <v>397</v>
      </c>
      <c r="Z10" s="4" t="s">
        <v>419</v>
      </c>
      <c r="AA10" s="4" t="s">
        <v>438</v>
      </c>
      <c r="AB10" s="4" t="s">
        <v>449</v>
      </c>
      <c r="AC10" s="4" t="s">
        <v>457</v>
      </c>
      <c r="AE10" s="4" t="s">
        <v>410</v>
      </c>
      <c r="AF10" s="4" t="s">
        <v>412</v>
      </c>
      <c r="AH10" s="4" t="s">
        <v>442</v>
      </c>
      <c r="AJ10" s="4" t="s">
        <v>504</v>
      </c>
      <c r="AN10" s="4" t="s">
        <v>528</v>
      </c>
      <c r="AP10" s="4" t="s">
        <v>541</v>
      </c>
      <c r="AQ10" s="4" t="s">
        <v>550</v>
      </c>
      <c r="AV10" s="4" t="s">
        <v>583</v>
      </c>
      <c r="BB10" s="4" t="s">
        <v>627</v>
      </c>
      <c r="BE10" s="4" t="s">
        <v>474</v>
      </c>
      <c r="BF10" s="4" t="s">
        <v>60</v>
      </c>
      <c r="BG10" s="4" t="s">
        <v>660</v>
      </c>
      <c r="BH10" s="4" t="s">
        <v>671</v>
      </c>
      <c r="BI10" s="4" t="s">
        <v>674</v>
      </c>
      <c r="BJ10" s="4" t="s">
        <v>681</v>
      </c>
      <c r="BK10" s="4" t="s">
        <v>671</v>
      </c>
      <c r="BL10" s="4" t="s">
        <v>705</v>
      </c>
      <c r="BM10" s="4" t="s">
        <v>705</v>
      </c>
      <c r="BR10" s="4" t="s">
        <v>739</v>
      </c>
      <c r="BS10" s="4" t="s">
        <v>749</v>
      </c>
      <c r="BV10" s="4" t="s">
        <v>768</v>
      </c>
      <c r="BW10" s="4" t="s">
        <v>776</v>
      </c>
      <c r="CB10" s="4" t="s">
        <v>50</v>
      </c>
      <c r="CQ10" s="4" t="s">
        <v>861</v>
      </c>
      <c r="CU10" s="4" t="s">
        <v>875</v>
      </c>
      <c r="CX10" s="4" t="s">
        <v>905</v>
      </c>
      <c r="DE10" s="4" t="s">
        <v>942</v>
      </c>
      <c r="DG10" s="4" t="s">
        <v>967</v>
      </c>
      <c r="DI10" s="4" t="s">
        <v>984</v>
      </c>
      <c r="DJ10" s="4" t="s">
        <v>995</v>
      </c>
      <c r="DK10" s="4" t="s">
        <v>1008</v>
      </c>
      <c r="DM10" s="4" t="s">
        <v>1020</v>
      </c>
      <c r="DO10" s="4" t="s">
        <v>1028</v>
      </c>
      <c r="DP10" s="4" t="s">
        <v>1025</v>
      </c>
      <c r="DQ10" s="4" t="s">
        <v>1042</v>
      </c>
      <c r="DR10" s="4" t="s">
        <v>42</v>
      </c>
      <c r="DS10" s="4" t="s">
        <v>474</v>
      </c>
      <c r="DV10" s="4" t="s">
        <v>445</v>
      </c>
      <c r="DY10" s="4" t="s">
        <v>1080</v>
      </c>
      <c r="DZ10" s="4" t="s">
        <v>498</v>
      </c>
      <c r="EA10" s="4" t="s">
        <v>1092</v>
      </c>
      <c r="EB10" s="4" t="s">
        <v>21</v>
      </c>
      <c r="EE10" s="4" t="s">
        <v>1113</v>
      </c>
      <c r="EG10" s="4" t="s">
        <v>642</v>
      </c>
      <c r="EH10" s="4" t="s">
        <v>1132</v>
      </c>
      <c r="EI10" s="4" t="s">
        <v>1147</v>
      </c>
      <c r="EJ10" s="4" t="s">
        <v>1158</v>
      </c>
      <c r="EK10" s="4" t="s">
        <v>1169</v>
      </c>
      <c r="EL10" s="4" t="s">
        <v>1179</v>
      </c>
      <c r="EM10" s="4" t="s">
        <v>1187</v>
      </c>
      <c r="EN10" s="4" t="s">
        <v>1194</v>
      </c>
      <c r="EQ10" s="4" t="s">
        <v>1217</v>
      </c>
      <c r="EU10" s="4" t="s">
        <v>1247</v>
      </c>
      <c r="EV10" s="4" t="s">
        <v>1257</v>
      </c>
      <c r="EW10" s="4" t="s">
        <v>1265</v>
      </c>
      <c r="EZ10" s="4" t="s">
        <v>1280</v>
      </c>
      <c r="FC10" s="4" t="s">
        <v>1298</v>
      </c>
      <c r="FE10" s="4" t="s">
        <v>1314</v>
      </c>
    </row>
    <row r="11" spans="1:172" x14ac:dyDescent="0.35">
      <c r="I11" s="3" t="s">
        <v>128</v>
      </c>
      <c r="M11" s="3" t="s">
        <v>129</v>
      </c>
      <c r="O11" s="3" t="s">
        <v>130</v>
      </c>
      <c r="P11" s="3" t="s">
        <v>131</v>
      </c>
      <c r="R11" s="4" t="s">
        <v>149</v>
      </c>
      <c r="S11" s="4" t="s">
        <v>90</v>
      </c>
      <c r="T11" s="4" t="s">
        <v>329</v>
      </c>
      <c r="U11" s="4" t="s">
        <v>352</v>
      </c>
      <c r="V11" s="4" t="s">
        <v>364</v>
      </c>
      <c r="W11" s="4" t="s">
        <v>361</v>
      </c>
      <c r="X11" s="4" t="s">
        <v>385</v>
      </c>
      <c r="Y11" s="4" t="s">
        <v>407</v>
      </c>
      <c r="Z11" s="4" t="s">
        <v>356</v>
      </c>
      <c r="AA11" s="4" t="s">
        <v>433</v>
      </c>
      <c r="AB11" s="4" t="s">
        <v>446</v>
      </c>
      <c r="AC11" s="4" t="s">
        <v>428</v>
      </c>
      <c r="AE11" s="4" t="s">
        <v>42</v>
      </c>
      <c r="AF11" s="4" t="s">
        <v>476</v>
      </c>
      <c r="AH11" s="4" t="s">
        <v>445</v>
      </c>
      <c r="AJ11" s="4" t="s">
        <v>442</v>
      </c>
      <c r="AN11" s="4" t="s">
        <v>527</v>
      </c>
      <c r="AP11" s="4" t="s">
        <v>488</v>
      </c>
      <c r="BB11" s="4" t="s">
        <v>626</v>
      </c>
      <c r="BF11" s="4" t="s">
        <v>76</v>
      </c>
      <c r="BH11" s="4" t="s">
        <v>42</v>
      </c>
      <c r="BI11" s="4" t="s">
        <v>442</v>
      </c>
      <c r="BJ11" s="4" t="s">
        <v>136</v>
      </c>
      <c r="BK11" s="4" t="s">
        <v>503</v>
      </c>
      <c r="BL11" s="4" t="s">
        <v>42</v>
      </c>
      <c r="BM11" s="4" t="s">
        <v>711</v>
      </c>
      <c r="BR11" s="4" t="s">
        <v>738</v>
      </c>
      <c r="BS11" s="4" t="s">
        <v>748</v>
      </c>
      <c r="BW11" s="4" t="s">
        <v>778</v>
      </c>
      <c r="CB11" s="4" t="s">
        <v>68</v>
      </c>
      <c r="CQ11" s="4" t="s">
        <v>860</v>
      </c>
      <c r="CU11" s="4" t="s">
        <v>873</v>
      </c>
      <c r="CX11" s="4" t="s">
        <v>904</v>
      </c>
      <c r="DE11" s="4" t="s">
        <v>940</v>
      </c>
      <c r="DG11" s="4" t="s">
        <v>965</v>
      </c>
      <c r="DI11" s="4" t="s">
        <v>982</v>
      </c>
      <c r="DJ11" s="4" t="s">
        <v>994</v>
      </c>
      <c r="DK11" s="4" t="s">
        <v>1007</v>
      </c>
      <c r="DM11" s="4" t="s">
        <v>1016</v>
      </c>
      <c r="DO11" s="4" t="s">
        <v>1027</v>
      </c>
      <c r="DP11" s="4" t="s">
        <v>1037</v>
      </c>
      <c r="DR11" s="4" t="s">
        <v>76</v>
      </c>
      <c r="DS11" s="4" t="s">
        <v>1055</v>
      </c>
      <c r="DY11" s="4" t="s">
        <v>1079</v>
      </c>
      <c r="DZ11" s="4" t="s">
        <v>1050</v>
      </c>
      <c r="EA11" s="4" t="s">
        <v>509</v>
      </c>
      <c r="EB11" s="4" t="s">
        <v>1099</v>
      </c>
      <c r="EE11" s="4" t="s">
        <v>1112</v>
      </c>
      <c r="EG11" s="4" t="s">
        <v>1121</v>
      </c>
      <c r="EH11" s="4" t="s">
        <v>1130</v>
      </c>
      <c r="EI11" s="4" t="s">
        <v>1146</v>
      </c>
      <c r="EJ11" s="4" t="s">
        <v>1115</v>
      </c>
      <c r="EK11" s="4" t="s">
        <v>1167</v>
      </c>
      <c r="EL11" s="4" t="s">
        <v>1121</v>
      </c>
      <c r="EM11" s="4" t="s">
        <v>1186</v>
      </c>
      <c r="EN11" s="4" t="s">
        <v>1193</v>
      </c>
      <c r="EQ11" s="4" t="s">
        <v>1215</v>
      </c>
      <c r="EU11" s="4" t="s">
        <v>1242</v>
      </c>
      <c r="EW11" s="4" t="s">
        <v>121</v>
      </c>
      <c r="FC11" s="4" t="s">
        <v>1299</v>
      </c>
      <c r="FE11" s="4" t="s">
        <v>1099</v>
      </c>
    </row>
    <row r="12" spans="1:172" x14ac:dyDescent="0.35">
      <c r="M12" s="3" t="s">
        <v>134</v>
      </c>
      <c r="P12" s="3" t="s">
        <v>135</v>
      </c>
      <c r="R12" s="4" t="s">
        <v>151</v>
      </c>
      <c r="S12" s="4" t="s">
        <v>74</v>
      </c>
      <c r="T12" s="4" t="s">
        <v>335</v>
      </c>
      <c r="U12" s="4" t="s">
        <v>349</v>
      </c>
      <c r="V12" s="4" t="s">
        <v>362</v>
      </c>
      <c r="W12" s="4" t="s">
        <v>376</v>
      </c>
      <c r="X12" s="4" t="s">
        <v>112</v>
      </c>
      <c r="Y12" s="4" t="s">
        <v>401</v>
      </c>
      <c r="Z12" s="4" t="s">
        <v>418</v>
      </c>
      <c r="AA12" s="4" t="s">
        <v>435</v>
      </c>
      <c r="AB12" s="4" t="s">
        <v>447</v>
      </c>
      <c r="AC12" s="4" t="s">
        <v>432</v>
      </c>
      <c r="AF12" s="4" t="s">
        <v>482</v>
      </c>
      <c r="AN12" s="4" t="s">
        <v>526</v>
      </c>
      <c r="BB12" s="4" t="s">
        <v>625</v>
      </c>
      <c r="BF12" s="4" t="s">
        <v>432</v>
      </c>
      <c r="BH12" s="4" t="s">
        <v>667</v>
      </c>
      <c r="BI12" s="4" t="s">
        <v>455</v>
      </c>
      <c r="BJ12" s="4" t="s">
        <v>154</v>
      </c>
      <c r="BK12" s="4" t="s">
        <v>689</v>
      </c>
      <c r="BL12" s="4" t="s">
        <v>697</v>
      </c>
      <c r="BM12" s="4" t="s">
        <v>382</v>
      </c>
      <c r="CB12" s="4" t="s">
        <v>84</v>
      </c>
      <c r="CU12" s="4" t="s">
        <v>872</v>
      </c>
      <c r="CX12" s="4" t="s">
        <v>903</v>
      </c>
      <c r="DE12" s="4" t="s">
        <v>939</v>
      </c>
      <c r="DG12" s="4" t="s">
        <v>964</v>
      </c>
      <c r="DK12" s="4" t="s">
        <v>1004</v>
      </c>
      <c r="DM12" s="4" t="s">
        <v>909</v>
      </c>
      <c r="DP12" s="4" t="s">
        <v>1036</v>
      </c>
      <c r="DR12" s="4" t="s">
        <v>472</v>
      </c>
      <c r="DY12" s="4" t="s">
        <v>1082</v>
      </c>
      <c r="DZ12" s="4" t="s">
        <v>474</v>
      </c>
      <c r="EA12" s="4" t="s">
        <v>1086</v>
      </c>
      <c r="EG12" s="4" t="s">
        <v>1120</v>
      </c>
      <c r="EH12" s="4" t="s">
        <v>1133</v>
      </c>
      <c r="EJ12" s="4" t="s">
        <v>1114</v>
      </c>
      <c r="EL12" s="4" t="s">
        <v>1120</v>
      </c>
      <c r="EN12" s="4" t="s">
        <v>1199</v>
      </c>
      <c r="EU12" s="4" t="s">
        <v>136</v>
      </c>
      <c r="EW12" s="4" t="s">
        <v>1262</v>
      </c>
      <c r="FE12" s="4" t="s">
        <v>1315</v>
      </c>
    </row>
    <row r="13" spans="1:172" x14ac:dyDescent="0.35">
      <c r="M13" s="3" t="s">
        <v>138</v>
      </c>
      <c r="P13" s="3" t="s">
        <v>139</v>
      </c>
      <c r="R13" s="4" t="s">
        <v>55</v>
      </c>
      <c r="S13" s="4" t="s">
        <v>152</v>
      </c>
      <c r="T13" s="4" t="s">
        <v>334</v>
      </c>
      <c r="U13" s="4" t="s">
        <v>354</v>
      </c>
      <c r="V13" s="4" t="s">
        <v>368</v>
      </c>
      <c r="W13" s="4" t="s">
        <v>379</v>
      </c>
      <c r="X13" s="4" t="s">
        <v>390</v>
      </c>
      <c r="Y13" s="4" t="s">
        <v>141</v>
      </c>
      <c r="Z13" s="4" t="s">
        <v>417</v>
      </c>
      <c r="AA13" s="4" t="s">
        <v>76</v>
      </c>
      <c r="AB13" s="4" t="s">
        <v>60</v>
      </c>
      <c r="AC13" s="4" t="s">
        <v>442</v>
      </c>
      <c r="AF13" s="4" t="s">
        <v>481</v>
      </c>
      <c r="AN13" s="4" t="s">
        <v>523</v>
      </c>
      <c r="BB13" s="4" t="s">
        <v>624</v>
      </c>
      <c r="BF13" s="4" t="s">
        <v>655</v>
      </c>
      <c r="BH13" s="4" t="s">
        <v>432</v>
      </c>
      <c r="BJ13" s="4" t="s">
        <v>684</v>
      </c>
      <c r="BK13" s="4" t="s">
        <v>695</v>
      </c>
      <c r="BL13" s="4" t="s">
        <v>701</v>
      </c>
      <c r="BM13" s="4" t="s">
        <v>42</v>
      </c>
      <c r="CU13" s="4" t="s">
        <v>871</v>
      </c>
      <c r="CX13" s="4" t="s">
        <v>899</v>
      </c>
      <c r="DE13" s="4" t="s">
        <v>938</v>
      </c>
      <c r="DG13" s="4" t="s">
        <v>963</v>
      </c>
      <c r="DK13" s="4" t="s">
        <v>1003</v>
      </c>
      <c r="DM13" s="4" t="s">
        <v>709</v>
      </c>
      <c r="DR13" s="4" t="s">
        <v>445</v>
      </c>
      <c r="DZ13" s="4" t="s">
        <v>1061</v>
      </c>
      <c r="EA13" s="4" t="s">
        <v>1088</v>
      </c>
      <c r="EH13" s="4" t="s">
        <v>375</v>
      </c>
      <c r="EJ13" s="4" t="s">
        <v>1157</v>
      </c>
      <c r="EL13" s="4" t="s">
        <v>1178</v>
      </c>
      <c r="EN13" s="4" t="s">
        <v>1198</v>
      </c>
      <c r="EU13" s="4" t="s">
        <v>1245</v>
      </c>
    </row>
    <row r="14" spans="1:172" x14ac:dyDescent="0.35">
      <c r="P14" s="3" t="s">
        <v>142</v>
      </c>
      <c r="R14" s="4" t="s">
        <v>112</v>
      </c>
      <c r="S14" s="4" t="s">
        <v>141</v>
      </c>
      <c r="T14" s="4" t="s">
        <v>332</v>
      </c>
      <c r="U14" s="4" t="s">
        <v>351</v>
      </c>
      <c r="V14" s="4" t="s">
        <v>369</v>
      </c>
      <c r="W14" s="4" t="s">
        <v>381</v>
      </c>
      <c r="X14" s="4" t="s">
        <v>389</v>
      </c>
      <c r="Y14" s="4" t="s">
        <v>154</v>
      </c>
      <c r="Z14" s="4" t="s">
        <v>416</v>
      </c>
      <c r="AA14" s="4" t="s">
        <v>428</v>
      </c>
      <c r="AB14" s="4" t="s">
        <v>443</v>
      </c>
      <c r="AC14" s="4" t="s">
        <v>455</v>
      </c>
      <c r="AF14" s="4" t="s">
        <v>475</v>
      </c>
      <c r="BB14" s="4" t="s">
        <v>623</v>
      </c>
      <c r="BF14" s="4" t="s">
        <v>442</v>
      </c>
      <c r="BH14" s="4" t="s">
        <v>494</v>
      </c>
      <c r="BK14" s="4" t="s">
        <v>694</v>
      </c>
      <c r="BL14" s="4" t="s">
        <v>704</v>
      </c>
      <c r="BM14" s="4" t="s">
        <v>709</v>
      </c>
      <c r="CX14" s="4" t="s">
        <v>898</v>
      </c>
      <c r="DE14" s="4" t="s">
        <v>937</v>
      </c>
      <c r="DG14" s="4" t="s">
        <v>962</v>
      </c>
      <c r="DK14" s="4" t="s">
        <v>1002</v>
      </c>
      <c r="DM14" s="4" t="s">
        <v>908</v>
      </c>
      <c r="EA14" s="4" t="s">
        <v>445</v>
      </c>
      <c r="EH14" s="4" t="s">
        <v>1142</v>
      </c>
      <c r="EJ14" s="4" t="s">
        <v>1161</v>
      </c>
      <c r="EL14" s="4" t="s">
        <v>1060</v>
      </c>
      <c r="EN14" s="4" t="s">
        <v>1200</v>
      </c>
      <c r="EU14" s="4" t="s">
        <v>1255</v>
      </c>
    </row>
    <row r="15" spans="1:172" x14ac:dyDescent="0.35">
      <c r="R15" s="4" t="s">
        <v>73</v>
      </c>
      <c r="S15" s="4" t="s">
        <v>154</v>
      </c>
      <c r="T15" s="4" t="s">
        <v>90</v>
      </c>
      <c r="U15" s="4" t="s">
        <v>144</v>
      </c>
      <c r="V15" s="4" t="s">
        <v>136</v>
      </c>
      <c r="X15" s="4" t="s">
        <v>391</v>
      </c>
      <c r="Y15" s="4" t="s">
        <v>406</v>
      </c>
      <c r="Z15" s="4" t="s">
        <v>414</v>
      </c>
      <c r="AA15" s="4" t="s">
        <v>432</v>
      </c>
      <c r="AB15" s="4" t="s">
        <v>442</v>
      </c>
      <c r="AF15" s="4" t="s">
        <v>442</v>
      </c>
      <c r="BF15" s="4" t="s">
        <v>653</v>
      </c>
      <c r="BH15" s="4" t="s">
        <v>672</v>
      </c>
      <c r="BK15" s="4" t="s">
        <v>693</v>
      </c>
      <c r="BL15" s="4" t="s">
        <v>703</v>
      </c>
      <c r="BM15" s="4" t="s">
        <v>712</v>
      </c>
      <c r="DE15" s="4" t="s">
        <v>936</v>
      </c>
      <c r="DG15" s="4" t="s">
        <v>961</v>
      </c>
      <c r="DK15" s="4" t="s">
        <v>1001</v>
      </c>
      <c r="DM15" s="4" t="s">
        <v>660</v>
      </c>
      <c r="EH15" s="4" t="s">
        <v>1134</v>
      </c>
      <c r="EJ15" s="4" t="s">
        <v>1160</v>
      </c>
      <c r="EL15" s="4" t="s">
        <v>455</v>
      </c>
      <c r="EN15" s="4" t="s">
        <v>1192</v>
      </c>
      <c r="EU15" s="4" t="s">
        <v>127</v>
      </c>
    </row>
    <row r="16" spans="1:172" x14ac:dyDescent="0.35">
      <c r="A16" s="5" t="str">
        <f>$A$1&amp;"-"&amp;A2</f>
        <v>Desa Arjosari-KWT Ngudi Rejeki Lancar</v>
      </c>
      <c r="R16" s="4" t="s">
        <v>143</v>
      </c>
      <c r="S16" s="4" t="s">
        <v>146</v>
      </c>
      <c r="T16" s="4" t="s">
        <v>342</v>
      </c>
      <c r="U16" s="4" t="s">
        <v>345</v>
      </c>
      <c r="V16" s="4" t="s">
        <v>361</v>
      </c>
      <c r="X16" s="4" t="s">
        <v>395</v>
      </c>
      <c r="Y16" s="4" t="s">
        <v>403</v>
      </c>
      <c r="Z16" s="4" t="s">
        <v>413</v>
      </c>
      <c r="AB16" s="4" t="s">
        <v>445</v>
      </c>
      <c r="AF16" s="4" t="s">
        <v>173</v>
      </c>
      <c r="DE16" s="4" t="s">
        <v>935</v>
      </c>
      <c r="DG16" s="4" t="s">
        <v>956</v>
      </c>
      <c r="DM16" s="4" t="s">
        <v>1018</v>
      </c>
      <c r="EH16" s="4" t="s">
        <v>1135</v>
      </c>
      <c r="EL16" s="4" t="s">
        <v>472</v>
      </c>
      <c r="EU16" s="4" t="s">
        <v>1243</v>
      </c>
    </row>
    <row r="17" spans="1:151" x14ac:dyDescent="0.35">
      <c r="A17" s="5" t="str">
        <f t="shared" ref="A17:A20" si="0">$A$1&amp;"-"&amp;A3</f>
        <v>Desa Arjosari-Adil Makmur I</v>
      </c>
      <c r="R17" s="4" t="s">
        <v>120</v>
      </c>
      <c r="S17" s="4" t="s">
        <v>144</v>
      </c>
      <c r="T17" s="4" t="s">
        <v>136</v>
      </c>
      <c r="V17" s="4" t="s">
        <v>359</v>
      </c>
      <c r="Y17" s="4" t="s">
        <v>404</v>
      </c>
      <c r="Z17" s="4" t="s">
        <v>412</v>
      </c>
      <c r="AB17" s="4" t="s">
        <v>451</v>
      </c>
      <c r="AF17" s="4" t="s">
        <v>474</v>
      </c>
      <c r="DE17" s="4" t="s">
        <v>934</v>
      </c>
      <c r="DG17" s="4" t="s">
        <v>960</v>
      </c>
      <c r="EL17" s="4" t="s">
        <v>1061</v>
      </c>
      <c r="EU17" s="4" t="s">
        <v>1244</v>
      </c>
    </row>
    <row r="18" spans="1:151" x14ac:dyDescent="0.35">
      <c r="A18" s="5" t="str">
        <f t="shared" si="0"/>
        <v>Desa Arjosari-Adil Makmur II</v>
      </c>
      <c r="R18" s="4" t="s">
        <v>155</v>
      </c>
      <c r="S18" s="4" t="s">
        <v>148</v>
      </c>
      <c r="T18" s="4" t="s">
        <v>154</v>
      </c>
      <c r="Y18" s="4" t="s">
        <v>409</v>
      </c>
      <c r="Z18" s="4" t="s">
        <v>411</v>
      </c>
      <c r="AF18" s="4" t="s">
        <v>472</v>
      </c>
      <c r="DE18" s="4" t="s">
        <v>933</v>
      </c>
      <c r="DG18" s="4" t="s">
        <v>959</v>
      </c>
      <c r="EL18" s="4" t="s">
        <v>1173</v>
      </c>
    </row>
    <row r="19" spans="1:151" x14ac:dyDescent="0.35">
      <c r="A19" s="5" t="str">
        <f t="shared" si="0"/>
        <v>Desa Arjosari-Adil Makmur III</v>
      </c>
      <c r="R19" s="4" t="s">
        <v>147</v>
      </c>
      <c r="S19" s="4" t="s">
        <v>127</v>
      </c>
      <c r="T19" s="4" t="s">
        <v>144</v>
      </c>
      <c r="Z19" s="4" t="s">
        <v>410</v>
      </c>
      <c r="DG19" s="4" t="s">
        <v>958</v>
      </c>
      <c r="EL19" s="4" t="s">
        <v>1177</v>
      </c>
    </row>
    <row r="20" spans="1:151" x14ac:dyDescent="0.35">
      <c r="A20" s="5" t="str">
        <f t="shared" si="0"/>
        <v>Desa Arjosari-Adil Makmur IV</v>
      </c>
      <c r="R20" s="4" t="s">
        <v>136</v>
      </c>
      <c r="S20" s="4" t="s">
        <v>158</v>
      </c>
      <c r="T20" s="4" t="s">
        <v>339</v>
      </c>
      <c r="Z20" s="4" t="s">
        <v>42</v>
      </c>
      <c r="DG20" s="4" t="s">
        <v>957</v>
      </c>
    </row>
    <row r="21" spans="1:151" x14ac:dyDescent="0.35">
      <c r="R21" s="4" t="s">
        <v>140</v>
      </c>
      <c r="S21" s="4" t="s">
        <v>156</v>
      </c>
      <c r="T21" s="4" t="s">
        <v>341</v>
      </c>
      <c r="Z21" s="4" t="s">
        <v>415</v>
      </c>
    </row>
    <row r="22" spans="1:151" x14ac:dyDescent="0.35">
      <c r="R22" s="4" t="s">
        <v>161</v>
      </c>
      <c r="S22" s="4" t="s">
        <v>56</v>
      </c>
      <c r="T22" s="4" t="s">
        <v>340</v>
      </c>
    </row>
    <row r="23" spans="1:151" x14ac:dyDescent="0.35">
      <c r="R23" s="4" t="s">
        <v>159</v>
      </c>
      <c r="T23" s="4" t="s">
        <v>333</v>
      </c>
    </row>
    <row r="24" spans="1:151" x14ac:dyDescent="0.35">
      <c r="T24" s="4" t="s">
        <v>338</v>
      </c>
    </row>
  </sheetData>
  <conditionalFormatting sqref="A1:Q1">
    <cfRule type="duplicateValues" dxfId="14" priority="13"/>
  </conditionalFormatting>
  <conditionalFormatting sqref="R1:Y1">
    <cfRule type="duplicateValues" dxfId="13" priority="11"/>
    <cfRule type="duplicateValues" dxfId="12" priority="12"/>
  </conditionalFormatting>
  <conditionalFormatting sqref="Z1:AK1">
    <cfRule type="duplicateValues" dxfId="11" priority="9"/>
    <cfRule type="duplicateValues" dxfId="10" priority="10"/>
  </conditionalFormatting>
  <conditionalFormatting sqref="AL1:BD1">
    <cfRule type="duplicateValues" dxfId="9" priority="7"/>
    <cfRule type="duplicateValues" dxfId="8" priority="8"/>
  </conditionalFormatting>
  <conditionalFormatting sqref="BN1:CE1">
    <cfRule type="duplicateValues" dxfId="7" priority="6"/>
  </conditionalFormatting>
  <conditionalFormatting sqref="CF1:DD1">
    <cfRule type="duplicateValues" dxfId="6" priority="5"/>
  </conditionalFormatting>
  <conditionalFormatting sqref="DR1:ED1">
    <cfRule type="duplicateValues" dxfId="5" priority="4"/>
  </conditionalFormatting>
  <conditionalFormatting sqref="EE1:EN1">
    <cfRule type="duplicateValues" dxfId="4" priority="3"/>
  </conditionalFormatting>
  <conditionalFormatting sqref="EO1:EY1">
    <cfRule type="duplicateValues" dxfId="3" priority="2"/>
  </conditionalFormatting>
  <conditionalFormatting sqref="EZ1:FP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X13"/>
  <sheetViews>
    <sheetView workbookViewId="0">
      <selection activeCell="T7" sqref="T7"/>
    </sheetView>
  </sheetViews>
  <sheetFormatPr defaultRowHeight="14.5" x14ac:dyDescent="0.35"/>
  <cols>
    <col min="1" max="1" width="52.90625" style="15" bestFit="1" customWidth="1"/>
    <col min="2" max="2" width="24.81640625" bestFit="1" customWidth="1"/>
    <col min="3" max="3" width="28.453125" style="15" bestFit="1" customWidth="1"/>
    <col min="4" max="4" width="32.26953125" style="15" bestFit="1" customWidth="1"/>
    <col min="5" max="5" width="46.453125" style="15" bestFit="1" customWidth="1"/>
    <col min="6" max="6" width="53.36328125" style="15" bestFit="1" customWidth="1"/>
    <col min="7" max="7" width="25.81640625" style="15" bestFit="1" customWidth="1"/>
    <col min="8" max="10" width="26.54296875" style="15" customWidth="1"/>
    <col min="11" max="11" width="181.453125" style="15" bestFit="1" customWidth="1"/>
    <col min="12" max="12" width="8.7265625" style="15"/>
    <col min="13" max="13" width="14.1796875" style="15" bestFit="1" customWidth="1"/>
    <col min="14" max="14" width="13.6328125" style="15" bestFit="1" customWidth="1"/>
    <col min="15" max="15" width="16.7265625" style="15" bestFit="1" customWidth="1"/>
    <col min="16" max="16" width="16.453125" style="15" bestFit="1" customWidth="1"/>
    <col min="17" max="17" width="16.08984375" style="15" bestFit="1" customWidth="1"/>
    <col min="18" max="18" width="14.90625" style="15" bestFit="1" customWidth="1"/>
    <col min="19" max="19" width="17.54296875" style="15" bestFit="1" customWidth="1"/>
    <col min="20" max="20" width="18.453125" style="15" bestFit="1" customWidth="1"/>
    <col min="21" max="21" width="16.54296875" style="15" bestFit="1" customWidth="1"/>
    <col min="22" max="22" width="29.90625" style="15" bestFit="1" customWidth="1"/>
    <col min="23" max="23" width="21.90625" style="15" bestFit="1" customWidth="1"/>
    <col min="24" max="24" width="45.90625" style="15" bestFit="1" customWidth="1"/>
    <col min="25" max="16384" width="8.7265625" style="15"/>
  </cols>
  <sheetData>
    <row r="1" spans="1:24" x14ac:dyDescent="0.35">
      <c r="A1" s="11" t="s">
        <v>1398</v>
      </c>
      <c r="B1" s="12" t="s">
        <v>1382</v>
      </c>
      <c r="C1" s="12" t="s">
        <v>1399</v>
      </c>
      <c r="D1" s="12" t="s">
        <v>1400</v>
      </c>
      <c r="E1" s="12" t="s">
        <v>1401</v>
      </c>
      <c r="F1" s="12" t="s">
        <v>1402</v>
      </c>
      <c r="G1" s="11" t="s">
        <v>1415</v>
      </c>
      <c r="H1" s="11" t="s">
        <v>1396</v>
      </c>
      <c r="I1" s="11" t="s">
        <v>1416</v>
      </c>
      <c r="J1" s="11" t="s">
        <v>1397</v>
      </c>
      <c r="K1" s="11" t="s">
        <v>1417</v>
      </c>
      <c r="M1" s="13" t="s">
        <v>1403</v>
      </c>
      <c r="N1" s="13" t="s">
        <v>1408</v>
      </c>
      <c r="O1" s="13" t="s">
        <v>1404</v>
      </c>
      <c r="P1" s="13" t="s">
        <v>1409</v>
      </c>
      <c r="Q1" s="13" t="s">
        <v>1411</v>
      </c>
      <c r="R1" s="13" t="s">
        <v>1405</v>
      </c>
      <c r="S1" s="13" t="s">
        <v>1410</v>
      </c>
      <c r="T1" s="13" t="s">
        <v>1412</v>
      </c>
      <c r="U1" s="13" t="s">
        <v>1413</v>
      </c>
      <c r="V1" s="13" t="s">
        <v>1414</v>
      </c>
      <c r="W1" s="13" t="s">
        <v>1406</v>
      </c>
      <c r="X1" s="13" t="s">
        <v>1407</v>
      </c>
    </row>
    <row r="2" spans="1:24" x14ac:dyDescent="0.35">
      <c r="A2" s="13" t="s">
        <v>1382</v>
      </c>
      <c r="B2" s="13" t="s">
        <v>1403</v>
      </c>
      <c r="C2" s="13" t="s">
        <v>1404</v>
      </c>
      <c r="D2" s="13" t="s">
        <v>1405</v>
      </c>
      <c r="E2" s="13" t="s">
        <v>1406</v>
      </c>
      <c r="F2" s="13" t="s">
        <v>1407</v>
      </c>
      <c r="G2" s="13" t="s">
        <v>1403</v>
      </c>
      <c r="H2" s="13" t="s">
        <v>1418</v>
      </c>
      <c r="I2" s="13" t="s">
        <v>1419</v>
      </c>
      <c r="J2" s="13" t="s">
        <v>1420</v>
      </c>
      <c r="K2" s="13" t="s">
        <v>1421</v>
      </c>
    </row>
    <row r="3" spans="1:24" x14ac:dyDescent="0.35">
      <c r="A3" s="13" t="s">
        <v>1399</v>
      </c>
      <c r="B3" s="13" t="s">
        <v>1408</v>
      </c>
      <c r="C3" s="13" t="s">
        <v>1409</v>
      </c>
      <c r="D3" s="13" t="s">
        <v>1410</v>
      </c>
      <c r="E3" s="13"/>
      <c r="F3" s="13"/>
      <c r="G3" s="13" t="s">
        <v>1408</v>
      </c>
      <c r="H3" s="13" t="s">
        <v>1422</v>
      </c>
      <c r="I3" s="13" t="s">
        <v>1423</v>
      </c>
      <c r="J3" s="13" t="s">
        <v>1424</v>
      </c>
      <c r="K3" s="13" t="s">
        <v>1425</v>
      </c>
    </row>
    <row r="4" spans="1:24" x14ac:dyDescent="0.35">
      <c r="A4" s="13" t="s">
        <v>1400</v>
      </c>
      <c r="B4" s="13"/>
      <c r="C4" s="13" t="s">
        <v>1411</v>
      </c>
      <c r="D4" s="13" t="s">
        <v>1412</v>
      </c>
      <c r="E4" s="13"/>
      <c r="F4" s="13"/>
      <c r="G4" s="13" t="s">
        <v>1404</v>
      </c>
      <c r="H4" s="13" t="s">
        <v>1426</v>
      </c>
      <c r="I4" s="13" t="s">
        <v>1427</v>
      </c>
      <c r="J4" s="13" t="s">
        <v>1428</v>
      </c>
      <c r="K4" s="13" t="s">
        <v>1429</v>
      </c>
    </row>
    <row r="5" spans="1:24" x14ac:dyDescent="0.35">
      <c r="A5" s="13" t="s">
        <v>1401</v>
      </c>
      <c r="B5" s="13"/>
      <c r="C5" s="13"/>
      <c r="D5" s="13" t="s">
        <v>1413</v>
      </c>
      <c r="E5" s="13"/>
      <c r="F5" s="13"/>
      <c r="G5" s="13" t="s">
        <v>1409</v>
      </c>
      <c r="H5" s="13" t="s">
        <v>1430</v>
      </c>
      <c r="I5" s="13" t="s">
        <v>1431</v>
      </c>
      <c r="J5" s="13" t="s">
        <v>1432</v>
      </c>
      <c r="K5" s="13" t="s">
        <v>1433</v>
      </c>
    </row>
    <row r="6" spans="1:24" x14ac:dyDescent="0.35">
      <c r="A6" s="13" t="s">
        <v>1402</v>
      </c>
      <c r="B6" s="13"/>
      <c r="C6" s="13"/>
      <c r="D6" s="13" t="s">
        <v>1414</v>
      </c>
      <c r="E6" s="13"/>
      <c r="F6" s="13"/>
      <c r="G6" s="13" t="s">
        <v>1411</v>
      </c>
      <c r="H6" s="13" t="s">
        <v>1434</v>
      </c>
      <c r="I6" s="13" t="s">
        <v>1435</v>
      </c>
      <c r="J6" s="13" t="s">
        <v>1436</v>
      </c>
      <c r="K6" s="13" t="s">
        <v>1437</v>
      </c>
    </row>
    <row r="7" spans="1:24" x14ac:dyDescent="0.35">
      <c r="G7" s="13" t="s">
        <v>1405</v>
      </c>
      <c r="H7" s="13" t="s">
        <v>1438</v>
      </c>
      <c r="I7" s="13" t="s">
        <v>1439</v>
      </c>
      <c r="J7" s="13" t="s">
        <v>1440</v>
      </c>
      <c r="K7" s="13" t="s">
        <v>1441</v>
      </c>
    </row>
    <row r="8" spans="1:24" x14ac:dyDescent="0.35">
      <c r="G8" s="13" t="s">
        <v>1410</v>
      </c>
      <c r="H8" s="13" t="s">
        <v>1442</v>
      </c>
      <c r="I8" s="13" t="s">
        <v>1443</v>
      </c>
      <c r="J8" s="13" t="s">
        <v>1444</v>
      </c>
      <c r="K8" s="13" t="s">
        <v>1445</v>
      </c>
    </row>
    <row r="9" spans="1:24" x14ac:dyDescent="0.35">
      <c r="G9" s="13" t="s">
        <v>1412</v>
      </c>
      <c r="H9" s="13" t="s">
        <v>1446</v>
      </c>
      <c r="I9" s="13" t="s">
        <v>1447</v>
      </c>
      <c r="J9" s="13" t="s">
        <v>1448</v>
      </c>
      <c r="K9" s="13" t="s">
        <v>1449</v>
      </c>
    </row>
    <row r="10" spans="1:24" x14ac:dyDescent="0.35">
      <c r="G10" s="13" t="s">
        <v>1413</v>
      </c>
      <c r="H10" s="13" t="s">
        <v>1450</v>
      </c>
      <c r="I10" s="13" t="s">
        <v>1451</v>
      </c>
      <c r="J10" s="13" t="s">
        <v>1452</v>
      </c>
      <c r="K10" s="13" t="s">
        <v>1453</v>
      </c>
    </row>
    <row r="11" spans="1:24" x14ac:dyDescent="0.35">
      <c r="G11" s="13" t="s">
        <v>1414</v>
      </c>
      <c r="H11" s="13" t="s">
        <v>1454</v>
      </c>
      <c r="I11" s="13" t="s">
        <v>1455</v>
      </c>
      <c r="J11" s="13" t="s">
        <v>1456</v>
      </c>
      <c r="K11" s="13" t="s">
        <v>1457</v>
      </c>
    </row>
    <row r="12" spans="1:24" x14ac:dyDescent="0.35">
      <c r="G12" s="13" t="s">
        <v>1406</v>
      </c>
      <c r="H12" s="13" t="s">
        <v>1458</v>
      </c>
      <c r="I12" s="13" t="s">
        <v>1459</v>
      </c>
      <c r="J12" s="13" t="s">
        <v>1460</v>
      </c>
      <c r="K12" s="13" t="s">
        <v>1461</v>
      </c>
    </row>
    <row r="13" spans="1:24" x14ac:dyDescent="0.35">
      <c r="G13" s="13" t="s">
        <v>1407</v>
      </c>
      <c r="H13" s="13" t="s">
        <v>1462</v>
      </c>
      <c r="I13" s="13" t="s">
        <v>1463</v>
      </c>
      <c r="J13" s="13" t="s">
        <v>1464</v>
      </c>
      <c r="K13" s="13" t="s">
        <v>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F6"/>
  <sheetViews>
    <sheetView zoomScale="85" zoomScaleNormal="85" workbookViewId="0">
      <selection activeCell="B1" sqref="B1:B1048576"/>
    </sheetView>
  </sheetViews>
  <sheetFormatPr defaultRowHeight="14.5" x14ac:dyDescent="0.35"/>
  <cols>
    <col min="1" max="1" width="52.90625" bestFit="1" customWidth="1"/>
    <col min="2" max="2" width="24.81640625" bestFit="1" customWidth="1"/>
    <col min="3" max="3" width="28.7265625" bestFit="1" customWidth="1"/>
    <col min="4" max="4" width="32.36328125" bestFit="1" customWidth="1"/>
    <col min="5" max="5" width="46.54296875" bestFit="1" customWidth="1"/>
    <col min="6" max="6" width="53.54296875" bestFit="1" customWidth="1"/>
  </cols>
  <sheetData>
    <row r="1" spans="1:6" x14ac:dyDescent="0.35">
      <c r="A1" s="11" t="s">
        <v>1398</v>
      </c>
      <c r="B1" s="12" t="s">
        <v>1382</v>
      </c>
      <c r="C1" s="12" t="s">
        <v>1399</v>
      </c>
      <c r="D1" s="12" t="s">
        <v>1400</v>
      </c>
      <c r="E1" s="12" t="s">
        <v>1401</v>
      </c>
      <c r="F1" s="12" t="s">
        <v>1402</v>
      </c>
    </row>
    <row r="2" spans="1:6" x14ac:dyDescent="0.35">
      <c r="A2" s="13" t="s">
        <v>1382</v>
      </c>
      <c r="B2" s="13" t="s">
        <v>1403</v>
      </c>
      <c r="C2" s="13" t="s">
        <v>1404</v>
      </c>
      <c r="D2" s="13" t="s">
        <v>1405</v>
      </c>
      <c r="E2" s="13" t="s">
        <v>1406</v>
      </c>
      <c r="F2" s="13" t="s">
        <v>1407</v>
      </c>
    </row>
    <row r="3" spans="1:6" x14ac:dyDescent="0.35">
      <c r="A3" s="13" t="s">
        <v>1399</v>
      </c>
      <c r="B3" s="13" t="s">
        <v>1408</v>
      </c>
      <c r="C3" s="13" t="s">
        <v>1409</v>
      </c>
      <c r="D3" s="13" t="s">
        <v>1410</v>
      </c>
      <c r="E3" s="13"/>
      <c r="F3" s="13"/>
    </row>
    <row r="4" spans="1:6" x14ac:dyDescent="0.35">
      <c r="A4" s="13" t="s">
        <v>1400</v>
      </c>
      <c r="B4" s="13"/>
      <c r="C4" s="13" t="s">
        <v>1411</v>
      </c>
      <c r="D4" s="13" t="s">
        <v>1412</v>
      </c>
      <c r="E4" s="13"/>
      <c r="F4" s="13"/>
    </row>
    <row r="5" spans="1:6" x14ac:dyDescent="0.35">
      <c r="A5" s="13" t="s">
        <v>1401</v>
      </c>
      <c r="B5" s="13"/>
      <c r="C5" s="13"/>
      <c r="D5" s="13" t="s">
        <v>1413</v>
      </c>
      <c r="E5" s="13"/>
      <c r="F5" s="13"/>
    </row>
    <row r="6" spans="1:6" x14ac:dyDescent="0.35">
      <c r="A6" s="13" t="s">
        <v>1402</v>
      </c>
      <c r="B6" s="13"/>
      <c r="C6" s="13"/>
      <c r="D6" s="13" t="s">
        <v>1414</v>
      </c>
      <c r="E6" s="13"/>
      <c r="F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E32"/>
  <sheetViews>
    <sheetView zoomScale="70" zoomScaleNormal="70" workbookViewId="0">
      <selection activeCell="B20" sqref="B20"/>
    </sheetView>
  </sheetViews>
  <sheetFormatPr defaultRowHeight="14.5" x14ac:dyDescent="0.35"/>
  <cols>
    <col min="1" max="1" width="27.54296875" customWidth="1"/>
    <col min="2" max="5" width="26.54296875" customWidth="1"/>
  </cols>
  <sheetData>
    <row r="1" spans="1:5" ht="22.5" customHeight="1" x14ac:dyDescent="0.35">
      <c r="A1" s="6" t="s">
        <v>1415</v>
      </c>
      <c r="B1" s="6" t="s">
        <v>1396</v>
      </c>
      <c r="C1" s="6" t="s">
        <v>1416</v>
      </c>
      <c r="D1" s="6" t="s">
        <v>1397</v>
      </c>
      <c r="E1" s="6" t="s">
        <v>1417</v>
      </c>
    </row>
    <row r="2" spans="1:5" s="15" customFormat="1" ht="58" x14ac:dyDescent="0.35">
      <c r="A2" s="14" t="s">
        <v>1403</v>
      </c>
      <c r="B2" s="14" t="s">
        <v>1418</v>
      </c>
      <c r="C2" s="14" t="s">
        <v>1419</v>
      </c>
      <c r="D2" s="14" t="s">
        <v>1420</v>
      </c>
      <c r="E2" s="14" t="s">
        <v>1421</v>
      </c>
    </row>
    <row r="3" spans="1:5" s="15" customFormat="1" ht="29" x14ac:dyDescent="0.35">
      <c r="A3" s="14" t="s">
        <v>1408</v>
      </c>
      <c r="B3" s="14" t="s">
        <v>1422</v>
      </c>
      <c r="C3" s="14" t="s">
        <v>1423</v>
      </c>
      <c r="D3" s="14" t="s">
        <v>1424</v>
      </c>
      <c r="E3" s="14" t="s">
        <v>1425</v>
      </c>
    </row>
    <row r="4" spans="1:5" ht="43.5" x14ac:dyDescent="0.35">
      <c r="A4" s="14" t="s">
        <v>1404</v>
      </c>
      <c r="B4" s="14" t="s">
        <v>1426</v>
      </c>
      <c r="C4" s="14" t="s">
        <v>1427</v>
      </c>
      <c r="D4" s="14" t="s">
        <v>1428</v>
      </c>
      <c r="E4" s="14" t="s">
        <v>1429</v>
      </c>
    </row>
    <row r="5" spans="1:5" ht="43.5" x14ac:dyDescent="0.35">
      <c r="A5" s="14" t="s">
        <v>1409</v>
      </c>
      <c r="B5" s="14" t="s">
        <v>1430</v>
      </c>
      <c r="C5" s="14" t="s">
        <v>1431</v>
      </c>
      <c r="D5" s="14" t="s">
        <v>1432</v>
      </c>
      <c r="E5" s="14" t="s">
        <v>1433</v>
      </c>
    </row>
    <row r="6" spans="1:5" ht="116" x14ac:dyDescent="0.35">
      <c r="A6" s="14" t="s">
        <v>1411</v>
      </c>
      <c r="B6" s="14" t="s">
        <v>1434</v>
      </c>
      <c r="C6" s="14" t="s">
        <v>1435</v>
      </c>
      <c r="D6" s="14" t="s">
        <v>1436</v>
      </c>
      <c r="E6" s="14" t="s">
        <v>1437</v>
      </c>
    </row>
    <row r="7" spans="1:5" ht="101.5" x14ac:dyDescent="0.35">
      <c r="A7" s="14" t="s">
        <v>1405</v>
      </c>
      <c r="B7" s="14" t="s">
        <v>1438</v>
      </c>
      <c r="C7" s="14" t="s">
        <v>1439</v>
      </c>
      <c r="D7" s="14" t="s">
        <v>1440</v>
      </c>
      <c r="E7" s="14" t="s">
        <v>1441</v>
      </c>
    </row>
    <row r="8" spans="1:5" ht="58" x14ac:dyDescent="0.35">
      <c r="A8" s="14" t="s">
        <v>1410</v>
      </c>
      <c r="B8" s="14" t="s">
        <v>1442</v>
      </c>
      <c r="C8" s="14" t="s">
        <v>1443</v>
      </c>
      <c r="D8" s="14" t="s">
        <v>1444</v>
      </c>
      <c r="E8" s="14" t="s">
        <v>1445</v>
      </c>
    </row>
    <row r="9" spans="1:5" ht="101.5" x14ac:dyDescent="0.35">
      <c r="A9" s="14" t="s">
        <v>1412</v>
      </c>
      <c r="B9" s="14" t="s">
        <v>1446</v>
      </c>
      <c r="C9" s="14" t="s">
        <v>1447</v>
      </c>
      <c r="D9" s="14" t="s">
        <v>1448</v>
      </c>
      <c r="E9" s="14" t="s">
        <v>1449</v>
      </c>
    </row>
    <row r="10" spans="1:5" ht="58" x14ac:dyDescent="0.35">
      <c r="A10" s="14" t="s">
        <v>1413</v>
      </c>
      <c r="B10" s="14" t="s">
        <v>1450</v>
      </c>
      <c r="C10" s="14" t="s">
        <v>1451</v>
      </c>
      <c r="D10" s="14" t="s">
        <v>1452</v>
      </c>
      <c r="E10" s="14" t="s">
        <v>1453</v>
      </c>
    </row>
    <row r="11" spans="1:5" ht="72.5" x14ac:dyDescent="0.35">
      <c r="A11" s="14" t="s">
        <v>1414</v>
      </c>
      <c r="B11" s="14" t="s">
        <v>1454</v>
      </c>
      <c r="C11" s="14" t="s">
        <v>1455</v>
      </c>
      <c r="D11" s="14" t="s">
        <v>1456</v>
      </c>
      <c r="E11" s="14" t="s">
        <v>1457</v>
      </c>
    </row>
    <row r="12" spans="1:5" ht="101.5" x14ac:dyDescent="0.35">
      <c r="A12" s="14" t="s">
        <v>1406</v>
      </c>
      <c r="B12" s="14" t="s">
        <v>1458</v>
      </c>
      <c r="C12" s="14" t="s">
        <v>1459</v>
      </c>
      <c r="D12" s="14" t="s">
        <v>1460</v>
      </c>
      <c r="E12" s="14" t="s">
        <v>1461</v>
      </c>
    </row>
    <row r="13" spans="1:5" ht="58" x14ac:dyDescent="0.35">
      <c r="A13" s="14" t="s">
        <v>1407</v>
      </c>
      <c r="B13" s="14" t="s">
        <v>1462</v>
      </c>
      <c r="C13" s="14" t="s">
        <v>1463</v>
      </c>
      <c r="D13" s="14" t="s">
        <v>1464</v>
      </c>
      <c r="E13" s="14" t="s">
        <v>1465</v>
      </c>
    </row>
    <row r="14" spans="1:5" x14ac:dyDescent="0.35">
      <c r="A14" s="16"/>
      <c r="B14" s="16"/>
      <c r="C14" s="16"/>
      <c r="D14" s="16"/>
      <c r="E14" s="16"/>
    </row>
    <row r="15" spans="1:5" x14ac:dyDescent="0.35">
      <c r="A15" s="16"/>
      <c r="B15" s="16"/>
      <c r="C15" s="16"/>
      <c r="D15" s="16"/>
      <c r="E15" s="16"/>
    </row>
    <row r="16" spans="1:5" x14ac:dyDescent="0.35">
      <c r="A16" s="16"/>
      <c r="B16" s="16"/>
      <c r="C16" s="16"/>
      <c r="D16" s="16"/>
      <c r="E16" s="16"/>
    </row>
    <row r="17" spans="1:5" x14ac:dyDescent="0.35">
      <c r="A17" s="16"/>
      <c r="B17" s="16"/>
      <c r="C17" s="16"/>
      <c r="D17" s="16"/>
      <c r="E17" s="16"/>
    </row>
    <row r="18" spans="1:5" x14ac:dyDescent="0.35">
      <c r="A18" s="16"/>
      <c r="B18" s="16"/>
      <c r="C18" s="16"/>
      <c r="D18" s="16"/>
      <c r="E18" s="16"/>
    </row>
    <row r="19" spans="1:5" x14ac:dyDescent="0.35">
      <c r="A19" s="16"/>
      <c r="B19" s="16"/>
      <c r="C19" s="16"/>
      <c r="D19" s="16"/>
      <c r="E19" s="16"/>
    </row>
    <row r="20" spans="1:5" x14ac:dyDescent="0.35">
      <c r="A20" s="16"/>
      <c r="B20" s="16"/>
      <c r="C20" s="16"/>
      <c r="D20" s="16"/>
      <c r="E20" s="16"/>
    </row>
    <row r="21" spans="1:5" x14ac:dyDescent="0.35">
      <c r="A21" s="16"/>
      <c r="B21" s="16"/>
      <c r="C21" s="16"/>
      <c r="D21" s="16"/>
      <c r="E21" s="16"/>
    </row>
    <row r="22" spans="1:5" x14ac:dyDescent="0.35">
      <c r="A22" s="16"/>
      <c r="B22" s="16"/>
      <c r="C22" s="16"/>
      <c r="D22" s="16"/>
      <c r="E22" s="16"/>
    </row>
    <row r="23" spans="1:5" x14ac:dyDescent="0.35">
      <c r="A23" s="16"/>
      <c r="B23" s="16"/>
      <c r="C23" s="16"/>
      <c r="D23" s="16"/>
      <c r="E23" s="16"/>
    </row>
    <row r="24" spans="1:5" x14ac:dyDescent="0.35">
      <c r="A24" s="16"/>
      <c r="B24" s="16"/>
      <c r="C24" s="16"/>
      <c r="D24" s="16"/>
      <c r="E24" s="16"/>
    </row>
    <row r="25" spans="1:5" x14ac:dyDescent="0.35">
      <c r="A25" s="16"/>
      <c r="B25" s="16"/>
      <c r="C25" s="16"/>
      <c r="D25" s="16"/>
      <c r="E25" s="16"/>
    </row>
    <row r="26" spans="1:5" x14ac:dyDescent="0.35">
      <c r="A26" s="16"/>
      <c r="B26" s="16"/>
      <c r="C26" s="16"/>
      <c r="D26" s="16"/>
      <c r="E26" s="16"/>
    </row>
    <row r="27" spans="1:5" x14ac:dyDescent="0.35">
      <c r="A27" s="16"/>
      <c r="B27" s="16"/>
      <c r="C27" s="16"/>
      <c r="D27" s="16"/>
      <c r="E27" s="16"/>
    </row>
    <row r="28" spans="1:5" x14ac:dyDescent="0.35">
      <c r="A28" s="16"/>
      <c r="B28" s="16"/>
      <c r="C28" s="16"/>
      <c r="D28" s="16"/>
      <c r="E28" s="16"/>
    </row>
    <row r="29" spans="1:5" x14ac:dyDescent="0.35">
      <c r="A29" s="16"/>
      <c r="B29" s="16"/>
      <c r="C29" s="16"/>
      <c r="D29" s="16"/>
      <c r="E29" s="16"/>
    </row>
    <row r="30" spans="1:5" x14ac:dyDescent="0.35">
      <c r="A30" s="16"/>
      <c r="B30" s="16"/>
      <c r="C30" s="16"/>
      <c r="D30" s="16"/>
      <c r="E30" s="16"/>
    </row>
    <row r="31" spans="1:5" x14ac:dyDescent="0.35">
      <c r="A31" s="16"/>
      <c r="B31" s="16"/>
      <c r="C31" s="16"/>
      <c r="D31" s="16"/>
      <c r="E31" s="16"/>
    </row>
    <row r="32" spans="1:5" x14ac:dyDescent="0.35">
      <c r="A32" s="16"/>
      <c r="B32" s="16"/>
      <c r="C32" s="16"/>
      <c r="D32" s="16"/>
      <c r="E32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1ECC-1794-45E4-B29D-844577CD59DB}">
  <sheetPr codeName="Sheet6"/>
  <dimension ref="B1:H64"/>
  <sheetViews>
    <sheetView showGridLines="0" zoomScale="115" zoomScaleNormal="115" workbookViewId="0">
      <selection activeCell="D6" sqref="D6:H6"/>
    </sheetView>
  </sheetViews>
  <sheetFormatPr defaultRowHeight="14.5" x14ac:dyDescent="0.35"/>
  <cols>
    <col min="1" max="1" width="5.7265625" customWidth="1"/>
    <col min="2" max="2" width="27.81640625" customWidth="1"/>
    <col min="3" max="3" width="2.36328125" style="5" customWidth="1"/>
    <col min="4" max="5" width="25.6328125" customWidth="1"/>
    <col min="6" max="6" width="10.453125" customWidth="1"/>
    <col min="7" max="8" width="16.08984375" style="5" customWidth="1"/>
  </cols>
  <sheetData>
    <row r="1" spans="2:8" ht="15.5" thickTop="1" thickBot="1" x14ac:dyDescent="0.4">
      <c r="B1" s="42"/>
      <c r="C1" s="43"/>
      <c r="D1" s="44"/>
      <c r="E1" s="44"/>
      <c r="F1" s="44"/>
      <c r="G1" s="43"/>
      <c r="H1" s="45"/>
    </row>
    <row r="2" spans="2:8" ht="20" customHeight="1" thickTop="1" thickBot="1" x14ac:dyDescent="0.4">
      <c r="B2" s="39" t="s">
        <v>162</v>
      </c>
      <c r="C2" s="40" t="s">
        <v>1374</v>
      </c>
      <c r="D2" s="152" t="s">
        <v>1</v>
      </c>
      <c r="E2" s="152"/>
      <c r="F2" s="152"/>
      <c r="G2" s="152"/>
      <c r="H2" s="153"/>
    </row>
    <row r="3" spans="2:8" ht="2" customHeight="1" thickTop="1" thickBot="1" x14ac:dyDescent="0.4">
      <c r="B3" s="46"/>
      <c r="C3" s="47"/>
      <c r="D3" s="48"/>
      <c r="E3" s="48"/>
      <c r="F3" s="48"/>
      <c r="G3" s="47"/>
      <c r="H3" s="49"/>
    </row>
    <row r="4" spans="2:8" s="10" customFormat="1" ht="20" customHeight="1" thickTop="1" thickBot="1" x14ac:dyDescent="0.4">
      <c r="B4" s="39" t="s">
        <v>1375</v>
      </c>
      <c r="C4" s="40" t="s">
        <v>1374</v>
      </c>
      <c r="D4" s="152" t="s">
        <v>1383</v>
      </c>
      <c r="E4" s="152"/>
      <c r="F4" s="152"/>
      <c r="G4" s="152"/>
      <c r="H4" s="153"/>
    </row>
    <row r="5" spans="2:8" ht="2" customHeight="1" thickTop="1" thickBot="1" x14ac:dyDescent="0.4">
      <c r="B5" s="46"/>
      <c r="C5" s="47"/>
      <c r="D5" s="50"/>
      <c r="E5" s="50"/>
      <c r="F5" s="50"/>
      <c r="G5" s="47"/>
      <c r="H5" s="49"/>
    </row>
    <row r="6" spans="2:8" s="10" customFormat="1" ht="20" customHeight="1" thickTop="1" thickBot="1" x14ac:dyDescent="0.4">
      <c r="B6" s="39" t="s">
        <v>1376</v>
      </c>
      <c r="C6" s="40" t="s">
        <v>1374</v>
      </c>
      <c r="D6" s="152" t="s">
        <v>2</v>
      </c>
      <c r="E6" s="152"/>
      <c r="F6" s="152"/>
      <c r="G6" s="152"/>
      <c r="H6" s="153"/>
    </row>
    <row r="7" spans="2:8" ht="15" thickTop="1" x14ac:dyDescent="0.35">
      <c r="B7" s="46"/>
      <c r="C7" s="47"/>
      <c r="D7" s="48"/>
      <c r="E7" s="48"/>
      <c r="F7" s="48"/>
      <c r="G7" s="47"/>
      <c r="H7" s="49"/>
    </row>
    <row r="8" spans="2:8" ht="2.5" customHeight="1" x14ac:dyDescent="0.35">
      <c r="B8" s="51"/>
      <c r="C8" s="52"/>
      <c r="D8" s="53"/>
      <c r="E8" s="53"/>
      <c r="F8" s="53"/>
      <c r="G8" s="52"/>
      <c r="H8" s="54"/>
    </row>
    <row r="9" spans="2:8" ht="6" customHeight="1" x14ac:dyDescent="0.35">
      <c r="B9" s="55"/>
      <c r="C9" s="56"/>
      <c r="D9" s="57"/>
      <c r="E9" s="57"/>
      <c r="F9" s="57"/>
      <c r="G9" s="56"/>
      <c r="H9" s="58"/>
    </row>
    <row r="10" spans="2:8" x14ac:dyDescent="0.35">
      <c r="B10" s="59" t="s">
        <v>1476</v>
      </c>
      <c r="C10" s="56"/>
      <c r="D10" s="57" t="s">
        <v>1483</v>
      </c>
      <c r="E10" s="57"/>
      <c r="F10" s="57"/>
      <c r="G10" s="56"/>
      <c r="H10" s="58"/>
    </row>
    <row r="11" spans="2:8" x14ac:dyDescent="0.35">
      <c r="B11" s="59" t="s">
        <v>1477</v>
      </c>
      <c r="C11" s="56"/>
      <c r="D11" s="57" t="s">
        <v>1483</v>
      </c>
      <c r="E11" s="57"/>
      <c r="F11" s="57"/>
      <c r="G11" s="56"/>
      <c r="H11" s="58"/>
    </row>
    <row r="12" spans="2:8" x14ac:dyDescent="0.35">
      <c r="B12" s="59" t="s">
        <v>1478</v>
      </c>
      <c r="C12" s="56"/>
      <c r="D12" s="57" t="s">
        <v>1483</v>
      </c>
      <c r="E12" s="57"/>
      <c r="F12" s="57"/>
      <c r="G12" s="56"/>
      <c r="H12" s="58"/>
    </row>
    <row r="13" spans="2:8" x14ac:dyDescent="0.35">
      <c r="B13" s="59" t="s">
        <v>1479</v>
      </c>
      <c r="C13" s="56"/>
      <c r="D13" s="57" t="s">
        <v>1483</v>
      </c>
      <c r="E13" s="57"/>
      <c r="F13" s="57"/>
      <c r="G13" s="56"/>
      <c r="H13" s="58"/>
    </row>
    <row r="14" spans="2:8" x14ac:dyDescent="0.35">
      <c r="B14" s="59" t="s">
        <v>1480</v>
      </c>
      <c r="C14" s="56"/>
      <c r="D14" s="57" t="s">
        <v>1483</v>
      </c>
      <c r="E14" s="57"/>
      <c r="F14" s="57"/>
      <c r="G14" s="56"/>
      <c r="H14" s="58"/>
    </row>
    <row r="15" spans="2:8" x14ac:dyDescent="0.35">
      <c r="B15" s="59" t="s">
        <v>1481</v>
      </c>
      <c r="C15" s="56"/>
      <c r="D15" s="57" t="s">
        <v>1483</v>
      </c>
      <c r="E15" s="57"/>
      <c r="F15" s="57"/>
      <c r="G15" s="56"/>
      <c r="H15" s="58"/>
    </row>
    <row r="16" spans="2:8" x14ac:dyDescent="0.35">
      <c r="B16" s="59" t="s">
        <v>1482</v>
      </c>
      <c r="C16" s="56">
        <v>1</v>
      </c>
      <c r="D16" s="57" t="s">
        <v>1483</v>
      </c>
      <c r="E16" s="57"/>
      <c r="F16" s="57" t="s">
        <v>1485</v>
      </c>
      <c r="G16" s="56" t="s">
        <v>1484</v>
      </c>
      <c r="H16" s="58"/>
    </row>
    <row r="17" spans="2:8" x14ac:dyDescent="0.35">
      <c r="B17" s="55"/>
      <c r="C17" s="56">
        <v>2</v>
      </c>
      <c r="D17" s="57" t="s">
        <v>1483</v>
      </c>
      <c r="E17" s="57"/>
      <c r="F17" s="57" t="s">
        <v>1485</v>
      </c>
      <c r="G17" s="56" t="s">
        <v>1484</v>
      </c>
      <c r="H17" s="58"/>
    </row>
    <row r="18" spans="2:8" x14ac:dyDescent="0.35">
      <c r="B18" s="55"/>
      <c r="C18" s="56">
        <v>3</v>
      </c>
      <c r="D18" s="57" t="s">
        <v>1483</v>
      </c>
      <c r="E18" s="57"/>
      <c r="F18" s="57" t="s">
        <v>1485</v>
      </c>
      <c r="G18" s="56" t="s">
        <v>1484</v>
      </c>
      <c r="H18" s="58"/>
    </row>
    <row r="19" spans="2:8" x14ac:dyDescent="0.35">
      <c r="B19" s="55"/>
      <c r="C19" s="56">
        <v>4</v>
      </c>
      <c r="D19" s="57" t="s">
        <v>1483</v>
      </c>
      <c r="E19" s="57"/>
      <c r="F19" s="57" t="s">
        <v>1485</v>
      </c>
      <c r="G19" s="56" t="s">
        <v>1484</v>
      </c>
      <c r="H19" s="58"/>
    </row>
    <row r="20" spans="2:8" x14ac:dyDescent="0.35">
      <c r="B20" s="55"/>
      <c r="C20" s="56">
        <v>5</v>
      </c>
      <c r="D20" s="57" t="s">
        <v>1483</v>
      </c>
      <c r="E20" s="57"/>
      <c r="F20" s="57" t="s">
        <v>1485</v>
      </c>
      <c r="G20" s="56" t="s">
        <v>1484</v>
      </c>
      <c r="H20" s="58"/>
    </row>
    <row r="21" spans="2:8" ht="6" customHeight="1" x14ac:dyDescent="0.35">
      <c r="B21" s="55"/>
      <c r="C21" s="56"/>
      <c r="D21" s="57"/>
      <c r="E21" s="57"/>
      <c r="F21" s="57"/>
      <c r="G21" s="56"/>
      <c r="H21" s="58"/>
    </row>
    <row r="22" spans="2:8" ht="2.5" customHeight="1" x14ac:dyDescent="0.35">
      <c r="B22" s="51"/>
      <c r="C22" s="52"/>
      <c r="D22" s="53"/>
      <c r="E22" s="53"/>
      <c r="F22" s="53"/>
      <c r="G22" s="52"/>
      <c r="H22" s="54"/>
    </row>
    <row r="23" spans="2:8" ht="6" customHeight="1" x14ac:dyDescent="0.35">
      <c r="B23" s="90"/>
      <c r="C23" s="91"/>
      <c r="D23" s="92"/>
      <c r="E23" s="92"/>
      <c r="F23" s="92"/>
      <c r="G23" s="91"/>
      <c r="H23" s="93"/>
    </row>
    <row r="24" spans="2:8" x14ac:dyDescent="0.35">
      <c r="B24" s="154" t="s">
        <v>1377</v>
      </c>
      <c r="C24" s="155"/>
      <c r="D24" s="155"/>
      <c r="E24" s="155"/>
      <c r="F24" s="155"/>
      <c r="G24" s="155"/>
      <c r="H24" s="156"/>
    </row>
    <row r="25" spans="2:8" ht="2" customHeight="1" x14ac:dyDescent="0.35">
      <c r="B25" s="90"/>
      <c r="C25" s="91"/>
      <c r="D25" s="92"/>
      <c r="E25" s="92"/>
      <c r="F25" s="92"/>
      <c r="G25" s="91"/>
      <c r="H25" s="93"/>
    </row>
    <row r="26" spans="2:8" ht="6" customHeight="1" thickBot="1" x14ac:dyDescent="0.4">
      <c r="B26" s="90"/>
      <c r="C26" s="91"/>
      <c r="D26" s="92"/>
      <c r="E26" s="92"/>
      <c r="F26" s="92"/>
      <c r="G26" s="91"/>
      <c r="H26" s="93"/>
    </row>
    <row r="27" spans="2:8" s="10" customFormat="1" ht="18" customHeight="1" thickTop="1" thickBot="1" x14ac:dyDescent="0.4">
      <c r="B27" s="94" t="s">
        <v>1378</v>
      </c>
      <c r="C27" s="95" t="s">
        <v>1374</v>
      </c>
      <c r="D27" s="96" t="s">
        <v>1416</v>
      </c>
      <c r="E27" s="97"/>
      <c r="F27" s="97"/>
      <c r="G27" s="98"/>
      <c r="H27" s="99"/>
    </row>
    <row r="28" spans="2:8" ht="2" customHeight="1" thickTop="1" thickBot="1" x14ac:dyDescent="0.4">
      <c r="B28" s="100"/>
      <c r="C28" s="101"/>
      <c r="D28" s="102"/>
      <c r="E28" s="102"/>
      <c r="F28" s="102"/>
      <c r="G28" s="91"/>
      <c r="H28" s="93"/>
    </row>
    <row r="29" spans="2:8" ht="18" customHeight="1" thickTop="1" thickBot="1" x14ac:dyDescent="0.4">
      <c r="B29" s="103" t="s">
        <v>1379</v>
      </c>
      <c r="C29" s="95" t="s">
        <v>1374</v>
      </c>
      <c r="D29" s="104">
        <v>300</v>
      </c>
      <c r="E29" s="105" t="str">
        <f>IF(AND(D27="PEMULA",D29&lt;=245),"",IF(AND(D27="LANJUT",D29&gt;=246,D29&lt;=455),"",IF(AND(D27="MADYA",D29&gt;=456,D29&lt;=700),"",IF(AND(D27="UTAMA",D29&gt;700),"","Nilai Salah, harap sesuaikan dengan pedoman"))))</f>
        <v/>
      </c>
      <c r="F29" s="106"/>
      <c r="G29" s="107"/>
      <c r="H29" s="93"/>
    </row>
    <row r="30" spans="2:8" ht="6" customHeight="1" thickTop="1" x14ac:dyDescent="0.35">
      <c r="B30" s="90"/>
      <c r="C30" s="91"/>
      <c r="D30" s="92"/>
      <c r="E30" s="92"/>
      <c r="F30" s="92"/>
      <c r="G30" s="91"/>
      <c r="H30" s="93"/>
    </row>
    <row r="31" spans="2:8" ht="2" customHeight="1" x14ac:dyDescent="0.35">
      <c r="B31" s="51"/>
      <c r="C31" s="52"/>
      <c r="D31" s="53"/>
      <c r="E31" s="53"/>
      <c r="F31" s="53"/>
      <c r="G31" s="52"/>
      <c r="H31" s="54"/>
    </row>
    <row r="32" spans="2:8" ht="6" customHeight="1" x14ac:dyDescent="0.35">
      <c r="B32" s="108"/>
      <c r="C32" s="109"/>
      <c r="D32" s="110"/>
      <c r="E32" s="110"/>
      <c r="F32" s="110"/>
      <c r="G32" s="109"/>
      <c r="H32" s="111"/>
    </row>
    <row r="33" spans="2:8" ht="21" x14ac:dyDescent="0.5">
      <c r="B33" s="157" t="s">
        <v>1380</v>
      </c>
      <c r="C33" s="158"/>
      <c r="D33" s="158"/>
      <c r="E33" s="158"/>
      <c r="F33" s="158"/>
      <c r="G33" s="158"/>
      <c r="H33" s="159"/>
    </row>
    <row r="34" spans="2:8" ht="6" customHeight="1" x14ac:dyDescent="0.35">
      <c r="B34" s="108"/>
      <c r="C34" s="109"/>
      <c r="D34" s="110"/>
      <c r="E34" s="110"/>
      <c r="F34" s="110"/>
      <c r="G34" s="109"/>
      <c r="H34" s="111"/>
    </row>
    <row r="35" spans="2:8" ht="29" customHeight="1" x14ac:dyDescent="0.35">
      <c r="B35" s="112" t="s">
        <v>1381</v>
      </c>
      <c r="C35" s="160" t="s">
        <v>1468</v>
      </c>
      <c r="D35" s="161"/>
      <c r="E35" s="161"/>
      <c r="F35" s="115" t="s">
        <v>1471</v>
      </c>
      <c r="G35" s="113" t="s">
        <v>1469</v>
      </c>
      <c r="H35" s="114" t="s">
        <v>1470</v>
      </c>
    </row>
    <row r="36" spans="2:8" ht="2" customHeight="1" x14ac:dyDescent="0.35">
      <c r="B36" s="64"/>
      <c r="H36" s="61"/>
    </row>
    <row r="37" spans="2:8" s="10" customFormat="1" ht="30" customHeight="1" x14ac:dyDescent="0.35">
      <c r="B37" s="146" t="s">
        <v>1382</v>
      </c>
      <c r="C37" s="34">
        <v>1</v>
      </c>
      <c r="D37" s="18" t="s">
        <v>1403</v>
      </c>
      <c r="E37" s="75" t="str">
        <f>IF($D$27="Pemula",'Data Kriteria Indikator'!B2,IF($D$27="Lanjut",'Data Kriteria Indikator'!C2,IF($D$27="Madya",'Data Kriteria Indikator'!D2,IF($D$27="Utama",'Data Kriteria Indikator'!E2))))</f>
        <v>Ada rencana belajar tertulis, melibatkan unsur dalam poktan</v>
      </c>
      <c r="F37" s="81" t="str">
        <f>IF($D$27="Pemula","0-15",IF($D$27="Lanjut","15-25",IF($D$27="Madya","26-35","36-50")))</f>
        <v>15-25</v>
      </c>
      <c r="G37" s="37"/>
      <c r="H37" s="65"/>
    </row>
    <row r="38" spans="2:8" s="10" customFormat="1" ht="2" customHeight="1" x14ac:dyDescent="0.35">
      <c r="B38" s="146"/>
      <c r="C38" s="24"/>
      <c r="D38" s="25"/>
      <c r="E38" s="41"/>
      <c r="F38" s="41"/>
      <c r="G38" s="62"/>
      <c r="H38" s="63"/>
    </row>
    <row r="39" spans="2:8" s="10" customFormat="1" ht="30" customHeight="1" x14ac:dyDescent="0.35">
      <c r="B39" s="146"/>
      <c r="C39" s="34">
        <v>2</v>
      </c>
      <c r="D39" s="18" t="s">
        <v>1408</v>
      </c>
      <c r="E39" s="75" t="str">
        <f>IF($D$27="Pemula",'Data Kriteria Indikator'!B3,IF($D$27="Lanjut",'Data Kriteria Indikator'!C3,IF($D$27="Madya",'Data Kriteria Indikator'!D3,IF($D$27="Utama",'Data Kriteria Indikator'!E3))))</f>
        <v>Ada rencana usaha tertulis, berorientasi pasar</v>
      </c>
      <c r="F39" s="81" t="str">
        <f>IF($D$27="Pemula","0-50",IF($D$27="Lanjut","51-75",IF($D$27="Madya","76-100","101-150")))</f>
        <v>51-75</v>
      </c>
      <c r="G39" s="37"/>
      <c r="H39" s="65"/>
    </row>
    <row r="40" spans="2:8" ht="2" customHeight="1" x14ac:dyDescent="0.35">
      <c r="B40" s="60"/>
      <c r="C40" s="26"/>
      <c r="D40" s="27"/>
      <c r="H40" s="61"/>
    </row>
    <row r="41" spans="2:8" s="10" customFormat="1" ht="30" customHeight="1" x14ac:dyDescent="0.35">
      <c r="B41" s="147" t="s">
        <v>1399</v>
      </c>
      <c r="C41" s="29">
        <v>1</v>
      </c>
      <c r="D41" s="19" t="s">
        <v>1404</v>
      </c>
      <c r="E41" s="76" t="str">
        <f>IF($D$27="Pemula",'Data Kriteria Indikator'!B4,IF($D$27="Lanjut",'Data Kriteria Indikator'!C4,IF($D$27="Madya",'Data Kriteria Indikator'!D4,IF($D$27="Utama",'Data Kriteria Indikator'!E4))))</f>
        <v>Kompleks (Ketua, Sekretaris, Bendahara dan Seksi-seksi)</v>
      </c>
      <c r="F41" s="82" t="str">
        <f>IF($D$27="Pemula","0-10",IF($D$27="Lanjut","11-15",IF($D$27="Madya","16-20","21-25")))</f>
        <v>11-15</v>
      </c>
      <c r="G41" s="20"/>
      <c r="H41" s="66"/>
    </row>
    <row r="42" spans="2:8" s="10" customFormat="1" ht="2" customHeight="1" x14ac:dyDescent="0.35">
      <c r="B42" s="147"/>
      <c r="C42" s="28"/>
      <c r="D42" s="25"/>
      <c r="E42" s="41"/>
      <c r="F42" s="67"/>
      <c r="G42" s="62"/>
      <c r="H42" s="63"/>
    </row>
    <row r="43" spans="2:8" s="10" customFormat="1" ht="30" customHeight="1" x14ac:dyDescent="0.35">
      <c r="B43" s="147"/>
      <c r="C43" s="29">
        <v>2</v>
      </c>
      <c r="D43" s="19" t="s">
        <v>1409</v>
      </c>
      <c r="E43" s="76" t="str">
        <f>IF($D$27="Pemula",'Data Kriteria Indikator'!B5,IF($D$27="Lanjut",'Data Kriteria Indikator'!C5,IF($D$27="Madya",'Data Kriteria Indikator'!D5,IF($D$27="Utama",'Data Kriteria Indikator'!E5))))</f>
        <v>Ada aturan dan norma tertulis, tidak dilaksanakan</v>
      </c>
      <c r="F43" s="82" t="str">
        <f>IF($D$27="Pemula","0-10",IF($D$27="Lanjut","11-15",IF($D$27="Madya","16-20","21-25")))</f>
        <v>11-15</v>
      </c>
      <c r="G43" s="20"/>
      <c r="H43" s="66"/>
    </row>
    <row r="44" spans="2:8" s="10" customFormat="1" ht="2" customHeight="1" x14ac:dyDescent="0.35">
      <c r="B44" s="147"/>
      <c r="C44" s="28"/>
      <c r="D44" s="25"/>
      <c r="E44" s="41"/>
      <c r="F44" s="67"/>
      <c r="G44" s="62"/>
      <c r="H44" s="63"/>
    </row>
    <row r="45" spans="2:8" s="10" customFormat="1" ht="40" customHeight="1" x14ac:dyDescent="0.35">
      <c r="B45" s="147"/>
      <c r="C45" s="29">
        <v>3</v>
      </c>
      <c r="D45" s="19" t="s">
        <v>1411</v>
      </c>
      <c r="E45" s="76" t="str">
        <f>IF($D$27="Pemula",'Data Kriteria Indikator'!B6,IF($D$27="Lanjut",'Data Kriteria Indikator'!C6,IF($D$27="Madya",'Data Kriteria Indikator'!D6,IF($D$27="Utama",'Data Kriteria Indikator'!E6))))</f>
        <v>Administrasi pembukuan lebih lengkap : 7 Buku (Buku Anggota, Buku Tamu, Buku Kegiatan, Daftar Hadir, Notulen, Buku Kas, Buku Iuran)</v>
      </c>
      <c r="F45" s="82" t="str">
        <f>IF($D$27="Pemula","0-25",IF($D$27="Lanjut","26-50",IF($D$27="Madya","51-75","76-100")))</f>
        <v>26-50</v>
      </c>
      <c r="G45" s="20"/>
      <c r="H45" s="66"/>
    </row>
    <row r="46" spans="2:8" ht="2" customHeight="1" x14ac:dyDescent="0.35">
      <c r="B46" s="60"/>
      <c r="C46" s="26"/>
      <c r="D46" s="27"/>
      <c r="H46" s="61"/>
    </row>
    <row r="47" spans="2:8" s="10" customFormat="1" ht="30" customHeight="1" x14ac:dyDescent="0.35">
      <c r="B47" s="148" t="s">
        <v>1400</v>
      </c>
      <c r="C47" s="30">
        <v>1</v>
      </c>
      <c r="D47" s="35" t="s">
        <v>1405</v>
      </c>
      <c r="E47" s="77" t="str">
        <f>IF($D$27="Pemula",'Data Kriteria Indikator'!B7,IF($D$27="Lanjut",'Data Kriteria Indikator'!C7,IF($D$27="Madya",'Data Kriteria Indikator'!D7,IF($D$27="Utama",'Data Kriteria Indikator'!E7))))</f>
        <v>Pertemuan rutin setiap bulan/selapanan, rata-rata kehadiran anggota &gt; 50% anggota, materi usaha hulu-hilir, setiap pertemuan belum tentu ada notulen</v>
      </c>
      <c r="F47" s="83" t="str">
        <f>IF($D$27="Pemula","0-10",IF($D$27="Lanjut","11-15",IF($D$27="Madya","21-30","31-40")))</f>
        <v>11-15</v>
      </c>
      <c r="G47" s="38"/>
      <c r="H47" s="68"/>
    </row>
    <row r="48" spans="2:8" s="10" customFormat="1" ht="2" customHeight="1" x14ac:dyDescent="0.35">
      <c r="B48" s="148"/>
      <c r="C48" s="62"/>
      <c r="D48" s="41"/>
      <c r="E48" s="41"/>
      <c r="F48" s="41"/>
      <c r="G48" s="62"/>
      <c r="H48" s="63"/>
    </row>
    <row r="49" spans="2:8" s="10" customFormat="1" ht="30" customHeight="1" x14ac:dyDescent="0.35">
      <c r="B49" s="148"/>
      <c r="C49" s="30">
        <v>2</v>
      </c>
      <c r="D49" s="35" t="s">
        <v>1410</v>
      </c>
      <c r="E49" s="77" t="str">
        <f>IF($D$27="Pemula",'Data Kriteria Indikator'!B8,IF($D$27="Lanjut",'Data Kriteria Indikator'!C8,IF($D$27="Madya",'Data Kriteria Indikator'!D8,IF($D$27="Utama",'Data Kriteria Indikator'!E8))))</f>
        <v>Melaksanakan belajar dengan melibatkan unsur dari dalam poktan</v>
      </c>
      <c r="F49" s="83" t="str">
        <f>IF($D$27="Pemula","0-15",IF($D$27="Lanjut","16-25",IF($D$27="Madya","26-35","36-50")))</f>
        <v>16-25</v>
      </c>
      <c r="G49" s="38"/>
      <c r="H49" s="68"/>
    </row>
    <row r="50" spans="2:8" s="10" customFormat="1" ht="2" customHeight="1" x14ac:dyDescent="0.35">
      <c r="B50" s="148"/>
      <c r="C50" s="62"/>
      <c r="D50" s="31"/>
      <c r="E50" s="41"/>
      <c r="F50" s="41"/>
      <c r="G50" s="62"/>
      <c r="H50" s="63"/>
    </row>
    <row r="51" spans="2:8" s="10" customFormat="1" ht="30" customHeight="1" x14ac:dyDescent="0.35">
      <c r="B51" s="148"/>
      <c r="C51" s="30">
        <v>3</v>
      </c>
      <c r="D51" s="35" t="s">
        <v>1412</v>
      </c>
      <c r="E51" s="77" t="str">
        <f>IF($D$27="Pemula",'Data Kriteria Indikator'!B9,IF($D$27="Lanjut",'Data Kriteria Indikator'!C9,IF($D$27="Madya",'Data Kriteria Indikator'!D9,IF($D$27="Utama",'Data Kriteria Indikator'!E9))))</f>
        <v>Melaksanakan usaha bersama kelompok yang berorientasi pasar</v>
      </c>
      <c r="F51" s="83" t="str">
        <f>IF($D$27="Pemula","0-50",IF($D$27="Lanjut","51-100",IF($D$27="Madya","101-150","151-200")))</f>
        <v>51-100</v>
      </c>
      <c r="G51" s="38"/>
      <c r="H51" s="68"/>
    </row>
    <row r="52" spans="2:8" s="10" customFormat="1" ht="2" customHeight="1" x14ac:dyDescent="0.35">
      <c r="B52" s="148"/>
      <c r="C52" s="62"/>
      <c r="D52" s="31"/>
      <c r="E52" s="78"/>
      <c r="F52" s="41"/>
      <c r="G52" s="62"/>
      <c r="H52" s="63"/>
    </row>
    <row r="53" spans="2:8" s="10" customFormat="1" ht="30" customHeight="1" x14ac:dyDescent="0.35">
      <c r="B53" s="148"/>
      <c r="C53" s="30">
        <v>4</v>
      </c>
      <c r="D53" s="35" t="s">
        <v>1413</v>
      </c>
      <c r="E53" s="77" t="str">
        <f>IF($D$27="Pemula",'Data Kriteria Indikator'!B10,IF($D$27="Lanjut",'Data Kriteria Indikator'!C10,IF($D$27="Madya",'Data Kriteria Indikator'!D10,IF($D$27="Utama",'Data Kriteria Indikator'!E10))))</f>
        <v>Ada pemupukan modal dari anggota dan penyisihan hasil usaha kelompok</v>
      </c>
      <c r="F53" s="83" t="str">
        <f>IF($D$27="Pemula","0-10",IF($D$27="Lanjut","11-20",IF($D$27="Madya","26-35","31-50")))</f>
        <v>11-20</v>
      </c>
      <c r="G53" s="38"/>
      <c r="H53" s="68"/>
    </row>
    <row r="54" spans="2:8" s="10" customFormat="1" ht="2" customHeight="1" x14ac:dyDescent="0.35">
      <c r="B54" s="148"/>
      <c r="C54" s="62"/>
      <c r="D54" s="31"/>
      <c r="E54" s="41"/>
      <c r="F54" s="41"/>
      <c r="G54" s="62"/>
      <c r="H54" s="63"/>
    </row>
    <row r="55" spans="2:8" s="10" customFormat="1" ht="30" customHeight="1" x14ac:dyDescent="0.35">
      <c r="B55" s="148"/>
      <c r="C55" s="30">
        <v>5</v>
      </c>
      <c r="D55" s="35" t="s">
        <v>1414</v>
      </c>
      <c r="E55" s="77" t="str">
        <f>IF($D$27="Pemula",'Data Kriteria Indikator'!B11,IF($D$27="Lanjut",'Data Kriteria Indikator'!C11,IF($D$27="Madya",'Data Kriteria Indikator'!D11,IF($D$27="Utama",'Data Kriteria Indikator'!E11))))</f>
        <v>Pelayanan informasi dan teknologi bersumber dari berbagai sumber untuk anggota</v>
      </c>
      <c r="F55" s="83" t="str">
        <f>IF($D$27="Pemula","0-10",IF($D$27="Lanjut","11-20",IF($D$27="Madya","21-45","46-60")))</f>
        <v>11-20</v>
      </c>
      <c r="G55" s="38"/>
      <c r="H55" s="68"/>
    </row>
    <row r="56" spans="2:8" s="10" customFormat="1" ht="2" customHeight="1" x14ac:dyDescent="0.35">
      <c r="B56" s="69"/>
      <c r="C56" s="62"/>
      <c r="D56" s="41"/>
      <c r="E56" s="41"/>
      <c r="F56" s="41"/>
      <c r="G56" s="62"/>
      <c r="H56" s="63"/>
    </row>
    <row r="57" spans="2:8" s="10" customFormat="1" ht="40" customHeight="1" x14ac:dyDescent="0.35">
      <c r="B57" s="70" t="s">
        <v>1466</v>
      </c>
      <c r="C57" s="32">
        <v>1</v>
      </c>
      <c r="D57" s="21" t="s">
        <v>1406</v>
      </c>
      <c r="E57" s="79" t="str">
        <f>IF($D$27="Pemula",'Data Kriteria Indikator'!B12,IF($D$27="Lanjut",'Data Kriteria Indikator'!C12,IF($D$27="Madya",'Data Kriteria Indikator'!D12,IF($D$27="Utama",'Data Kriteria Indikator'!E12))))</f>
        <v>Melakukan evaluasi perencanaan dan pelaksanaan usaha secara tertulis melibatkan unsur dari dalam kelompok</v>
      </c>
      <c r="F57" s="84" t="str">
        <f>IF($D$27="Pemula","0-10",IF($D$27="Lanjut","11-40",IF($D$27="Madya","41-80","81-100")))</f>
        <v>11-40</v>
      </c>
      <c r="G57" s="22"/>
      <c r="H57" s="71"/>
    </row>
    <row r="58" spans="2:8" ht="2" customHeight="1" x14ac:dyDescent="0.35">
      <c r="B58" s="72"/>
      <c r="H58" s="61"/>
    </row>
    <row r="59" spans="2:8" s="10" customFormat="1" ht="40" customHeight="1" x14ac:dyDescent="0.35">
      <c r="B59" s="73" t="s">
        <v>1467</v>
      </c>
      <c r="C59" s="33">
        <v>1</v>
      </c>
      <c r="D59" s="36" t="s">
        <v>1407</v>
      </c>
      <c r="E59" s="80" t="str">
        <f>IF($D$27="Pemula",'Data Kriteria Indikator'!B13,IF($D$27="Lanjut",'Data Kriteria Indikator'!C13,IF($D$27="Madya",'Data Kriteria Indikator'!D13,IF($D$27="Utama",'Data Kriteria Indikator'!E13))))</f>
        <v>Sudah dilakukan penyiapan calon pengganti pengurus</v>
      </c>
      <c r="F59" s="85" t="str">
        <f>IF($D$27="Pemula","0-30",IF($D$27="Lanjut","31-50",IF($D$27="Madya","51-80","80-150")))</f>
        <v>31-50</v>
      </c>
      <c r="G59" s="23"/>
      <c r="H59" s="74"/>
    </row>
    <row r="60" spans="2:8" ht="2" customHeight="1" x14ac:dyDescent="0.35">
      <c r="B60" s="72"/>
      <c r="H60" s="61"/>
    </row>
    <row r="61" spans="2:8" ht="29" customHeight="1" thickBot="1" x14ac:dyDescent="0.4">
      <c r="B61" s="149" t="s">
        <v>1472</v>
      </c>
      <c r="C61" s="150"/>
      <c r="D61" s="151"/>
      <c r="E61" s="86"/>
      <c r="F61" s="87"/>
      <c r="G61" s="88">
        <f>SUM(G59,G57,G55,G53,G51,G49,G47,G45,G43,G41,G39,G37)</f>
        <v>0</v>
      </c>
      <c r="H61" s="89">
        <f>SUM(H59,H57,H55,H53,H51,H49,H47,H45,H43,H41,H39,H37)</f>
        <v>0</v>
      </c>
    </row>
    <row r="62" spans="2:8" ht="15" thickTop="1" x14ac:dyDescent="0.35">
      <c r="B62" s="17"/>
    </row>
    <row r="63" spans="2:8" x14ac:dyDescent="0.35">
      <c r="B63" s="17"/>
    </row>
    <row r="64" spans="2:8" x14ac:dyDescent="0.35">
      <c r="B64" s="17"/>
    </row>
  </sheetData>
  <mergeCells count="10">
    <mergeCell ref="B37:B39"/>
    <mergeCell ref="B41:B45"/>
    <mergeCell ref="B47:B55"/>
    <mergeCell ref="B61:D61"/>
    <mergeCell ref="D2:H2"/>
    <mergeCell ref="D4:H4"/>
    <mergeCell ref="D6:H6"/>
    <mergeCell ref="B24:H24"/>
    <mergeCell ref="B33:H33"/>
    <mergeCell ref="C35:E35"/>
  </mergeCells>
  <dataValidations count="6">
    <dataValidation type="list" allowBlank="1" showInputMessage="1" showErrorMessage="1" sqref="D48:F48 D56:F56" xr:uid="{8584AE16-EDEC-4D87-9C25-CB98267CD624}">
      <formula1>INDIRECT(SUBSTITUTE($B$47," ","_"))</formula1>
    </dataValidation>
    <dataValidation type="list" allowBlank="1" showInputMessage="1" showErrorMessage="1" sqref="D38:F38" xr:uid="{61CCD9EE-4F40-4B33-98BA-38FB38692F9B}">
      <formula1>INDIRECT(SUBSTITUTE($B$37," ","_"))</formula1>
    </dataValidation>
    <dataValidation type="list" allowBlank="1" showInputMessage="1" showErrorMessage="1" sqref="D27 F27" xr:uid="{AC70F70F-BF64-4055-B356-EDF925E830BF}">
      <formula1>"Pemula,Lanjut,Madya,Utama"</formula1>
    </dataValidation>
    <dataValidation type="list" allowBlank="1" showInputMessage="1" showErrorMessage="1" sqref="D6:F6" xr:uid="{891E523A-F2B0-4963-A233-768186607D70}">
      <formula1>INDIRECT(SUBSTITUTE($D$4," ","_"))</formula1>
    </dataValidation>
    <dataValidation type="list" allowBlank="1" showInputMessage="1" showErrorMessage="1" sqref="D4:F4" xr:uid="{7FE5EBC3-1B18-45C7-B3A4-AEAC90C642D7}">
      <formula1>INDIRECT(SUBSTITUTE($D$2," ","_"))</formula1>
    </dataValidation>
    <dataValidation type="list" allowBlank="1" showInputMessage="1" showErrorMessage="1" sqref="D2:F2" xr:uid="{49303288-2181-41B6-BC17-5A2650087065}">
      <formula1>Kecamatan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DE3D-9510-4056-BB27-3E04E43D1400}">
  <dimension ref="A1:W1501"/>
  <sheetViews>
    <sheetView zoomScale="70" zoomScaleNormal="70" workbookViewId="0">
      <pane ySplit="1" topLeftCell="A281" activePane="bottomLeft" state="frozen"/>
      <selection pane="bottomLeft" activeCell="H297" sqref="H297"/>
    </sheetView>
  </sheetViews>
  <sheetFormatPr defaultRowHeight="13" x14ac:dyDescent="0.35"/>
  <cols>
    <col min="1" max="1" width="4.7265625" style="117" customWidth="1"/>
    <col min="2" max="2" width="9.1796875" style="117" bestFit="1" customWidth="1"/>
    <col min="3" max="3" width="16.54296875" style="117" bestFit="1" customWidth="1"/>
    <col min="4" max="4" width="15.6328125" style="117" bestFit="1" customWidth="1"/>
    <col min="5" max="5" width="24.6328125" style="117" bestFit="1" customWidth="1"/>
    <col min="6" max="6" width="10.36328125" style="117" bestFit="1" customWidth="1"/>
    <col min="7" max="7" width="13.1796875" style="117" bestFit="1" customWidth="1"/>
    <col min="8" max="8" width="15.26953125" style="117" bestFit="1" customWidth="1"/>
    <col min="9" max="9" width="18.453125" style="117" bestFit="1" customWidth="1"/>
    <col min="10" max="10" width="30.1796875" style="117" bestFit="1" customWidth="1"/>
    <col min="11" max="11" width="10.36328125" style="117" bestFit="1" customWidth="1"/>
    <col min="12" max="12" width="21.7265625" style="117" bestFit="1" customWidth="1"/>
    <col min="13" max="13" width="19.1796875" style="117" bestFit="1" customWidth="1"/>
    <col min="14" max="14" width="22.7265625" style="117" bestFit="1" customWidth="1"/>
    <col min="15" max="15" width="14" style="117" bestFit="1" customWidth="1"/>
    <col min="16" max="16" width="4.90625" style="117" bestFit="1" customWidth="1"/>
    <col min="17" max="17" width="5.26953125" style="117" bestFit="1" customWidth="1"/>
    <col min="18" max="18" width="5.6328125" style="117" bestFit="1" customWidth="1"/>
    <col min="19" max="19" width="5.90625" style="117" bestFit="1" customWidth="1"/>
    <col min="20" max="20" width="5.54296875" style="117" bestFit="1" customWidth="1"/>
    <col min="21" max="21" width="11.36328125" style="117" bestFit="1" customWidth="1"/>
    <col min="22" max="22" width="19.7265625" style="117" bestFit="1" customWidth="1"/>
    <col min="23" max="16384" width="8.7265625" style="117"/>
  </cols>
  <sheetData>
    <row r="1" spans="1:22" x14ac:dyDescent="0.35">
      <c r="A1" s="116" t="s">
        <v>1487</v>
      </c>
      <c r="B1" s="116" t="s">
        <v>162</v>
      </c>
      <c r="C1" s="116" t="s">
        <v>1375</v>
      </c>
      <c r="D1" s="116" t="s">
        <v>1488</v>
      </c>
      <c r="E1" s="116" t="s">
        <v>1489</v>
      </c>
      <c r="F1" s="116" t="s">
        <v>1490</v>
      </c>
      <c r="G1" s="116" t="s">
        <v>1491</v>
      </c>
      <c r="H1" s="116" t="s">
        <v>1492</v>
      </c>
      <c r="I1" s="116" t="s">
        <v>1493</v>
      </c>
      <c r="J1" s="116" t="s">
        <v>1494</v>
      </c>
      <c r="K1" s="116" t="s">
        <v>1495</v>
      </c>
      <c r="L1" s="116" t="s">
        <v>1496</v>
      </c>
      <c r="M1" s="116" t="s">
        <v>1497</v>
      </c>
      <c r="N1" s="116" t="s">
        <v>1498</v>
      </c>
      <c r="O1" s="116" t="s">
        <v>1499</v>
      </c>
      <c r="P1" s="116" t="s">
        <v>1500</v>
      </c>
      <c r="Q1" s="116" t="s">
        <v>1501</v>
      </c>
      <c r="R1" s="116" t="s">
        <v>1502</v>
      </c>
      <c r="S1" s="116" t="s">
        <v>1503</v>
      </c>
      <c r="T1" s="116" t="s">
        <v>1504</v>
      </c>
      <c r="U1" s="116" t="s">
        <v>1505</v>
      </c>
      <c r="V1" s="116" t="s">
        <v>1506</v>
      </c>
    </row>
    <row r="2" spans="1:22" x14ac:dyDescent="0.35">
      <c r="A2" s="118">
        <v>1</v>
      </c>
      <c r="B2" s="118" t="s">
        <v>164</v>
      </c>
      <c r="C2" s="118" t="s">
        <v>212</v>
      </c>
      <c r="D2" s="119" t="s">
        <v>1508</v>
      </c>
      <c r="E2" s="119" t="s">
        <v>549</v>
      </c>
      <c r="F2" s="119">
        <v>1998</v>
      </c>
      <c r="G2" s="119">
        <v>33</v>
      </c>
      <c r="H2" s="119">
        <v>2</v>
      </c>
      <c r="I2" s="119">
        <v>35</v>
      </c>
      <c r="J2" s="119" t="s">
        <v>1509</v>
      </c>
      <c r="K2" s="120">
        <v>2</v>
      </c>
      <c r="L2" s="119" t="s">
        <v>1510</v>
      </c>
      <c r="M2" s="119" t="s">
        <v>1511</v>
      </c>
      <c r="N2" s="119" t="s">
        <v>1512</v>
      </c>
      <c r="O2" s="119">
        <v>501</v>
      </c>
      <c r="P2" s="119">
        <v>125</v>
      </c>
      <c r="Q2" s="119">
        <v>80</v>
      </c>
      <c r="R2" s="119">
        <v>151</v>
      </c>
      <c r="S2" s="119">
        <v>80</v>
      </c>
      <c r="T2" s="119">
        <v>70</v>
      </c>
      <c r="U2" s="121">
        <f t="shared" ref="U2:U10" si="0">SUM(P2:T2)</f>
        <v>506</v>
      </c>
      <c r="V2" s="122" t="str">
        <f t="shared" ref="V2:V10" si="1">IF(U2&lt;=245,"PEMULA",IF(U2&lt;=455,"LANJUT",IF(U2&lt;=700,"MADYA","UTAMA")))</f>
        <v>MADYA</v>
      </c>
    </row>
    <row r="3" spans="1:22" x14ac:dyDescent="0.35">
      <c r="A3" s="118">
        <v>2</v>
      </c>
      <c r="B3" s="118" t="s">
        <v>164</v>
      </c>
      <c r="C3" s="118" t="s">
        <v>212</v>
      </c>
      <c r="D3" s="119" t="s">
        <v>1513</v>
      </c>
      <c r="E3" s="119" t="s">
        <v>548</v>
      </c>
      <c r="F3" s="119">
        <v>1998</v>
      </c>
      <c r="G3" s="119">
        <v>20</v>
      </c>
      <c r="H3" s="119">
        <v>10</v>
      </c>
      <c r="I3" s="119">
        <v>30</v>
      </c>
      <c r="J3" s="119" t="s">
        <v>1509</v>
      </c>
      <c r="K3" s="120">
        <v>3</v>
      </c>
      <c r="L3" s="119" t="s">
        <v>1514</v>
      </c>
      <c r="M3" s="119" t="s">
        <v>1515</v>
      </c>
      <c r="N3" s="119" t="s">
        <v>1516</v>
      </c>
      <c r="O3" s="119">
        <v>465</v>
      </c>
      <c r="P3" s="119">
        <v>100</v>
      </c>
      <c r="Q3" s="119">
        <v>80</v>
      </c>
      <c r="R3" s="119">
        <v>185</v>
      </c>
      <c r="S3" s="119">
        <v>55</v>
      </c>
      <c r="T3" s="119">
        <v>50</v>
      </c>
      <c r="U3" s="121">
        <f t="shared" si="0"/>
        <v>470</v>
      </c>
      <c r="V3" s="122" t="str">
        <f t="shared" si="1"/>
        <v>MADYA</v>
      </c>
    </row>
    <row r="4" spans="1:22" x14ac:dyDescent="0.35">
      <c r="A4" s="118">
        <v>3</v>
      </c>
      <c r="B4" s="118" t="s">
        <v>164</v>
      </c>
      <c r="C4" s="118" t="s">
        <v>212</v>
      </c>
      <c r="D4" s="119" t="s">
        <v>1517</v>
      </c>
      <c r="E4" s="119" t="s">
        <v>547</v>
      </c>
      <c r="F4" s="119">
        <v>1998</v>
      </c>
      <c r="G4" s="119">
        <v>54</v>
      </c>
      <c r="H4" s="119">
        <v>8</v>
      </c>
      <c r="I4" s="119">
        <v>62</v>
      </c>
      <c r="J4" s="119" t="s">
        <v>1509</v>
      </c>
      <c r="K4" s="120">
        <v>7</v>
      </c>
      <c r="L4" s="119" t="s">
        <v>1518</v>
      </c>
      <c r="M4" s="119" t="s">
        <v>1519</v>
      </c>
      <c r="N4" s="119" t="s">
        <v>1520</v>
      </c>
      <c r="O4" s="119">
        <v>505</v>
      </c>
      <c r="P4" s="119">
        <v>125</v>
      </c>
      <c r="Q4" s="119">
        <v>100</v>
      </c>
      <c r="R4" s="119">
        <v>135</v>
      </c>
      <c r="S4" s="119">
        <v>80</v>
      </c>
      <c r="T4" s="119">
        <v>65</v>
      </c>
      <c r="U4" s="121">
        <f t="shared" si="0"/>
        <v>505</v>
      </c>
      <c r="V4" s="122" t="str">
        <f t="shared" si="1"/>
        <v>MADYA</v>
      </c>
    </row>
    <row r="5" spans="1:22" x14ac:dyDescent="0.35">
      <c r="A5" s="118">
        <v>4</v>
      </c>
      <c r="B5" s="118" t="s">
        <v>164</v>
      </c>
      <c r="C5" s="118" t="s">
        <v>212</v>
      </c>
      <c r="D5" s="119" t="s">
        <v>1521</v>
      </c>
      <c r="E5" s="119" t="s">
        <v>546</v>
      </c>
      <c r="F5" s="119">
        <v>1998</v>
      </c>
      <c r="G5" s="119">
        <v>17</v>
      </c>
      <c r="H5" s="119">
        <v>6</v>
      </c>
      <c r="I5" s="119">
        <v>23</v>
      </c>
      <c r="J5" s="119" t="s">
        <v>1509</v>
      </c>
      <c r="K5" s="120">
        <v>6</v>
      </c>
      <c r="L5" s="119" t="s">
        <v>1522</v>
      </c>
      <c r="M5" s="119" t="s">
        <v>1523</v>
      </c>
      <c r="N5" s="119" t="s">
        <v>1524</v>
      </c>
      <c r="O5" s="119">
        <v>590</v>
      </c>
      <c r="P5" s="119">
        <v>125</v>
      </c>
      <c r="Q5" s="119">
        <v>110</v>
      </c>
      <c r="R5" s="119">
        <v>190</v>
      </c>
      <c r="S5" s="119">
        <v>80</v>
      </c>
      <c r="T5" s="119">
        <v>85</v>
      </c>
      <c r="U5" s="121">
        <f t="shared" si="0"/>
        <v>590</v>
      </c>
      <c r="V5" s="122" t="str">
        <f t="shared" si="1"/>
        <v>MADYA</v>
      </c>
    </row>
    <row r="6" spans="1:22" x14ac:dyDescent="0.35">
      <c r="A6" s="118">
        <v>5</v>
      </c>
      <c r="B6" s="118" t="s">
        <v>164</v>
      </c>
      <c r="C6" s="118" t="s">
        <v>212</v>
      </c>
      <c r="D6" s="119" t="s">
        <v>1525</v>
      </c>
      <c r="E6" s="119" t="s">
        <v>545</v>
      </c>
      <c r="F6" s="119">
        <v>1998</v>
      </c>
      <c r="G6" s="119">
        <v>21</v>
      </c>
      <c r="H6" s="119">
        <v>7</v>
      </c>
      <c r="I6" s="119">
        <v>28</v>
      </c>
      <c r="J6" s="119" t="s">
        <v>1509</v>
      </c>
      <c r="K6" s="120">
        <v>5</v>
      </c>
      <c r="L6" s="119" t="s">
        <v>1526</v>
      </c>
      <c r="M6" s="119" t="s">
        <v>1527</v>
      </c>
      <c r="N6" s="119" t="s">
        <v>1528</v>
      </c>
      <c r="O6" s="119">
        <v>481</v>
      </c>
      <c r="P6" s="119">
        <v>95</v>
      </c>
      <c r="Q6" s="119">
        <v>100</v>
      </c>
      <c r="R6" s="119">
        <v>131</v>
      </c>
      <c r="S6" s="119">
        <v>80</v>
      </c>
      <c r="T6" s="119">
        <v>80</v>
      </c>
      <c r="U6" s="121">
        <f t="shared" si="0"/>
        <v>486</v>
      </c>
      <c r="V6" s="122" t="str">
        <f t="shared" si="1"/>
        <v>MADYA</v>
      </c>
    </row>
    <row r="7" spans="1:22" x14ac:dyDescent="0.35">
      <c r="A7" s="118">
        <v>6</v>
      </c>
      <c r="B7" s="118" t="s">
        <v>164</v>
      </c>
      <c r="C7" s="118" t="s">
        <v>212</v>
      </c>
      <c r="D7" s="119" t="s">
        <v>1529</v>
      </c>
      <c r="E7" s="119" t="s">
        <v>544</v>
      </c>
      <c r="F7" s="119">
        <v>1998</v>
      </c>
      <c r="G7" s="119">
        <v>49</v>
      </c>
      <c r="H7" s="119">
        <v>2</v>
      </c>
      <c r="I7" s="119">
        <v>51</v>
      </c>
      <c r="J7" s="119" t="s">
        <v>1509</v>
      </c>
      <c r="K7" s="120">
        <v>5</v>
      </c>
      <c r="L7" s="119" t="s">
        <v>1530</v>
      </c>
      <c r="M7" s="119" t="s">
        <v>1531</v>
      </c>
      <c r="N7" s="119" t="s">
        <v>1532</v>
      </c>
      <c r="O7" s="119">
        <v>645</v>
      </c>
      <c r="P7" s="119">
        <v>130</v>
      </c>
      <c r="Q7" s="119">
        <v>110</v>
      </c>
      <c r="R7" s="119">
        <v>240</v>
      </c>
      <c r="S7" s="119">
        <v>80</v>
      </c>
      <c r="T7" s="119">
        <v>85</v>
      </c>
      <c r="U7" s="121">
        <f t="shared" si="0"/>
        <v>645</v>
      </c>
      <c r="V7" s="122" t="str">
        <f t="shared" si="1"/>
        <v>MADYA</v>
      </c>
    </row>
    <row r="8" spans="1:22" x14ac:dyDescent="0.35">
      <c r="A8" s="118">
        <v>7</v>
      </c>
      <c r="B8" s="118" t="s">
        <v>164</v>
      </c>
      <c r="C8" s="118" t="s">
        <v>212</v>
      </c>
      <c r="D8" s="119" t="s">
        <v>1533</v>
      </c>
      <c r="E8" s="119" t="s">
        <v>543</v>
      </c>
      <c r="F8" s="119">
        <v>1998</v>
      </c>
      <c r="G8" s="119">
        <v>79</v>
      </c>
      <c r="H8" s="119">
        <v>9</v>
      </c>
      <c r="I8" s="119">
        <v>88</v>
      </c>
      <c r="J8" s="119" t="s">
        <v>1509</v>
      </c>
      <c r="K8" s="120">
        <v>9</v>
      </c>
      <c r="L8" s="119" t="s">
        <v>1534</v>
      </c>
      <c r="M8" s="119" t="s">
        <v>1535</v>
      </c>
      <c r="N8" s="119" t="s">
        <v>1536</v>
      </c>
      <c r="O8" s="119">
        <v>525</v>
      </c>
      <c r="P8" s="119">
        <v>125</v>
      </c>
      <c r="Q8" s="119">
        <v>110</v>
      </c>
      <c r="R8" s="119">
        <v>150</v>
      </c>
      <c r="S8" s="119">
        <v>80</v>
      </c>
      <c r="T8" s="119">
        <v>65</v>
      </c>
      <c r="U8" s="121">
        <f t="shared" si="0"/>
        <v>530</v>
      </c>
      <c r="V8" s="122" t="str">
        <f t="shared" si="1"/>
        <v>MADYA</v>
      </c>
    </row>
    <row r="9" spans="1:22" x14ac:dyDescent="0.35">
      <c r="A9" s="118">
        <v>8</v>
      </c>
      <c r="B9" s="118" t="s">
        <v>164</v>
      </c>
      <c r="C9" s="118" t="s">
        <v>212</v>
      </c>
      <c r="D9" s="119" t="s">
        <v>1537</v>
      </c>
      <c r="E9" s="119" t="s">
        <v>542</v>
      </c>
      <c r="F9" s="119">
        <v>1998</v>
      </c>
      <c r="G9" s="119">
        <v>53</v>
      </c>
      <c r="H9" s="119">
        <v>2</v>
      </c>
      <c r="I9" s="119">
        <v>55</v>
      </c>
      <c r="J9" s="119" t="s">
        <v>1509</v>
      </c>
      <c r="K9" s="120">
        <v>8</v>
      </c>
      <c r="L9" s="119" t="s">
        <v>1538</v>
      </c>
      <c r="M9" s="119" t="s">
        <v>1539</v>
      </c>
      <c r="N9" s="119" t="s">
        <v>1540</v>
      </c>
      <c r="O9" s="119">
        <v>570</v>
      </c>
      <c r="P9" s="119">
        <v>135</v>
      </c>
      <c r="Q9" s="119">
        <v>100</v>
      </c>
      <c r="R9" s="119">
        <v>175</v>
      </c>
      <c r="S9" s="119">
        <v>80</v>
      </c>
      <c r="T9" s="119">
        <v>85</v>
      </c>
      <c r="U9" s="121">
        <f t="shared" si="0"/>
        <v>575</v>
      </c>
      <c r="V9" s="122" t="str">
        <f t="shared" si="1"/>
        <v>MADYA</v>
      </c>
    </row>
    <row r="10" spans="1:22" x14ac:dyDescent="0.35">
      <c r="A10" s="118">
        <v>9</v>
      </c>
      <c r="B10" s="118" t="s">
        <v>164</v>
      </c>
      <c r="C10" s="118" t="s">
        <v>212</v>
      </c>
      <c r="D10" s="119" t="s">
        <v>1541</v>
      </c>
      <c r="E10" s="119" t="s">
        <v>541</v>
      </c>
      <c r="F10" s="119">
        <v>2006</v>
      </c>
      <c r="G10" s="119">
        <v>24</v>
      </c>
      <c r="H10" s="119">
        <v>8</v>
      </c>
      <c r="I10" s="119">
        <v>32</v>
      </c>
      <c r="J10" s="119" t="s">
        <v>1509</v>
      </c>
      <c r="K10" s="120">
        <v>7</v>
      </c>
      <c r="L10" s="119" t="s">
        <v>1542</v>
      </c>
      <c r="M10" s="119" t="s">
        <v>1543</v>
      </c>
      <c r="N10" s="119" t="s">
        <v>1544</v>
      </c>
      <c r="O10" s="119">
        <v>575</v>
      </c>
      <c r="P10" s="119">
        <v>130</v>
      </c>
      <c r="Q10" s="119">
        <v>110</v>
      </c>
      <c r="R10" s="119">
        <v>170</v>
      </c>
      <c r="S10" s="119">
        <v>80</v>
      </c>
      <c r="T10" s="119">
        <v>85</v>
      </c>
      <c r="U10" s="121">
        <f t="shared" si="0"/>
        <v>575</v>
      </c>
      <c r="V10" s="122" t="str">
        <f t="shared" si="1"/>
        <v>MADYA</v>
      </c>
    </row>
    <row r="11" spans="1:22" x14ac:dyDescent="0.35">
      <c r="A11" s="118">
        <v>10</v>
      </c>
      <c r="B11" s="118" t="s">
        <v>164</v>
      </c>
      <c r="C11" s="118" t="s">
        <v>212</v>
      </c>
      <c r="D11" s="119" t="s">
        <v>1529</v>
      </c>
      <c r="E11" s="119" t="s">
        <v>1545</v>
      </c>
      <c r="F11" s="119">
        <v>2013</v>
      </c>
      <c r="G11" s="119">
        <v>0</v>
      </c>
      <c r="H11" s="119">
        <v>52</v>
      </c>
      <c r="I11" s="119">
        <v>52</v>
      </c>
      <c r="J11" s="119"/>
      <c r="K11" s="120"/>
      <c r="L11" s="119" t="s">
        <v>1546</v>
      </c>
      <c r="M11" s="119"/>
      <c r="N11" s="119"/>
      <c r="O11" s="119">
        <v>464</v>
      </c>
      <c r="P11" s="119">
        <v>104</v>
      </c>
      <c r="Q11" s="119">
        <v>83</v>
      </c>
      <c r="R11" s="119">
        <v>201</v>
      </c>
      <c r="S11" s="119">
        <v>42</v>
      </c>
      <c r="T11" s="119">
        <v>51</v>
      </c>
      <c r="U11" s="121">
        <v>481</v>
      </c>
      <c r="V11" s="122" t="s">
        <v>1547</v>
      </c>
    </row>
    <row r="12" spans="1:22" x14ac:dyDescent="0.35">
      <c r="A12" s="118">
        <v>11</v>
      </c>
      <c r="B12" s="118" t="s">
        <v>164</v>
      </c>
      <c r="C12" s="118" t="s">
        <v>220</v>
      </c>
      <c r="D12" s="121" t="s">
        <v>1549</v>
      </c>
      <c r="E12" s="121" t="s">
        <v>611</v>
      </c>
      <c r="F12" s="121">
        <v>2007</v>
      </c>
      <c r="G12" s="121">
        <v>71</v>
      </c>
      <c r="H12" s="121">
        <v>12</v>
      </c>
      <c r="I12" s="121">
        <v>83</v>
      </c>
      <c r="J12" s="121" t="s">
        <v>1509</v>
      </c>
      <c r="K12" s="123">
        <v>3</v>
      </c>
      <c r="L12" s="121" t="s">
        <v>1550</v>
      </c>
      <c r="M12" s="121" t="s">
        <v>1551</v>
      </c>
      <c r="N12" s="121" t="s">
        <v>1552</v>
      </c>
      <c r="O12" s="121">
        <v>385</v>
      </c>
      <c r="P12" s="121">
        <v>90</v>
      </c>
      <c r="Q12" s="121">
        <v>70</v>
      </c>
      <c r="R12" s="121">
        <v>125</v>
      </c>
      <c r="S12" s="121">
        <v>50</v>
      </c>
      <c r="T12" s="121">
        <v>55</v>
      </c>
      <c r="U12" s="121">
        <f t="shared" ref="U12:U75" si="2">SUM(P12:T12)</f>
        <v>390</v>
      </c>
      <c r="V12" s="122" t="str">
        <f t="shared" ref="V12:V75" si="3">IF(U12&lt;=245,"PEMULA",IF(U12&lt;=455,"LANJUT",IF(U12&lt;=700,"MADYA","UTAMA")))</f>
        <v>LANJUT</v>
      </c>
    </row>
    <row r="13" spans="1:22" x14ac:dyDescent="0.35">
      <c r="A13" s="118">
        <v>12</v>
      </c>
      <c r="B13" s="118" t="s">
        <v>164</v>
      </c>
      <c r="C13" s="118" t="s">
        <v>220</v>
      </c>
      <c r="D13" s="121" t="s">
        <v>1553</v>
      </c>
      <c r="E13" s="121" t="s">
        <v>610</v>
      </c>
      <c r="F13" s="121">
        <v>2007</v>
      </c>
      <c r="G13" s="121">
        <v>42</v>
      </c>
      <c r="H13" s="121">
        <v>3</v>
      </c>
      <c r="I13" s="121">
        <v>45</v>
      </c>
      <c r="J13" s="121" t="s">
        <v>1509</v>
      </c>
      <c r="K13" s="123">
        <v>7</v>
      </c>
      <c r="L13" s="121" t="s">
        <v>1554</v>
      </c>
      <c r="M13" s="121" t="s">
        <v>1555</v>
      </c>
      <c r="N13" s="121" t="s">
        <v>1556</v>
      </c>
      <c r="O13" s="121">
        <v>380</v>
      </c>
      <c r="P13" s="121">
        <v>85</v>
      </c>
      <c r="Q13" s="121">
        <v>80</v>
      </c>
      <c r="R13" s="121">
        <v>110</v>
      </c>
      <c r="S13" s="121">
        <v>50</v>
      </c>
      <c r="T13" s="121">
        <v>60</v>
      </c>
      <c r="U13" s="121">
        <f t="shared" si="2"/>
        <v>385</v>
      </c>
      <c r="V13" s="122" t="str">
        <f t="shared" si="3"/>
        <v>LANJUT</v>
      </c>
    </row>
    <row r="14" spans="1:22" x14ac:dyDescent="0.35">
      <c r="A14" s="118">
        <v>13</v>
      </c>
      <c r="B14" s="118" t="s">
        <v>164</v>
      </c>
      <c r="C14" s="118" t="s">
        <v>220</v>
      </c>
      <c r="D14" s="121" t="s">
        <v>1548</v>
      </c>
      <c r="E14" s="121" t="s">
        <v>609</v>
      </c>
      <c r="F14" s="121">
        <v>2007</v>
      </c>
      <c r="G14" s="121">
        <v>63</v>
      </c>
      <c r="H14" s="121">
        <v>3</v>
      </c>
      <c r="I14" s="121">
        <v>66</v>
      </c>
      <c r="J14" s="121" t="s">
        <v>1509</v>
      </c>
      <c r="K14" s="123">
        <v>5</v>
      </c>
      <c r="L14" s="121" t="s">
        <v>1557</v>
      </c>
      <c r="M14" s="121" t="s">
        <v>1558</v>
      </c>
      <c r="N14" s="121" t="s">
        <v>1559</v>
      </c>
      <c r="O14" s="121">
        <v>665</v>
      </c>
      <c r="P14" s="121">
        <v>135</v>
      </c>
      <c r="Q14" s="121">
        <v>115</v>
      </c>
      <c r="R14" s="121">
        <v>250</v>
      </c>
      <c r="S14" s="121">
        <v>80</v>
      </c>
      <c r="T14" s="121">
        <v>85</v>
      </c>
      <c r="U14" s="121">
        <f t="shared" si="2"/>
        <v>665</v>
      </c>
      <c r="V14" s="122" t="str">
        <f t="shared" si="3"/>
        <v>MADYA</v>
      </c>
    </row>
    <row r="15" spans="1:22" x14ac:dyDescent="0.35">
      <c r="A15" s="118">
        <v>14</v>
      </c>
      <c r="B15" s="118" t="s">
        <v>164</v>
      </c>
      <c r="C15" s="118" t="s">
        <v>220</v>
      </c>
      <c r="D15" s="121" t="s">
        <v>1509</v>
      </c>
      <c r="E15" s="121" t="s">
        <v>608</v>
      </c>
      <c r="F15" s="121">
        <v>2007</v>
      </c>
      <c r="G15" s="121">
        <v>72</v>
      </c>
      <c r="H15" s="121" t="s">
        <v>1560</v>
      </c>
      <c r="I15" s="121">
        <v>72</v>
      </c>
      <c r="J15" s="121" t="s">
        <v>1509</v>
      </c>
      <c r="K15" s="123">
        <v>8</v>
      </c>
      <c r="L15" s="121" t="s">
        <v>1561</v>
      </c>
      <c r="M15" s="121" t="s">
        <v>1562</v>
      </c>
      <c r="N15" s="121" t="s">
        <v>1530</v>
      </c>
      <c r="O15" s="121">
        <v>475</v>
      </c>
      <c r="P15" s="121">
        <v>105</v>
      </c>
      <c r="Q15" s="121">
        <v>95</v>
      </c>
      <c r="R15" s="121">
        <v>120</v>
      </c>
      <c r="S15" s="121">
        <v>75</v>
      </c>
      <c r="T15" s="121">
        <v>80</v>
      </c>
      <c r="U15" s="121">
        <f t="shared" si="2"/>
        <v>475</v>
      </c>
      <c r="V15" s="122" t="str">
        <f t="shared" si="3"/>
        <v>MADYA</v>
      </c>
    </row>
    <row r="16" spans="1:22" x14ac:dyDescent="0.35">
      <c r="A16" s="118">
        <v>15</v>
      </c>
      <c r="B16" s="118" t="s">
        <v>164</v>
      </c>
      <c r="C16" s="118" t="s">
        <v>220</v>
      </c>
      <c r="D16" s="121" t="s">
        <v>1563</v>
      </c>
      <c r="E16" s="121" t="s">
        <v>607</v>
      </c>
      <c r="F16" s="121">
        <v>2007</v>
      </c>
      <c r="G16" s="121">
        <v>45</v>
      </c>
      <c r="H16" s="121">
        <v>1</v>
      </c>
      <c r="I16" s="121">
        <v>46</v>
      </c>
      <c r="J16" s="121" t="s">
        <v>1509</v>
      </c>
      <c r="K16" s="123">
        <v>7</v>
      </c>
      <c r="L16" s="121" t="s">
        <v>1564</v>
      </c>
      <c r="M16" s="121" t="s">
        <v>1565</v>
      </c>
      <c r="N16" s="121" t="s">
        <v>1566</v>
      </c>
      <c r="O16" s="121">
        <v>530</v>
      </c>
      <c r="P16" s="121">
        <v>115</v>
      </c>
      <c r="Q16" s="121">
        <v>115</v>
      </c>
      <c r="R16" s="121">
        <v>130</v>
      </c>
      <c r="S16" s="121">
        <v>85</v>
      </c>
      <c r="T16" s="121">
        <v>85</v>
      </c>
      <c r="U16" s="121">
        <f t="shared" si="2"/>
        <v>530</v>
      </c>
      <c r="V16" s="122" t="str">
        <f t="shared" si="3"/>
        <v>MADYA</v>
      </c>
    </row>
    <row r="17" spans="1:22" x14ac:dyDescent="0.35">
      <c r="A17" s="118">
        <v>16</v>
      </c>
      <c r="B17" s="118" t="s">
        <v>164</v>
      </c>
      <c r="C17" s="118" t="s">
        <v>220</v>
      </c>
      <c r="D17" s="121" t="s">
        <v>1567</v>
      </c>
      <c r="E17" s="121" t="s">
        <v>606</v>
      </c>
      <c r="F17" s="121">
        <v>2007</v>
      </c>
      <c r="G17" s="121">
        <v>45</v>
      </c>
      <c r="H17" s="121">
        <v>1</v>
      </c>
      <c r="I17" s="121">
        <v>46</v>
      </c>
      <c r="J17" s="121" t="s">
        <v>1509</v>
      </c>
      <c r="K17" s="123">
        <v>6</v>
      </c>
      <c r="L17" s="121" t="s">
        <v>1568</v>
      </c>
      <c r="M17" s="121" t="s">
        <v>1569</v>
      </c>
      <c r="N17" s="121" t="s">
        <v>1570</v>
      </c>
      <c r="O17" s="121">
        <v>600</v>
      </c>
      <c r="P17" s="121">
        <v>130</v>
      </c>
      <c r="Q17" s="121">
        <v>120</v>
      </c>
      <c r="R17" s="121">
        <v>190</v>
      </c>
      <c r="S17" s="121">
        <v>80</v>
      </c>
      <c r="T17" s="121">
        <v>85</v>
      </c>
      <c r="U17" s="121">
        <f t="shared" si="2"/>
        <v>605</v>
      </c>
      <c r="V17" s="122" t="str">
        <f t="shared" si="3"/>
        <v>MADYA</v>
      </c>
    </row>
    <row r="18" spans="1:22" x14ac:dyDescent="0.35">
      <c r="A18" s="118">
        <v>17</v>
      </c>
      <c r="B18" s="118" t="s">
        <v>164</v>
      </c>
      <c r="C18" s="118" t="s">
        <v>220</v>
      </c>
      <c r="D18" s="121" t="s">
        <v>1571</v>
      </c>
      <c r="E18" s="121" t="s">
        <v>605</v>
      </c>
      <c r="F18" s="121">
        <v>2007</v>
      </c>
      <c r="G18" s="121">
        <v>51</v>
      </c>
      <c r="H18" s="121">
        <v>8</v>
      </c>
      <c r="I18" s="121">
        <v>59</v>
      </c>
      <c r="J18" s="121" t="s">
        <v>1509</v>
      </c>
      <c r="K18" s="123">
        <v>6</v>
      </c>
      <c r="L18" s="121" t="s">
        <v>1572</v>
      </c>
      <c r="M18" s="121" t="s">
        <v>1573</v>
      </c>
      <c r="N18" s="121" t="s">
        <v>1574</v>
      </c>
      <c r="O18" s="121">
        <v>480</v>
      </c>
      <c r="P18" s="121">
        <v>115</v>
      </c>
      <c r="Q18" s="121">
        <v>80</v>
      </c>
      <c r="R18" s="121">
        <v>130</v>
      </c>
      <c r="S18" s="121">
        <v>75</v>
      </c>
      <c r="T18" s="121">
        <v>85</v>
      </c>
      <c r="U18" s="121">
        <f t="shared" si="2"/>
        <v>485</v>
      </c>
      <c r="V18" s="122" t="str">
        <f t="shared" si="3"/>
        <v>MADYA</v>
      </c>
    </row>
    <row r="19" spans="1:22" x14ac:dyDescent="0.35">
      <c r="A19" s="118">
        <v>18</v>
      </c>
      <c r="B19" s="118" t="s">
        <v>164</v>
      </c>
      <c r="C19" s="118" t="s">
        <v>222</v>
      </c>
      <c r="D19" s="124" t="s">
        <v>1517</v>
      </c>
      <c r="E19" s="124" t="s">
        <v>636</v>
      </c>
      <c r="F19" s="124">
        <v>2007</v>
      </c>
      <c r="G19" s="125">
        <v>49</v>
      </c>
      <c r="H19" s="125">
        <v>6</v>
      </c>
      <c r="I19" s="125">
        <v>55</v>
      </c>
      <c r="J19" s="124" t="s">
        <v>1509</v>
      </c>
      <c r="K19" s="126">
        <v>12</v>
      </c>
      <c r="L19" s="124" t="s">
        <v>1575</v>
      </c>
      <c r="M19" s="124" t="s">
        <v>1576</v>
      </c>
      <c r="N19" s="124" t="s">
        <v>1577</v>
      </c>
      <c r="O19" s="127">
        <v>471</v>
      </c>
      <c r="P19" s="127">
        <v>70</v>
      </c>
      <c r="Q19" s="127">
        <v>70</v>
      </c>
      <c r="R19" s="127">
        <v>145</v>
      </c>
      <c r="S19" s="127">
        <v>95</v>
      </c>
      <c r="T19" s="127">
        <v>96</v>
      </c>
      <c r="U19" s="121">
        <f t="shared" si="2"/>
        <v>476</v>
      </c>
      <c r="V19" s="122" t="str">
        <f t="shared" si="3"/>
        <v>MADYA</v>
      </c>
    </row>
    <row r="20" spans="1:22" x14ac:dyDescent="0.35">
      <c r="A20" s="118">
        <v>19</v>
      </c>
      <c r="B20" s="118" t="s">
        <v>164</v>
      </c>
      <c r="C20" s="118" t="s">
        <v>222</v>
      </c>
      <c r="D20" s="124" t="s">
        <v>1578</v>
      </c>
      <c r="E20" s="124" t="s">
        <v>635</v>
      </c>
      <c r="F20" s="124">
        <v>2007</v>
      </c>
      <c r="G20" s="125">
        <v>56</v>
      </c>
      <c r="H20" s="125">
        <v>6</v>
      </c>
      <c r="I20" s="125">
        <v>62</v>
      </c>
      <c r="J20" s="124" t="s">
        <v>1509</v>
      </c>
      <c r="K20" s="126">
        <v>5</v>
      </c>
      <c r="L20" s="124" t="s">
        <v>1579</v>
      </c>
      <c r="M20" s="124" t="s">
        <v>1580</v>
      </c>
      <c r="N20" s="124" t="s">
        <v>1581</v>
      </c>
      <c r="O20" s="127">
        <v>390</v>
      </c>
      <c r="P20" s="127">
        <v>70</v>
      </c>
      <c r="Q20" s="127">
        <v>67</v>
      </c>
      <c r="R20" s="127">
        <v>113</v>
      </c>
      <c r="S20" s="127">
        <v>70</v>
      </c>
      <c r="T20" s="127">
        <v>75</v>
      </c>
      <c r="U20" s="121">
        <f t="shared" si="2"/>
        <v>395</v>
      </c>
      <c r="V20" s="122" t="str">
        <f t="shared" si="3"/>
        <v>LANJUT</v>
      </c>
    </row>
    <row r="21" spans="1:22" x14ac:dyDescent="0.35">
      <c r="A21" s="118">
        <v>20</v>
      </c>
      <c r="B21" s="118" t="s">
        <v>164</v>
      </c>
      <c r="C21" s="118" t="s">
        <v>222</v>
      </c>
      <c r="D21" s="124" t="s">
        <v>1541</v>
      </c>
      <c r="E21" s="124" t="s">
        <v>634</v>
      </c>
      <c r="F21" s="124">
        <v>2007</v>
      </c>
      <c r="G21" s="125">
        <v>67</v>
      </c>
      <c r="H21" s="125">
        <v>1</v>
      </c>
      <c r="I21" s="125">
        <v>68</v>
      </c>
      <c r="J21" s="124" t="s">
        <v>1509</v>
      </c>
      <c r="K21" s="126">
        <v>6</v>
      </c>
      <c r="L21" s="124" t="s">
        <v>1582</v>
      </c>
      <c r="M21" s="124" t="s">
        <v>1583</v>
      </c>
      <c r="N21" s="124" t="s">
        <v>1584</v>
      </c>
      <c r="O21" s="127">
        <v>450</v>
      </c>
      <c r="P21" s="127">
        <v>80</v>
      </c>
      <c r="Q21" s="127">
        <v>75</v>
      </c>
      <c r="R21" s="127">
        <v>125</v>
      </c>
      <c r="S21" s="127">
        <v>70</v>
      </c>
      <c r="T21" s="127">
        <v>105</v>
      </c>
      <c r="U21" s="121">
        <f t="shared" si="2"/>
        <v>455</v>
      </c>
      <c r="V21" s="122" t="str">
        <f t="shared" si="3"/>
        <v>LANJUT</v>
      </c>
    </row>
    <row r="22" spans="1:22" x14ac:dyDescent="0.35">
      <c r="A22" s="118">
        <v>21</v>
      </c>
      <c r="B22" s="118" t="s">
        <v>164</v>
      </c>
      <c r="C22" s="118" t="s">
        <v>222</v>
      </c>
      <c r="D22" s="124" t="s">
        <v>1585</v>
      </c>
      <c r="E22" s="124" t="s">
        <v>633</v>
      </c>
      <c r="F22" s="124">
        <v>2007</v>
      </c>
      <c r="G22" s="125">
        <v>30</v>
      </c>
      <c r="H22" s="125">
        <v>1</v>
      </c>
      <c r="I22" s="125">
        <v>31</v>
      </c>
      <c r="J22" s="124" t="s">
        <v>1509</v>
      </c>
      <c r="K22" s="126">
        <v>11</v>
      </c>
      <c r="L22" s="124" t="s">
        <v>1586</v>
      </c>
      <c r="M22" s="124" t="s">
        <v>1587</v>
      </c>
      <c r="N22" s="124" t="s">
        <v>1588</v>
      </c>
      <c r="O22" s="127">
        <v>425</v>
      </c>
      <c r="P22" s="127">
        <v>80</v>
      </c>
      <c r="Q22" s="127">
        <v>75</v>
      </c>
      <c r="R22" s="127">
        <v>110</v>
      </c>
      <c r="S22" s="127">
        <v>70</v>
      </c>
      <c r="T22" s="127">
        <v>95</v>
      </c>
      <c r="U22" s="121">
        <f t="shared" si="2"/>
        <v>430</v>
      </c>
      <c r="V22" s="122" t="str">
        <f t="shared" si="3"/>
        <v>LANJUT</v>
      </c>
    </row>
    <row r="23" spans="1:22" x14ac:dyDescent="0.35">
      <c r="A23" s="118">
        <v>22</v>
      </c>
      <c r="B23" s="118" t="s">
        <v>164</v>
      </c>
      <c r="C23" s="118" t="s">
        <v>222</v>
      </c>
      <c r="D23" s="124" t="s">
        <v>1589</v>
      </c>
      <c r="E23" s="124" t="s">
        <v>632</v>
      </c>
      <c r="F23" s="124">
        <v>2007</v>
      </c>
      <c r="G23" s="125">
        <v>50</v>
      </c>
      <c r="H23" s="125">
        <v>6</v>
      </c>
      <c r="I23" s="125">
        <v>56</v>
      </c>
      <c r="J23" s="124" t="s">
        <v>1509</v>
      </c>
      <c r="K23" s="126">
        <v>9</v>
      </c>
      <c r="L23" s="124" t="s">
        <v>1590</v>
      </c>
      <c r="M23" s="124" t="s">
        <v>1591</v>
      </c>
      <c r="N23" s="124" t="s">
        <v>1592</v>
      </c>
      <c r="O23" s="127">
        <v>400</v>
      </c>
      <c r="P23" s="127">
        <v>80</v>
      </c>
      <c r="Q23" s="127">
        <v>75</v>
      </c>
      <c r="R23" s="127">
        <v>90</v>
      </c>
      <c r="S23" s="127">
        <v>70</v>
      </c>
      <c r="T23" s="127">
        <v>85</v>
      </c>
      <c r="U23" s="121">
        <f t="shared" si="2"/>
        <v>400</v>
      </c>
      <c r="V23" s="122" t="str">
        <f t="shared" si="3"/>
        <v>LANJUT</v>
      </c>
    </row>
    <row r="24" spans="1:22" x14ac:dyDescent="0.35">
      <c r="A24" s="118">
        <v>23</v>
      </c>
      <c r="B24" s="118" t="s">
        <v>164</v>
      </c>
      <c r="C24" s="128" t="s">
        <v>210</v>
      </c>
      <c r="D24" s="128" t="s">
        <v>1517</v>
      </c>
      <c r="E24" s="128" t="s">
        <v>534</v>
      </c>
      <c r="F24" s="128">
        <v>1994</v>
      </c>
      <c r="G24" s="128">
        <v>86</v>
      </c>
      <c r="H24" s="128">
        <v>19</v>
      </c>
      <c r="I24" s="128">
        <f t="shared" ref="I24:I47" si="4">H24+G24</f>
        <v>105</v>
      </c>
      <c r="J24" s="128" t="s">
        <v>1509</v>
      </c>
      <c r="K24" s="123">
        <v>12</v>
      </c>
      <c r="L24" s="129" t="s">
        <v>1593</v>
      </c>
      <c r="M24" s="129" t="s">
        <v>1580</v>
      </c>
      <c r="N24" s="129" t="s">
        <v>1594</v>
      </c>
      <c r="O24" s="128">
        <v>614</v>
      </c>
      <c r="P24" s="128">
        <v>134</v>
      </c>
      <c r="Q24" s="128">
        <v>115</v>
      </c>
      <c r="R24" s="128">
        <v>222</v>
      </c>
      <c r="S24" s="128">
        <v>80</v>
      </c>
      <c r="T24" s="128">
        <v>80</v>
      </c>
      <c r="U24" s="121">
        <f t="shared" si="2"/>
        <v>631</v>
      </c>
      <c r="V24" s="122" t="str">
        <f t="shared" si="3"/>
        <v>MADYA</v>
      </c>
    </row>
    <row r="25" spans="1:22" x14ac:dyDescent="0.35">
      <c r="A25" s="118">
        <v>24</v>
      </c>
      <c r="B25" s="118" t="s">
        <v>164</v>
      </c>
      <c r="C25" s="128" t="s">
        <v>210</v>
      </c>
      <c r="D25" s="128" t="s">
        <v>1595</v>
      </c>
      <c r="E25" s="128" t="s">
        <v>533</v>
      </c>
      <c r="F25" s="128">
        <v>1994</v>
      </c>
      <c r="G25" s="128">
        <v>63</v>
      </c>
      <c r="H25" s="128">
        <v>11</v>
      </c>
      <c r="I25" s="128">
        <f t="shared" si="4"/>
        <v>74</v>
      </c>
      <c r="J25" s="128" t="s">
        <v>1509</v>
      </c>
      <c r="K25" s="123">
        <v>20</v>
      </c>
      <c r="L25" s="129" t="s">
        <v>1596</v>
      </c>
      <c r="M25" s="129" t="s">
        <v>1597</v>
      </c>
      <c r="N25" s="129" t="s">
        <v>1598</v>
      </c>
      <c r="O25" s="128">
        <v>732</v>
      </c>
      <c r="P25" s="128">
        <v>150</v>
      </c>
      <c r="Q25" s="128">
        <v>130</v>
      </c>
      <c r="R25" s="128">
        <v>306</v>
      </c>
      <c r="S25" s="128">
        <v>81</v>
      </c>
      <c r="T25" s="128">
        <v>85</v>
      </c>
      <c r="U25" s="121">
        <f t="shared" si="2"/>
        <v>752</v>
      </c>
      <c r="V25" s="122" t="str">
        <f t="shared" si="3"/>
        <v>UTAMA</v>
      </c>
    </row>
    <row r="26" spans="1:22" x14ac:dyDescent="0.35">
      <c r="A26" s="118">
        <v>25</v>
      </c>
      <c r="B26" s="118" t="s">
        <v>164</v>
      </c>
      <c r="C26" s="128" t="s">
        <v>210</v>
      </c>
      <c r="D26" s="122" t="s">
        <v>1599</v>
      </c>
      <c r="E26" s="128" t="s">
        <v>532</v>
      </c>
      <c r="F26" s="128">
        <v>1994</v>
      </c>
      <c r="G26" s="128">
        <v>78</v>
      </c>
      <c r="H26" s="128">
        <v>17</v>
      </c>
      <c r="I26" s="128">
        <f t="shared" si="4"/>
        <v>95</v>
      </c>
      <c r="J26" s="122" t="s">
        <v>1509</v>
      </c>
      <c r="K26" s="130">
        <v>17</v>
      </c>
      <c r="L26" s="131" t="s">
        <v>1600</v>
      </c>
      <c r="M26" s="131" t="s">
        <v>1601</v>
      </c>
      <c r="N26" s="131" t="s">
        <v>1602</v>
      </c>
      <c r="O26" s="122">
        <v>624</v>
      </c>
      <c r="P26" s="122">
        <v>135</v>
      </c>
      <c r="Q26" s="122">
        <v>115</v>
      </c>
      <c r="R26" s="122">
        <v>217</v>
      </c>
      <c r="S26" s="122">
        <v>80</v>
      </c>
      <c r="T26" s="122">
        <v>78</v>
      </c>
      <c r="U26" s="121">
        <f t="shared" si="2"/>
        <v>625</v>
      </c>
      <c r="V26" s="122" t="str">
        <f t="shared" si="3"/>
        <v>MADYA</v>
      </c>
    </row>
    <row r="27" spans="1:22" x14ac:dyDescent="0.35">
      <c r="A27" s="118">
        <v>26</v>
      </c>
      <c r="B27" s="118" t="s">
        <v>164</v>
      </c>
      <c r="C27" s="128" t="s">
        <v>210</v>
      </c>
      <c r="D27" s="122" t="s">
        <v>1603</v>
      </c>
      <c r="E27" s="128" t="s">
        <v>531</v>
      </c>
      <c r="F27" s="128">
        <v>1994</v>
      </c>
      <c r="G27" s="128">
        <v>69</v>
      </c>
      <c r="H27" s="128">
        <v>17</v>
      </c>
      <c r="I27" s="128">
        <f t="shared" si="4"/>
        <v>86</v>
      </c>
      <c r="J27" s="122" t="s">
        <v>1509</v>
      </c>
      <c r="K27" s="130">
        <v>17</v>
      </c>
      <c r="L27" s="131" t="s">
        <v>1604</v>
      </c>
      <c r="M27" s="131" t="s">
        <v>1605</v>
      </c>
      <c r="N27" s="131" t="s">
        <v>1593</v>
      </c>
      <c r="O27" s="122">
        <v>618</v>
      </c>
      <c r="P27" s="122">
        <v>135</v>
      </c>
      <c r="Q27" s="122">
        <v>106</v>
      </c>
      <c r="R27" s="122">
        <v>226</v>
      </c>
      <c r="S27" s="122">
        <v>80</v>
      </c>
      <c r="T27" s="122">
        <v>80</v>
      </c>
      <c r="U27" s="121">
        <f t="shared" si="2"/>
        <v>627</v>
      </c>
      <c r="V27" s="122" t="str">
        <f t="shared" si="3"/>
        <v>MADYA</v>
      </c>
    </row>
    <row r="28" spans="1:22" x14ac:dyDescent="0.35">
      <c r="A28" s="118">
        <v>27</v>
      </c>
      <c r="B28" s="118" t="s">
        <v>164</v>
      </c>
      <c r="C28" s="128" t="s">
        <v>210</v>
      </c>
      <c r="D28" s="122" t="s">
        <v>1606</v>
      </c>
      <c r="E28" s="128" t="s">
        <v>530</v>
      </c>
      <c r="F28" s="128">
        <v>1994</v>
      </c>
      <c r="G28" s="128">
        <v>51</v>
      </c>
      <c r="H28" s="128">
        <v>15</v>
      </c>
      <c r="I28" s="128">
        <f t="shared" si="4"/>
        <v>66</v>
      </c>
      <c r="J28" s="122" t="s">
        <v>1509</v>
      </c>
      <c r="K28" s="130">
        <v>12</v>
      </c>
      <c r="L28" s="131" t="s">
        <v>1607</v>
      </c>
      <c r="M28" s="131" t="s">
        <v>1608</v>
      </c>
      <c r="N28" s="131" t="s">
        <v>1530</v>
      </c>
      <c r="O28" s="122">
        <v>620</v>
      </c>
      <c r="P28" s="122">
        <v>135</v>
      </c>
      <c r="Q28" s="122">
        <v>115</v>
      </c>
      <c r="R28" s="122">
        <v>216</v>
      </c>
      <c r="S28" s="122">
        <v>80</v>
      </c>
      <c r="T28" s="122">
        <v>80</v>
      </c>
      <c r="U28" s="121">
        <f t="shared" si="2"/>
        <v>626</v>
      </c>
      <c r="V28" s="122" t="str">
        <f t="shared" si="3"/>
        <v>MADYA</v>
      </c>
    </row>
    <row r="29" spans="1:22" x14ac:dyDescent="0.35">
      <c r="A29" s="118">
        <v>28</v>
      </c>
      <c r="B29" s="118" t="s">
        <v>164</v>
      </c>
      <c r="C29" s="128" t="s">
        <v>210</v>
      </c>
      <c r="D29" s="122" t="s">
        <v>1609</v>
      </c>
      <c r="E29" s="128" t="s">
        <v>529</v>
      </c>
      <c r="F29" s="128">
        <v>1994</v>
      </c>
      <c r="G29" s="128">
        <v>27</v>
      </c>
      <c r="H29" s="128">
        <v>8</v>
      </c>
      <c r="I29" s="128">
        <f t="shared" si="4"/>
        <v>35</v>
      </c>
      <c r="J29" s="122" t="s">
        <v>1509</v>
      </c>
      <c r="K29" s="130">
        <v>10</v>
      </c>
      <c r="L29" s="131" t="s">
        <v>1610</v>
      </c>
      <c r="M29" s="131" t="s">
        <v>1611</v>
      </c>
      <c r="N29" s="131" t="s">
        <v>1612</v>
      </c>
      <c r="O29" s="122">
        <v>590</v>
      </c>
      <c r="P29" s="122">
        <v>105</v>
      </c>
      <c r="Q29" s="122">
        <v>115</v>
      </c>
      <c r="R29" s="122">
        <v>247</v>
      </c>
      <c r="S29" s="122">
        <v>80</v>
      </c>
      <c r="T29" s="122">
        <v>80</v>
      </c>
      <c r="U29" s="121">
        <f t="shared" si="2"/>
        <v>627</v>
      </c>
      <c r="V29" s="122" t="str">
        <f t="shared" si="3"/>
        <v>MADYA</v>
      </c>
    </row>
    <row r="30" spans="1:22" x14ac:dyDescent="0.35">
      <c r="A30" s="118">
        <v>29</v>
      </c>
      <c r="B30" s="118" t="s">
        <v>164</v>
      </c>
      <c r="C30" s="128" t="s">
        <v>210</v>
      </c>
      <c r="D30" s="128" t="s">
        <v>1613</v>
      </c>
      <c r="E30" s="128" t="s">
        <v>528</v>
      </c>
      <c r="F30" s="128">
        <v>1994</v>
      </c>
      <c r="G30" s="128">
        <v>82</v>
      </c>
      <c r="H30" s="128">
        <v>13</v>
      </c>
      <c r="I30" s="128">
        <f t="shared" si="4"/>
        <v>95</v>
      </c>
      <c r="J30" s="128" t="s">
        <v>1509</v>
      </c>
      <c r="K30" s="123">
        <v>13</v>
      </c>
      <c r="L30" s="129" t="s">
        <v>1614</v>
      </c>
      <c r="M30" s="129" t="s">
        <v>1615</v>
      </c>
      <c r="N30" s="129" t="s">
        <v>1616</v>
      </c>
      <c r="O30" s="128">
        <v>613</v>
      </c>
      <c r="P30" s="128">
        <v>133</v>
      </c>
      <c r="Q30" s="128">
        <v>115</v>
      </c>
      <c r="R30" s="128">
        <v>208</v>
      </c>
      <c r="S30" s="128">
        <v>80</v>
      </c>
      <c r="T30" s="128">
        <v>80</v>
      </c>
      <c r="U30" s="121">
        <f t="shared" si="2"/>
        <v>616</v>
      </c>
      <c r="V30" s="122" t="str">
        <f t="shared" si="3"/>
        <v>MADYA</v>
      </c>
    </row>
    <row r="31" spans="1:22" x14ac:dyDescent="0.35">
      <c r="A31" s="118">
        <v>30</v>
      </c>
      <c r="B31" s="118" t="s">
        <v>164</v>
      </c>
      <c r="C31" s="128" t="s">
        <v>210</v>
      </c>
      <c r="D31" s="128" t="s">
        <v>1599</v>
      </c>
      <c r="E31" s="128" t="s">
        <v>527</v>
      </c>
      <c r="F31" s="128">
        <v>2008</v>
      </c>
      <c r="G31" s="128">
        <v>80</v>
      </c>
      <c r="H31" s="128">
        <v>46</v>
      </c>
      <c r="I31" s="128">
        <f t="shared" si="4"/>
        <v>126</v>
      </c>
      <c r="J31" s="128" t="s">
        <v>1509</v>
      </c>
      <c r="K31" s="123">
        <v>7</v>
      </c>
      <c r="L31" s="129" t="s">
        <v>1617</v>
      </c>
      <c r="M31" s="129" t="s">
        <v>1618</v>
      </c>
      <c r="N31" s="129" t="s">
        <v>1619</v>
      </c>
      <c r="O31" s="128">
        <v>524</v>
      </c>
      <c r="P31" s="128">
        <v>100</v>
      </c>
      <c r="Q31" s="128">
        <v>115</v>
      </c>
      <c r="R31" s="128">
        <v>210</v>
      </c>
      <c r="S31" s="128">
        <v>80</v>
      </c>
      <c r="T31" s="128">
        <v>80</v>
      </c>
      <c r="U31" s="121">
        <f t="shared" si="2"/>
        <v>585</v>
      </c>
      <c r="V31" s="122" t="str">
        <f t="shared" si="3"/>
        <v>MADYA</v>
      </c>
    </row>
    <row r="32" spans="1:22" x14ac:dyDescent="0.35">
      <c r="A32" s="118">
        <v>31</v>
      </c>
      <c r="B32" s="118" t="s">
        <v>164</v>
      </c>
      <c r="C32" s="128" t="s">
        <v>210</v>
      </c>
      <c r="D32" s="128" t="s">
        <v>1609</v>
      </c>
      <c r="E32" s="128" t="s">
        <v>526</v>
      </c>
      <c r="F32" s="128">
        <v>2010</v>
      </c>
      <c r="G32" s="128">
        <v>60</v>
      </c>
      <c r="H32" s="128">
        <v>16</v>
      </c>
      <c r="I32" s="128">
        <f t="shared" si="4"/>
        <v>76</v>
      </c>
      <c r="J32" s="128" t="s">
        <v>1509</v>
      </c>
      <c r="K32" s="123">
        <v>7</v>
      </c>
      <c r="L32" s="129" t="s">
        <v>1620</v>
      </c>
      <c r="M32" s="129" t="s">
        <v>1621</v>
      </c>
      <c r="N32" s="129" t="s">
        <v>1622</v>
      </c>
      <c r="O32" s="128">
        <v>515</v>
      </c>
      <c r="P32" s="128">
        <v>133</v>
      </c>
      <c r="Q32" s="128">
        <v>115</v>
      </c>
      <c r="R32" s="128">
        <v>201</v>
      </c>
      <c r="S32" s="128">
        <v>45</v>
      </c>
      <c r="T32" s="128">
        <v>77</v>
      </c>
      <c r="U32" s="121">
        <f t="shared" si="2"/>
        <v>571</v>
      </c>
      <c r="V32" s="122" t="str">
        <f t="shared" si="3"/>
        <v>MADYA</v>
      </c>
    </row>
    <row r="33" spans="1:22" x14ac:dyDescent="0.35">
      <c r="A33" s="118">
        <v>32</v>
      </c>
      <c r="B33" s="118" t="s">
        <v>164</v>
      </c>
      <c r="C33" s="128" t="s">
        <v>210</v>
      </c>
      <c r="D33" s="128" t="s">
        <v>1606</v>
      </c>
      <c r="E33" s="128" t="s">
        <v>525</v>
      </c>
      <c r="F33" s="128">
        <v>2015</v>
      </c>
      <c r="G33" s="128">
        <v>26</v>
      </c>
      <c r="H33" s="128">
        <v>3</v>
      </c>
      <c r="I33" s="128">
        <f t="shared" si="4"/>
        <v>29</v>
      </c>
      <c r="J33" s="128" t="s">
        <v>1509</v>
      </c>
      <c r="K33" s="123">
        <v>10</v>
      </c>
      <c r="L33" s="129" t="s">
        <v>1623</v>
      </c>
      <c r="M33" s="129" t="s">
        <v>1624</v>
      </c>
      <c r="N33" s="129" t="s">
        <v>1625</v>
      </c>
      <c r="O33" s="128">
        <v>514</v>
      </c>
      <c r="P33" s="128">
        <v>132</v>
      </c>
      <c r="Q33" s="128">
        <v>115</v>
      </c>
      <c r="R33" s="128">
        <v>185</v>
      </c>
      <c r="S33" s="128">
        <v>40</v>
      </c>
      <c r="T33" s="128">
        <v>77</v>
      </c>
      <c r="U33" s="121">
        <f t="shared" si="2"/>
        <v>549</v>
      </c>
      <c r="V33" s="122" t="str">
        <f t="shared" si="3"/>
        <v>MADYA</v>
      </c>
    </row>
    <row r="34" spans="1:22" x14ac:dyDescent="0.35">
      <c r="A34" s="118">
        <v>33</v>
      </c>
      <c r="B34" s="118" t="s">
        <v>164</v>
      </c>
      <c r="C34" s="128" t="s">
        <v>210</v>
      </c>
      <c r="D34" s="128" t="s">
        <v>1606</v>
      </c>
      <c r="E34" s="128" t="s">
        <v>524</v>
      </c>
      <c r="F34" s="128">
        <v>2006</v>
      </c>
      <c r="G34" s="128">
        <v>52</v>
      </c>
      <c r="H34" s="128">
        <v>8</v>
      </c>
      <c r="I34" s="128">
        <f t="shared" si="4"/>
        <v>60</v>
      </c>
      <c r="J34" s="128" t="s">
        <v>1509</v>
      </c>
      <c r="K34" s="123">
        <v>6</v>
      </c>
      <c r="L34" s="128" t="s">
        <v>1626</v>
      </c>
      <c r="M34" s="128" t="s">
        <v>1627</v>
      </c>
      <c r="N34" s="128" t="s">
        <v>1628</v>
      </c>
      <c r="O34" s="128">
        <v>408</v>
      </c>
      <c r="P34" s="128">
        <v>100</v>
      </c>
      <c r="Q34" s="128">
        <v>115</v>
      </c>
      <c r="R34" s="128">
        <v>185</v>
      </c>
      <c r="S34" s="128">
        <v>40</v>
      </c>
      <c r="T34" s="128">
        <v>77</v>
      </c>
      <c r="U34" s="121">
        <f t="shared" si="2"/>
        <v>517</v>
      </c>
      <c r="V34" s="122" t="str">
        <f t="shared" si="3"/>
        <v>MADYA</v>
      </c>
    </row>
    <row r="35" spans="1:22" x14ac:dyDescent="0.35">
      <c r="A35" s="118">
        <v>34</v>
      </c>
      <c r="B35" s="118" t="s">
        <v>164</v>
      </c>
      <c r="C35" s="128" t="s">
        <v>210</v>
      </c>
      <c r="D35" s="128" t="s">
        <v>1517</v>
      </c>
      <c r="E35" s="128" t="s">
        <v>1629</v>
      </c>
      <c r="F35" s="128">
        <v>2023</v>
      </c>
      <c r="G35" s="128">
        <v>17</v>
      </c>
      <c r="H35" s="128">
        <v>3</v>
      </c>
      <c r="I35" s="128">
        <f t="shared" si="4"/>
        <v>20</v>
      </c>
      <c r="J35" s="128" t="s">
        <v>1509</v>
      </c>
      <c r="K35" s="123">
        <v>5</v>
      </c>
      <c r="L35" s="128" t="s">
        <v>1630</v>
      </c>
      <c r="M35" s="128" t="s">
        <v>1631</v>
      </c>
      <c r="N35" s="128" t="s">
        <v>1632</v>
      </c>
      <c r="O35" s="128">
        <v>0</v>
      </c>
      <c r="P35" s="128">
        <v>65</v>
      </c>
      <c r="Q35" s="128">
        <v>20</v>
      </c>
      <c r="R35" s="128">
        <v>160</v>
      </c>
      <c r="S35" s="128">
        <v>10</v>
      </c>
      <c r="T35" s="128">
        <v>10</v>
      </c>
      <c r="U35" s="121">
        <f t="shared" si="2"/>
        <v>265</v>
      </c>
      <c r="V35" s="122" t="str">
        <f t="shared" si="3"/>
        <v>LANJUT</v>
      </c>
    </row>
    <row r="36" spans="1:22" x14ac:dyDescent="0.35">
      <c r="A36" s="118">
        <v>35</v>
      </c>
      <c r="B36" s="118" t="s">
        <v>164</v>
      </c>
      <c r="C36" s="128" t="s">
        <v>211</v>
      </c>
      <c r="D36" s="128" t="s">
        <v>1633</v>
      </c>
      <c r="E36" s="128" t="s">
        <v>540</v>
      </c>
      <c r="F36" s="128">
        <v>2005</v>
      </c>
      <c r="G36" s="128">
        <v>65</v>
      </c>
      <c r="H36" s="128">
        <v>6</v>
      </c>
      <c r="I36" s="128">
        <f t="shared" si="4"/>
        <v>71</v>
      </c>
      <c r="J36" s="128" t="s">
        <v>1509</v>
      </c>
      <c r="K36" s="123">
        <v>17.100000000000001</v>
      </c>
      <c r="L36" s="129" t="s">
        <v>1634</v>
      </c>
      <c r="M36" s="129" t="s">
        <v>1635</v>
      </c>
      <c r="N36" s="129" t="s">
        <v>1636</v>
      </c>
      <c r="O36" s="128">
        <v>600</v>
      </c>
      <c r="P36" s="128">
        <v>128</v>
      </c>
      <c r="Q36" s="128">
        <v>83</v>
      </c>
      <c r="R36" s="128">
        <v>246</v>
      </c>
      <c r="S36" s="128">
        <v>75</v>
      </c>
      <c r="T36" s="128">
        <v>80</v>
      </c>
      <c r="U36" s="121">
        <f t="shared" si="2"/>
        <v>612</v>
      </c>
      <c r="V36" s="122" t="str">
        <f t="shared" si="3"/>
        <v>MADYA</v>
      </c>
    </row>
    <row r="37" spans="1:22" x14ac:dyDescent="0.35">
      <c r="A37" s="118">
        <v>36</v>
      </c>
      <c r="B37" s="118" t="s">
        <v>164</v>
      </c>
      <c r="C37" s="128" t="s">
        <v>211</v>
      </c>
      <c r="D37" s="128" t="s">
        <v>1637</v>
      </c>
      <c r="E37" s="128" t="s">
        <v>539</v>
      </c>
      <c r="F37" s="128">
        <v>2005</v>
      </c>
      <c r="G37" s="128">
        <v>36</v>
      </c>
      <c r="H37" s="128">
        <v>6</v>
      </c>
      <c r="I37" s="128">
        <f t="shared" si="4"/>
        <v>42</v>
      </c>
      <c r="J37" s="128" t="s">
        <v>1509</v>
      </c>
      <c r="K37" s="123">
        <v>3.3</v>
      </c>
      <c r="L37" s="129" t="s">
        <v>1638</v>
      </c>
      <c r="M37" s="129" t="s">
        <v>1639</v>
      </c>
      <c r="N37" s="129" t="s">
        <v>1640</v>
      </c>
      <c r="O37" s="128">
        <v>584</v>
      </c>
      <c r="P37" s="128">
        <v>115</v>
      </c>
      <c r="Q37" s="128">
        <v>83</v>
      </c>
      <c r="R37" s="128">
        <v>247</v>
      </c>
      <c r="S37" s="128">
        <v>80</v>
      </c>
      <c r="T37" s="128">
        <v>70</v>
      </c>
      <c r="U37" s="121">
        <f t="shared" si="2"/>
        <v>595</v>
      </c>
      <c r="V37" s="122" t="str">
        <f t="shared" si="3"/>
        <v>MADYA</v>
      </c>
    </row>
    <row r="38" spans="1:22" x14ac:dyDescent="0.35">
      <c r="A38" s="118">
        <v>37</v>
      </c>
      <c r="B38" s="118" t="s">
        <v>164</v>
      </c>
      <c r="C38" s="128" t="s">
        <v>211</v>
      </c>
      <c r="D38" s="122" t="s">
        <v>1641</v>
      </c>
      <c r="E38" s="122" t="s">
        <v>538</v>
      </c>
      <c r="F38" s="122">
        <v>2005</v>
      </c>
      <c r="G38" s="128">
        <v>33</v>
      </c>
      <c r="H38" s="128">
        <v>10</v>
      </c>
      <c r="I38" s="128">
        <f t="shared" si="4"/>
        <v>43</v>
      </c>
      <c r="J38" s="122" t="s">
        <v>1509</v>
      </c>
      <c r="K38" s="130">
        <v>11.2</v>
      </c>
      <c r="L38" s="131" t="s">
        <v>1634</v>
      </c>
      <c r="M38" s="131" t="s">
        <v>1642</v>
      </c>
      <c r="N38" s="131" t="s">
        <v>1643</v>
      </c>
      <c r="O38" s="122">
        <v>566</v>
      </c>
      <c r="P38" s="122">
        <v>129</v>
      </c>
      <c r="Q38" s="122">
        <v>83</v>
      </c>
      <c r="R38" s="122">
        <v>204</v>
      </c>
      <c r="S38" s="122">
        <v>80</v>
      </c>
      <c r="T38" s="122">
        <v>86</v>
      </c>
      <c r="U38" s="121">
        <f t="shared" si="2"/>
        <v>582</v>
      </c>
      <c r="V38" s="122" t="str">
        <f t="shared" si="3"/>
        <v>MADYA</v>
      </c>
    </row>
    <row r="39" spans="1:22" x14ac:dyDescent="0.35">
      <c r="A39" s="118">
        <v>38</v>
      </c>
      <c r="B39" s="118" t="s">
        <v>164</v>
      </c>
      <c r="C39" s="128" t="s">
        <v>211</v>
      </c>
      <c r="D39" s="122" t="s">
        <v>1644</v>
      </c>
      <c r="E39" s="122" t="s">
        <v>537</v>
      </c>
      <c r="F39" s="122">
        <v>2005</v>
      </c>
      <c r="G39" s="128">
        <v>47</v>
      </c>
      <c r="H39" s="128">
        <v>10</v>
      </c>
      <c r="I39" s="128">
        <f t="shared" si="4"/>
        <v>57</v>
      </c>
      <c r="J39" s="122" t="s">
        <v>1509</v>
      </c>
      <c r="K39" s="130">
        <v>2.1</v>
      </c>
      <c r="L39" s="131" t="s">
        <v>1645</v>
      </c>
      <c r="M39" s="131" t="s">
        <v>1643</v>
      </c>
      <c r="N39" s="131" t="s">
        <v>1608</v>
      </c>
      <c r="O39" s="122">
        <v>607</v>
      </c>
      <c r="P39" s="122">
        <v>135</v>
      </c>
      <c r="Q39" s="122">
        <v>83</v>
      </c>
      <c r="R39" s="122">
        <v>257</v>
      </c>
      <c r="S39" s="122">
        <v>80</v>
      </c>
      <c r="T39" s="122">
        <v>80</v>
      </c>
      <c r="U39" s="121">
        <f t="shared" si="2"/>
        <v>635</v>
      </c>
      <c r="V39" s="122" t="str">
        <f t="shared" si="3"/>
        <v>MADYA</v>
      </c>
    </row>
    <row r="40" spans="1:22" x14ac:dyDescent="0.35">
      <c r="A40" s="118">
        <v>39</v>
      </c>
      <c r="B40" s="118" t="s">
        <v>164</v>
      </c>
      <c r="C40" s="128" t="s">
        <v>211</v>
      </c>
      <c r="D40" s="122" t="s">
        <v>1510</v>
      </c>
      <c r="E40" s="122" t="s">
        <v>536</v>
      </c>
      <c r="F40" s="122">
        <v>2005</v>
      </c>
      <c r="G40" s="128">
        <v>33</v>
      </c>
      <c r="H40" s="128">
        <v>6</v>
      </c>
      <c r="I40" s="128">
        <f t="shared" si="4"/>
        <v>39</v>
      </c>
      <c r="J40" s="122" t="s">
        <v>1509</v>
      </c>
      <c r="K40" s="130">
        <v>14.2</v>
      </c>
      <c r="L40" s="131" t="s">
        <v>1646</v>
      </c>
      <c r="M40" s="131" t="s">
        <v>1647</v>
      </c>
      <c r="N40" s="131" t="s">
        <v>1636</v>
      </c>
      <c r="O40" s="122">
        <v>558</v>
      </c>
      <c r="P40" s="122">
        <v>135</v>
      </c>
      <c r="Q40" s="122">
        <v>87</v>
      </c>
      <c r="R40" s="122">
        <v>236</v>
      </c>
      <c r="S40" s="122">
        <v>80</v>
      </c>
      <c r="T40" s="122">
        <v>80</v>
      </c>
      <c r="U40" s="121">
        <f t="shared" si="2"/>
        <v>618</v>
      </c>
      <c r="V40" s="122" t="str">
        <f t="shared" si="3"/>
        <v>MADYA</v>
      </c>
    </row>
    <row r="41" spans="1:22" x14ac:dyDescent="0.35">
      <c r="A41" s="118">
        <v>40</v>
      </c>
      <c r="B41" s="118" t="s">
        <v>164</v>
      </c>
      <c r="C41" s="128" t="s">
        <v>211</v>
      </c>
      <c r="D41" s="122" t="s">
        <v>1648</v>
      </c>
      <c r="E41" s="122" t="s">
        <v>535</v>
      </c>
      <c r="F41" s="122">
        <v>2005</v>
      </c>
      <c r="G41" s="128">
        <v>27</v>
      </c>
      <c r="H41" s="128">
        <v>6</v>
      </c>
      <c r="I41" s="128">
        <f t="shared" si="4"/>
        <v>33</v>
      </c>
      <c r="J41" s="122" t="s">
        <v>1509</v>
      </c>
      <c r="K41" s="130">
        <v>38.1</v>
      </c>
      <c r="L41" s="131" t="s">
        <v>1649</v>
      </c>
      <c r="M41" s="131" t="s">
        <v>1650</v>
      </c>
      <c r="N41" s="131" t="s">
        <v>1651</v>
      </c>
      <c r="O41" s="122">
        <v>563</v>
      </c>
      <c r="P41" s="122">
        <v>130</v>
      </c>
      <c r="Q41" s="122">
        <v>83</v>
      </c>
      <c r="R41" s="122">
        <v>213</v>
      </c>
      <c r="S41" s="122">
        <v>80</v>
      </c>
      <c r="T41" s="122">
        <v>87</v>
      </c>
      <c r="U41" s="121">
        <f t="shared" si="2"/>
        <v>593</v>
      </c>
      <c r="V41" s="122" t="str">
        <f t="shared" si="3"/>
        <v>MADYA</v>
      </c>
    </row>
    <row r="42" spans="1:22" x14ac:dyDescent="0.35">
      <c r="A42" s="118">
        <v>41</v>
      </c>
      <c r="B42" s="118" t="s">
        <v>164</v>
      </c>
      <c r="C42" s="128" t="s">
        <v>214</v>
      </c>
      <c r="D42" s="128" t="s">
        <v>1517</v>
      </c>
      <c r="E42" s="128" t="s">
        <v>564</v>
      </c>
      <c r="F42" s="128">
        <v>2007</v>
      </c>
      <c r="G42" s="128">
        <v>95</v>
      </c>
      <c r="H42" s="128">
        <v>10</v>
      </c>
      <c r="I42" s="128">
        <f t="shared" si="4"/>
        <v>105</v>
      </c>
      <c r="J42" s="128" t="s">
        <v>1509</v>
      </c>
      <c r="K42" s="123">
        <v>14.2</v>
      </c>
      <c r="L42" s="129" t="s">
        <v>1652</v>
      </c>
      <c r="M42" s="129" t="s">
        <v>1653</v>
      </c>
      <c r="N42" s="129" t="s">
        <v>1654</v>
      </c>
      <c r="O42" s="128">
        <v>600</v>
      </c>
      <c r="P42" s="128">
        <v>128</v>
      </c>
      <c r="Q42" s="128">
        <v>83</v>
      </c>
      <c r="R42" s="128">
        <v>246</v>
      </c>
      <c r="S42" s="128">
        <v>75</v>
      </c>
      <c r="T42" s="128">
        <v>80</v>
      </c>
      <c r="U42" s="121">
        <f t="shared" si="2"/>
        <v>612</v>
      </c>
      <c r="V42" s="122" t="str">
        <f t="shared" si="3"/>
        <v>MADYA</v>
      </c>
    </row>
    <row r="43" spans="1:22" x14ac:dyDescent="0.35">
      <c r="A43" s="118">
        <v>42</v>
      </c>
      <c r="B43" s="118" t="s">
        <v>164</v>
      </c>
      <c r="C43" s="128" t="s">
        <v>214</v>
      </c>
      <c r="D43" s="128" t="s">
        <v>1655</v>
      </c>
      <c r="E43" s="128" t="s">
        <v>563</v>
      </c>
      <c r="F43" s="128">
        <v>2007</v>
      </c>
      <c r="G43" s="128">
        <v>38</v>
      </c>
      <c r="H43" s="128">
        <v>8</v>
      </c>
      <c r="I43" s="128">
        <f t="shared" si="4"/>
        <v>46</v>
      </c>
      <c r="J43" s="128" t="s">
        <v>1509</v>
      </c>
      <c r="K43" s="123">
        <v>10.1</v>
      </c>
      <c r="L43" s="129" t="s">
        <v>1656</v>
      </c>
      <c r="M43" s="129" t="s">
        <v>1657</v>
      </c>
      <c r="N43" s="129" t="s">
        <v>1658</v>
      </c>
      <c r="O43" s="128">
        <v>560</v>
      </c>
      <c r="P43" s="128">
        <v>135</v>
      </c>
      <c r="Q43" s="128">
        <v>83</v>
      </c>
      <c r="R43" s="128">
        <v>226</v>
      </c>
      <c r="S43" s="128">
        <v>80</v>
      </c>
      <c r="T43" s="128">
        <v>80</v>
      </c>
      <c r="U43" s="121">
        <f t="shared" si="2"/>
        <v>604</v>
      </c>
      <c r="V43" s="122" t="str">
        <f t="shared" si="3"/>
        <v>MADYA</v>
      </c>
    </row>
    <row r="44" spans="1:22" x14ac:dyDescent="0.35">
      <c r="A44" s="118">
        <v>43</v>
      </c>
      <c r="B44" s="118" t="s">
        <v>164</v>
      </c>
      <c r="C44" s="128" t="s">
        <v>214</v>
      </c>
      <c r="D44" s="122" t="s">
        <v>1659</v>
      </c>
      <c r="E44" s="128" t="s">
        <v>562</v>
      </c>
      <c r="F44" s="122">
        <v>2007</v>
      </c>
      <c r="G44" s="128">
        <v>40</v>
      </c>
      <c r="H44" s="128">
        <v>5</v>
      </c>
      <c r="I44" s="128">
        <f t="shared" si="4"/>
        <v>45</v>
      </c>
      <c r="J44" s="122" t="s">
        <v>1509</v>
      </c>
      <c r="K44" s="130">
        <v>9.5</v>
      </c>
      <c r="L44" s="131" t="s">
        <v>1660</v>
      </c>
      <c r="M44" s="131" t="s">
        <v>1661</v>
      </c>
      <c r="N44" s="131" t="s">
        <v>1662</v>
      </c>
      <c r="O44" s="122">
        <v>532</v>
      </c>
      <c r="P44" s="122">
        <v>102</v>
      </c>
      <c r="Q44" s="122">
        <v>85</v>
      </c>
      <c r="R44" s="122">
        <v>203</v>
      </c>
      <c r="S44" s="122">
        <v>80</v>
      </c>
      <c r="T44" s="122">
        <v>80</v>
      </c>
      <c r="U44" s="121">
        <f t="shared" si="2"/>
        <v>550</v>
      </c>
      <c r="V44" s="122" t="str">
        <f t="shared" si="3"/>
        <v>MADYA</v>
      </c>
    </row>
    <row r="45" spans="1:22" x14ac:dyDescent="0.35">
      <c r="A45" s="118">
        <v>44</v>
      </c>
      <c r="B45" s="118" t="s">
        <v>164</v>
      </c>
      <c r="C45" s="128" t="s">
        <v>214</v>
      </c>
      <c r="D45" s="122" t="s">
        <v>1663</v>
      </c>
      <c r="E45" s="128" t="s">
        <v>561</v>
      </c>
      <c r="F45" s="122">
        <v>2007</v>
      </c>
      <c r="G45" s="128">
        <v>60</v>
      </c>
      <c r="H45" s="128">
        <v>10</v>
      </c>
      <c r="I45" s="128">
        <f t="shared" si="4"/>
        <v>70</v>
      </c>
      <c r="J45" s="122" t="s">
        <v>1509</v>
      </c>
      <c r="K45" s="130">
        <v>16.899999999999999</v>
      </c>
      <c r="L45" s="131" t="s">
        <v>1664</v>
      </c>
      <c r="M45" s="131" t="s">
        <v>1665</v>
      </c>
      <c r="N45" s="131" t="s">
        <v>1666</v>
      </c>
      <c r="O45" s="122">
        <v>535</v>
      </c>
      <c r="P45" s="122">
        <v>102</v>
      </c>
      <c r="Q45" s="122">
        <v>83</v>
      </c>
      <c r="R45" s="122">
        <v>202</v>
      </c>
      <c r="S45" s="122">
        <v>80</v>
      </c>
      <c r="T45" s="122">
        <v>80</v>
      </c>
      <c r="U45" s="121">
        <f t="shared" si="2"/>
        <v>547</v>
      </c>
      <c r="V45" s="122" t="str">
        <f t="shared" si="3"/>
        <v>MADYA</v>
      </c>
    </row>
    <row r="46" spans="1:22" x14ac:dyDescent="0.35">
      <c r="A46" s="118">
        <v>45</v>
      </c>
      <c r="B46" s="118" t="s">
        <v>164</v>
      </c>
      <c r="C46" s="128" t="s">
        <v>214</v>
      </c>
      <c r="D46" s="122" t="s">
        <v>1667</v>
      </c>
      <c r="E46" s="128" t="s">
        <v>560</v>
      </c>
      <c r="F46" s="122">
        <v>2007</v>
      </c>
      <c r="G46" s="128">
        <v>64</v>
      </c>
      <c r="H46" s="128">
        <v>10</v>
      </c>
      <c r="I46" s="128">
        <f t="shared" si="4"/>
        <v>74</v>
      </c>
      <c r="J46" s="122" t="s">
        <v>1509</v>
      </c>
      <c r="K46" s="130">
        <v>11</v>
      </c>
      <c r="L46" s="131" t="s">
        <v>1668</v>
      </c>
      <c r="M46" s="131" t="s">
        <v>1669</v>
      </c>
      <c r="N46" s="131" t="s">
        <v>1670</v>
      </c>
      <c r="O46" s="122">
        <v>535</v>
      </c>
      <c r="P46" s="122">
        <v>107</v>
      </c>
      <c r="Q46" s="122">
        <v>83</v>
      </c>
      <c r="R46" s="122">
        <v>212</v>
      </c>
      <c r="S46" s="122">
        <v>80</v>
      </c>
      <c r="T46" s="122">
        <v>80</v>
      </c>
      <c r="U46" s="121">
        <f t="shared" si="2"/>
        <v>562</v>
      </c>
      <c r="V46" s="122" t="str">
        <f t="shared" si="3"/>
        <v>MADYA</v>
      </c>
    </row>
    <row r="47" spans="1:22" x14ac:dyDescent="0.35">
      <c r="A47" s="118">
        <v>46</v>
      </c>
      <c r="B47" s="118" t="s">
        <v>164</v>
      </c>
      <c r="C47" s="128" t="s">
        <v>214</v>
      </c>
      <c r="D47" s="122" t="s">
        <v>1671</v>
      </c>
      <c r="E47" s="128" t="s">
        <v>559</v>
      </c>
      <c r="F47" s="122">
        <v>2007</v>
      </c>
      <c r="G47" s="128">
        <v>68</v>
      </c>
      <c r="H47" s="128">
        <v>12</v>
      </c>
      <c r="I47" s="128">
        <f t="shared" si="4"/>
        <v>80</v>
      </c>
      <c r="J47" s="122" t="s">
        <v>1509</v>
      </c>
      <c r="K47" s="130">
        <v>18.3</v>
      </c>
      <c r="L47" s="131" t="s">
        <v>1672</v>
      </c>
      <c r="M47" s="131" t="s">
        <v>1673</v>
      </c>
      <c r="N47" s="131" t="s">
        <v>1674</v>
      </c>
      <c r="O47" s="122">
        <v>584</v>
      </c>
      <c r="P47" s="122">
        <v>104</v>
      </c>
      <c r="Q47" s="122">
        <v>83</v>
      </c>
      <c r="R47" s="122">
        <v>249</v>
      </c>
      <c r="S47" s="122">
        <v>80</v>
      </c>
      <c r="T47" s="122">
        <v>83</v>
      </c>
      <c r="U47" s="121">
        <f t="shared" si="2"/>
        <v>599</v>
      </c>
      <c r="V47" s="122" t="str">
        <f t="shared" si="3"/>
        <v>MADYA</v>
      </c>
    </row>
    <row r="48" spans="1:22" x14ac:dyDescent="0.35">
      <c r="A48" s="118">
        <v>47</v>
      </c>
      <c r="B48" s="118" t="s">
        <v>164</v>
      </c>
      <c r="C48" s="128" t="s">
        <v>215</v>
      </c>
      <c r="D48" s="132" t="s">
        <v>1675</v>
      </c>
      <c r="E48" s="132" t="s">
        <v>567</v>
      </c>
      <c r="F48" s="132">
        <v>1999</v>
      </c>
      <c r="G48" s="132">
        <v>39</v>
      </c>
      <c r="H48" s="132">
        <v>4</v>
      </c>
      <c r="I48" s="132">
        <v>43</v>
      </c>
      <c r="J48" s="132" t="s">
        <v>1509</v>
      </c>
      <c r="K48" s="120">
        <v>5</v>
      </c>
      <c r="L48" s="132" t="s">
        <v>1676</v>
      </c>
      <c r="M48" s="132" t="s">
        <v>1677</v>
      </c>
      <c r="N48" s="132" t="s">
        <v>1678</v>
      </c>
      <c r="O48" s="132">
        <v>620</v>
      </c>
      <c r="P48" s="132">
        <v>125</v>
      </c>
      <c r="Q48" s="132">
        <v>90</v>
      </c>
      <c r="R48" s="132">
        <v>245</v>
      </c>
      <c r="S48" s="132">
        <v>80</v>
      </c>
      <c r="T48" s="132">
        <v>85</v>
      </c>
      <c r="U48" s="121">
        <f t="shared" si="2"/>
        <v>625</v>
      </c>
      <c r="V48" s="122" t="str">
        <f t="shared" si="3"/>
        <v>MADYA</v>
      </c>
    </row>
    <row r="49" spans="1:22" x14ac:dyDescent="0.35">
      <c r="A49" s="118">
        <v>48</v>
      </c>
      <c r="B49" s="118" t="s">
        <v>164</v>
      </c>
      <c r="C49" s="128" t="s">
        <v>215</v>
      </c>
      <c r="D49" s="132" t="s">
        <v>1679</v>
      </c>
      <c r="E49" s="132" t="s">
        <v>566</v>
      </c>
      <c r="F49" s="132">
        <v>2006</v>
      </c>
      <c r="G49" s="132">
        <v>74</v>
      </c>
      <c r="H49" s="132">
        <v>7</v>
      </c>
      <c r="I49" s="132">
        <v>81</v>
      </c>
      <c r="J49" s="132" t="s">
        <v>1509</v>
      </c>
      <c r="K49" s="120">
        <v>5</v>
      </c>
      <c r="L49" s="132" t="s">
        <v>1680</v>
      </c>
      <c r="M49" s="132" t="s">
        <v>1681</v>
      </c>
      <c r="N49" s="132" t="s">
        <v>1682</v>
      </c>
      <c r="O49" s="132">
        <v>730</v>
      </c>
      <c r="P49" s="132">
        <v>190</v>
      </c>
      <c r="Q49" s="132">
        <v>110</v>
      </c>
      <c r="R49" s="132">
        <v>210</v>
      </c>
      <c r="S49" s="132">
        <v>110</v>
      </c>
      <c r="T49" s="132">
        <v>120</v>
      </c>
      <c r="U49" s="121">
        <f t="shared" si="2"/>
        <v>740</v>
      </c>
      <c r="V49" s="122" t="str">
        <f t="shared" si="3"/>
        <v>UTAMA</v>
      </c>
    </row>
    <row r="50" spans="1:22" x14ac:dyDescent="0.35">
      <c r="A50" s="118">
        <v>49</v>
      </c>
      <c r="B50" s="118" t="s">
        <v>164</v>
      </c>
      <c r="C50" s="128" t="s">
        <v>215</v>
      </c>
      <c r="D50" s="132" t="s">
        <v>1517</v>
      </c>
      <c r="E50" s="132" t="s">
        <v>565</v>
      </c>
      <c r="F50" s="132">
        <v>2006</v>
      </c>
      <c r="G50" s="132">
        <v>23</v>
      </c>
      <c r="H50" s="132">
        <v>2</v>
      </c>
      <c r="I50" s="132">
        <v>25</v>
      </c>
      <c r="J50" s="132" t="s">
        <v>1509</v>
      </c>
      <c r="K50" s="120">
        <v>7</v>
      </c>
      <c r="L50" s="132" t="s">
        <v>1565</v>
      </c>
      <c r="M50" s="132" t="s">
        <v>1683</v>
      </c>
      <c r="N50" s="132" t="s">
        <v>1684</v>
      </c>
      <c r="O50" s="132">
        <v>570</v>
      </c>
      <c r="P50" s="132">
        <v>100</v>
      </c>
      <c r="Q50" s="132">
        <v>90</v>
      </c>
      <c r="R50" s="132">
        <v>210</v>
      </c>
      <c r="S50" s="132">
        <v>90</v>
      </c>
      <c r="T50" s="132">
        <v>85</v>
      </c>
      <c r="U50" s="121">
        <f t="shared" si="2"/>
        <v>575</v>
      </c>
      <c r="V50" s="122" t="str">
        <f t="shared" si="3"/>
        <v>MADYA</v>
      </c>
    </row>
    <row r="51" spans="1:22" x14ac:dyDescent="0.35">
      <c r="A51" s="118">
        <v>50</v>
      </c>
      <c r="B51" s="118" t="s">
        <v>164</v>
      </c>
      <c r="C51" s="128" t="s">
        <v>216</v>
      </c>
      <c r="D51" s="133" t="s">
        <v>1685</v>
      </c>
      <c r="E51" s="133" t="s">
        <v>574</v>
      </c>
      <c r="F51" s="133">
        <v>2008</v>
      </c>
      <c r="G51" s="134">
        <v>102</v>
      </c>
      <c r="H51" s="134">
        <v>19</v>
      </c>
      <c r="I51" s="134">
        <v>121</v>
      </c>
      <c r="J51" s="133" t="s">
        <v>1509</v>
      </c>
      <c r="K51" s="126">
        <v>12</v>
      </c>
      <c r="L51" s="133" t="s">
        <v>1686</v>
      </c>
      <c r="M51" s="133" t="s">
        <v>1687</v>
      </c>
      <c r="N51" s="133" t="s">
        <v>1688</v>
      </c>
      <c r="O51" s="135">
        <v>511</v>
      </c>
      <c r="P51" s="135">
        <v>82</v>
      </c>
      <c r="Q51" s="135">
        <v>65</v>
      </c>
      <c r="R51" s="135">
        <v>160</v>
      </c>
      <c r="S51" s="135">
        <v>100</v>
      </c>
      <c r="T51" s="135">
        <v>110</v>
      </c>
      <c r="U51" s="121">
        <f t="shared" si="2"/>
        <v>517</v>
      </c>
      <c r="V51" s="122" t="str">
        <f t="shared" si="3"/>
        <v>MADYA</v>
      </c>
    </row>
    <row r="52" spans="1:22" x14ac:dyDescent="0.35">
      <c r="A52" s="118">
        <v>51</v>
      </c>
      <c r="B52" s="118" t="s">
        <v>164</v>
      </c>
      <c r="C52" s="128" t="s">
        <v>216</v>
      </c>
      <c r="D52" s="133" t="s">
        <v>1517</v>
      </c>
      <c r="E52" s="133" t="s">
        <v>573</v>
      </c>
      <c r="F52" s="133">
        <v>2008</v>
      </c>
      <c r="G52" s="134">
        <v>72</v>
      </c>
      <c r="H52" s="134">
        <v>4</v>
      </c>
      <c r="I52" s="134">
        <v>76</v>
      </c>
      <c r="J52" s="133" t="s">
        <v>1509</v>
      </c>
      <c r="K52" s="126">
        <v>30</v>
      </c>
      <c r="L52" s="133" t="s">
        <v>1689</v>
      </c>
      <c r="M52" s="133" t="s">
        <v>1678</v>
      </c>
      <c r="N52" s="133" t="s">
        <v>1690</v>
      </c>
      <c r="O52" s="135">
        <v>540</v>
      </c>
      <c r="P52" s="135">
        <v>80</v>
      </c>
      <c r="Q52" s="135">
        <v>75</v>
      </c>
      <c r="R52" s="135">
        <v>180</v>
      </c>
      <c r="S52" s="135">
        <v>100</v>
      </c>
      <c r="T52" s="135">
        <v>110</v>
      </c>
      <c r="U52" s="121">
        <f t="shared" si="2"/>
        <v>545</v>
      </c>
      <c r="V52" s="122" t="str">
        <f t="shared" si="3"/>
        <v>MADYA</v>
      </c>
    </row>
    <row r="53" spans="1:22" x14ac:dyDescent="0.35">
      <c r="A53" s="118">
        <v>52</v>
      </c>
      <c r="B53" s="118" t="s">
        <v>164</v>
      </c>
      <c r="C53" s="128" t="s">
        <v>216</v>
      </c>
      <c r="D53" s="133" t="s">
        <v>1691</v>
      </c>
      <c r="E53" s="133" t="s">
        <v>572</v>
      </c>
      <c r="F53" s="133">
        <v>2008</v>
      </c>
      <c r="G53" s="134">
        <v>93</v>
      </c>
      <c r="H53" s="134">
        <v>13</v>
      </c>
      <c r="I53" s="134">
        <v>106</v>
      </c>
      <c r="J53" s="133" t="s">
        <v>1509</v>
      </c>
      <c r="K53" s="126">
        <v>29</v>
      </c>
      <c r="L53" s="133" t="s">
        <v>1692</v>
      </c>
      <c r="M53" s="133" t="s">
        <v>1693</v>
      </c>
      <c r="N53" s="133" t="s">
        <v>1694</v>
      </c>
      <c r="O53" s="135">
        <v>526</v>
      </c>
      <c r="P53" s="135">
        <v>85</v>
      </c>
      <c r="Q53" s="135">
        <v>70</v>
      </c>
      <c r="R53" s="135">
        <v>172</v>
      </c>
      <c r="S53" s="135">
        <v>100</v>
      </c>
      <c r="T53" s="135">
        <v>109</v>
      </c>
      <c r="U53" s="121">
        <f t="shared" si="2"/>
        <v>536</v>
      </c>
      <c r="V53" s="122" t="str">
        <f t="shared" si="3"/>
        <v>MADYA</v>
      </c>
    </row>
    <row r="54" spans="1:22" x14ac:dyDescent="0.35">
      <c r="A54" s="118">
        <v>53</v>
      </c>
      <c r="B54" s="118" t="s">
        <v>164</v>
      </c>
      <c r="C54" s="128" t="s">
        <v>216</v>
      </c>
      <c r="D54" s="133" t="s">
        <v>1508</v>
      </c>
      <c r="E54" s="133" t="s">
        <v>571</v>
      </c>
      <c r="F54" s="133">
        <v>2008</v>
      </c>
      <c r="G54" s="134">
        <v>39</v>
      </c>
      <c r="H54" s="134">
        <v>4</v>
      </c>
      <c r="I54" s="134">
        <v>43</v>
      </c>
      <c r="J54" s="133" t="s">
        <v>1509</v>
      </c>
      <c r="K54" s="126">
        <v>10</v>
      </c>
      <c r="L54" s="133" t="s">
        <v>1695</v>
      </c>
      <c r="M54" s="133" t="s">
        <v>1696</v>
      </c>
      <c r="N54" s="133" t="s">
        <v>1697</v>
      </c>
      <c r="O54" s="135">
        <v>492</v>
      </c>
      <c r="P54" s="135">
        <v>87</v>
      </c>
      <c r="Q54" s="135">
        <v>65</v>
      </c>
      <c r="R54" s="135">
        <v>150</v>
      </c>
      <c r="S54" s="135">
        <v>95</v>
      </c>
      <c r="T54" s="135">
        <v>105</v>
      </c>
      <c r="U54" s="121">
        <f t="shared" si="2"/>
        <v>502</v>
      </c>
      <c r="V54" s="122" t="str">
        <f t="shared" si="3"/>
        <v>MADYA</v>
      </c>
    </row>
    <row r="55" spans="1:22" x14ac:dyDescent="0.35">
      <c r="A55" s="118">
        <v>54</v>
      </c>
      <c r="B55" s="118" t="s">
        <v>164</v>
      </c>
      <c r="C55" s="128" t="s">
        <v>216</v>
      </c>
      <c r="D55" s="133" t="s">
        <v>1698</v>
      </c>
      <c r="E55" s="133" t="s">
        <v>570</v>
      </c>
      <c r="F55" s="133">
        <v>2008</v>
      </c>
      <c r="G55" s="134">
        <v>130</v>
      </c>
      <c r="H55" s="134">
        <v>28</v>
      </c>
      <c r="I55" s="134">
        <v>158</v>
      </c>
      <c r="J55" s="133" t="s">
        <v>1509</v>
      </c>
      <c r="K55" s="126">
        <v>30</v>
      </c>
      <c r="L55" s="133" t="s">
        <v>1699</v>
      </c>
      <c r="M55" s="133" t="s">
        <v>1700</v>
      </c>
      <c r="N55" s="133" t="s">
        <v>1689</v>
      </c>
      <c r="O55" s="135">
        <v>508</v>
      </c>
      <c r="P55" s="135">
        <v>80</v>
      </c>
      <c r="Q55" s="135">
        <v>65</v>
      </c>
      <c r="R55" s="135">
        <v>165</v>
      </c>
      <c r="S55" s="135">
        <v>99</v>
      </c>
      <c r="T55" s="135">
        <v>114</v>
      </c>
      <c r="U55" s="121">
        <f t="shared" si="2"/>
        <v>523</v>
      </c>
      <c r="V55" s="122" t="str">
        <f t="shared" si="3"/>
        <v>MADYA</v>
      </c>
    </row>
    <row r="56" spans="1:22" x14ac:dyDescent="0.35">
      <c r="A56" s="118">
        <v>55</v>
      </c>
      <c r="B56" s="118" t="s">
        <v>164</v>
      </c>
      <c r="C56" s="128" t="s">
        <v>216</v>
      </c>
      <c r="D56" s="133" t="s">
        <v>1701</v>
      </c>
      <c r="E56" s="133" t="s">
        <v>569</v>
      </c>
      <c r="F56" s="133">
        <v>2008</v>
      </c>
      <c r="G56" s="134">
        <v>84</v>
      </c>
      <c r="H56" s="134">
        <v>7</v>
      </c>
      <c r="I56" s="134">
        <v>91</v>
      </c>
      <c r="J56" s="133" t="s">
        <v>1509</v>
      </c>
      <c r="K56" s="126">
        <v>12</v>
      </c>
      <c r="L56" s="133" t="s">
        <v>1702</v>
      </c>
      <c r="M56" s="133" t="s">
        <v>1703</v>
      </c>
      <c r="N56" s="133" t="s">
        <v>1604</v>
      </c>
      <c r="O56" s="135">
        <v>504</v>
      </c>
      <c r="P56" s="135">
        <v>85</v>
      </c>
      <c r="Q56" s="135">
        <v>70</v>
      </c>
      <c r="R56" s="135">
        <v>160</v>
      </c>
      <c r="S56" s="135">
        <v>95</v>
      </c>
      <c r="T56" s="135">
        <v>109</v>
      </c>
      <c r="U56" s="121">
        <f t="shared" si="2"/>
        <v>519</v>
      </c>
      <c r="V56" s="122" t="str">
        <f t="shared" si="3"/>
        <v>MADYA</v>
      </c>
    </row>
    <row r="57" spans="1:22" x14ac:dyDescent="0.35">
      <c r="A57" s="118">
        <v>56</v>
      </c>
      <c r="B57" s="118" t="s">
        <v>164</v>
      </c>
      <c r="C57" s="128" t="s">
        <v>216</v>
      </c>
      <c r="D57" s="133" t="s">
        <v>1704</v>
      </c>
      <c r="E57" s="133" t="s">
        <v>568</v>
      </c>
      <c r="F57" s="133">
        <v>2008</v>
      </c>
      <c r="G57" s="134">
        <v>74</v>
      </c>
      <c r="H57" s="134">
        <v>4</v>
      </c>
      <c r="I57" s="134">
        <v>78</v>
      </c>
      <c r="J57" s="133" t="s">
        <v>1509</v>
      </c>
      <c r="K57" s="126">
        <v>15</v>
      </c>
      <c r="L57" s="133" t="s">
        <v>1705</v>
      </c>
      <c r="M57" s="133" t="s">
        <v>1706</v>
      </c>
      <c r="N57" s="133" t="s">
        <v>1682</v>
      </c>
      <c r="O57" s="135">
        <v>712</v>
      </c>
      <c r="P57" s="135">
        <v>135</v>
      </c>
      <c r="Q57" s="135">
        <v>120</v>
      </c>
      <c r="R57" s="135">
        <v>285</v>
      </c>
      <c r="S57" s="135">
        <v>87</v>
      </c>
      <c r="T57" s="135">
        <v>90</v>
      </c>
      <c r="U57" s="121">
        <f t="shared" si="2"/>
        <v>717</v>
      </c>
      <c r="V57" s="122" t="str">
        <f t="shared" si="3"/>
        <v>UTAMA</v>
      </c>
    </row>
    <row r="58" spans="1:22" x14ac:dyDescent="0.35">
      <c r="A58" s="118">
        <v>57</v>
      </c>
      <c r="B58" s="118" t="s">
        <v>164</v>
      </c>
      <c r="C58" s="128" t="s">
        <v>6241</v>
      </c>
      <c r="D58" s="128" t="s">
        <v>1707</v>
      </c>
      <c r="E58" s="128" t="s">
        <v>582</v>
      </c>
      <c r="F58" s="128">
        <v>2007</v>
      </c>
      <c r="G58" s="128">
        <v>64</v>
      </c>
      <c r="H58" s="128">
        <v>1</v>
      </c>
      <c r="I58" s="128">
        <f t="shared" ref="I58:I65" si="5">SUM(G58:H58)</f>
        <v>65</v>
      </c>
      <c r="J58" s="128" t="s">
        <v>1509</v>
      </c>
      <c r="K58" s="123">
        <v>13</v>
      </c>
      <c r="L58" s="129" t="s">
        <v>1708</v>
      </c>
      <c r="M58" s="129" t="s">
        <v>1709</v>
      </c>
      <c r="N58" s="129" t="s">
        <v>1710</v>
      </c>
      <c r="O58" s="128">
        <v>711</v>
      </c>
      <c r="P58" s="128">
        <v>139</v>
      </c>
      <c r="Q58" s="128">
        <v>120</v>
      </c>
      <c r="R58" s="128">
        <v>299</v>
      </c>
      <c r="S58" s="128">
        <v>81</v>
      </c>
      <c r="T58" s="128">
        <v>80</v>
      </c>
      <c r="U58" s="121">
        <f t="shared" si="2"/>
        <v>719</v>
      </c>
      <c r="V58" s="122" t="str">
        <f t="shared" si="3"/>
        <v>UTAMA</v>
      </c>
    </row>
    <row r="59" spans="1:22" x14ac:dyDescent="0.35">
      <c r="A59" s="118">
        <v>58</v>
      </c>
      <c r="B59" s="118" t="s">
        <v>164</v>
      </c>
      <c r="C59" s="128" t="s">
        <v>6241</v>
      </c>
      <c r="D59" s="128" t="s">
        <v>1711</v>
      </c>
      <c r="E59" s="128" t="s">
        <v>581</v>
      </c>
      <c r="F59" s="128">
        <v>2007</v>
      </c>
      <c r="G59" s="128">
        <v>160</v>
      </c>
      <c r="H59" s="128">
        <v>37</v>
      </c>
      <c r="I59" s="128">
        <f t="shared" si="5"/>
        <v>197</v>
      </c>
      <c r="J59" s="128" t="s">
        <v>1509</v>
      </c>
      <c r="K59" s="123">
        <v>30</v>
      </c>
      <c r="L59" s="129" t="s">
        <v>1712</v>
      </c>
      <c r="M59" s="129" t="s">
        <v>1713</v>
      </c>
      <c r="N59" s="129" t="s">
        <v>1714</v>
      </c>
      <c r="O59" s="128">
        <v>550</v>
      </c>
      <c r="P59" s="128">
        <v>113</v>
      </c>
      <c r="Q59" s="128">
        <v>93</v>
      </c>
      <c r="R59" s="128">
        <v>233</v>
      </c>
      <c r="S59" s="128">
        <v>56</v>
      </c>
      <c r="T59" s="128">
        <v>63</v>
      </c>
      <c r="U59" s="121">
        <f t="shared" si="2"/>
        <v>558</v>
      </c>
      <c r="V59" s="122" t="str">
        <f t="shared" si="3"/>
        <v>MADYA</v>
      </c>
    </row>
    <row r="60" spans="1:22" x14ac:dyDescent="0.35">
      <c r="A60" s="118">
        <v>59</v>
      </c>
      <c r="B60" s="118" t="s">
        <v>164</v>
      </c>
      <c r="C60" s="128" t="s">
        <v>6241</v>
      </c>
      <c r="D60" s="128" t="s">
        <v>1715</v>
      </c>
      <c r="E60" s="128" t="s">
        <v>580</v>
      </c>
      <c r="F60" s="128">
        <v>2007</v>
      </c>
      <c r="G60" s="128">
        <v>144</v>
      </c>
      <c r="H60" s="128">
        <v>25</v>
      </c>
      <c r="I60" s="128">
        <f t="shared" si="5"/>
        <v>169</v>
      </c>
      <c r="J60" s="128" t="s">
        <v>1509</v>
      </c>
      <c r="K60" s="123">
        <v>25</v>
      </c>
      <c r="L60" s="129" t="s">
        <v>1716</v>
      </c>
      <c r="M60" s="129" t="s">
        <v>1717</v>
      </c>
      <c r="N60" s="129" t="s">
        <v>1718</v>
      </c>
      <c r="O60" s="128">
        <v>539</v>
      </c>
      <c r="P60" s="128">
        <v>112</v>
      </c>
      <c r="Q60" s="128">
        <v>95</v>
      </c>
      <c r="R60" s="128">
        <v>232</v>
      </c>
      <c r="S60" s="128">
        <v>45</v>
      </c>
      <c r="T60" s="128">
        <v>60</v>
      </c>
      <c r="U60" s="121">
        <f t="shared" si="2"/>
        <v>544</v>
      </c>
      <c r="V60" s="122" t="str">
        <f t="shared" si="3"/>
        <v>MADYA</v>
      </c>
    </row>
    <row r="61" spans="1:22" x14ac:dyDescent="0.35">
      <c r="A61" s="118">
        <v>60</v>
      </c>
      <c r="B61" s="118" t="s">
        <v>164</v>
      </c>
      <c r="C61" s="128" t="s">
        <v>6241</v>
      </c>
      <c r="D61" s="128" t="s">
        <v>1517</v>
      </c>
      <c r="E61" s="128" t="s">
        <v>579</v>
      </c>
      <c r="F61" s="128">
        <v>2007</v>
      </c>
      <c r="G61" s="128">
        <v>66</v>
      </c>
      <c r="H61" s="128">
        <v>10</v>
      </c>
      <c r="I61" s="128">
        <f t="shared" si="5"/>
        <v>76</v>
      </c>
      <c r="J61" s="128" t="s">
        <v>1509</v>
      </c>
      <c r="K61" s="123">
        <v>16</v>
      </c>
      <c r="L61" s="129" t="s">
        <v>1576</v>
      </c>
      <c r="M61" s="129" t="s">
        <v>1719</v>
      </c>
      <c r="N61" s="129" t="s">
        <v>1720</v>
      </c>
      <c r="O61" s="128">
        <v>530</v>
      </c>
      <c r="P61" s="128">
        <v>110</v>
      </c>
      <c r="Q61" s="128">
        <v>90</v>
      </c>
      <c r="R61" s="128">
        <v>224</v>
      </c>
      <c r="S61" s="128">
        <v>46</v>
      </c>
      <c r="T61" s="128">
        <v>68</v>
      </c>
      <c r="U61" s="121">
        <f t="shared" si="2"/>
        <v>538</v>
      </c>
      <c r="V61" s="122" t="str">
        <f t="shared" si="3"/>
        <v>MADYA</v>
      </c>
    </row>
    <row r="62" spans="1:22" x14ac:dyDescent="0.35">
      <c r="A62" s="118">
        <v>61</v>
      </c>
      <c r="B62" s="118" t="s">
        <v>164</v>
      </c>
      <c r="C62" s="128" t="s">
        <v>6241</v>
      </c>
      <c r="D62" s="128" t="s">
        <v>1667</v>
      </c>
      <c r="E62" s="128" t="s">
        <v>578</v>
      </c>
      <c r="F62" s="128">
        <v>2007</v>
      </c>
      <c r="G62" s="128">
        <v>138</v>
      </c>
      <c r="H62" s="128">
        <v>25</v>
      </c>
      <c r="I62" s="128">
        <f t="shared" si="5"/>
        <v>163</v>
      </c>
      <c r="J62" s="128" t="s">
        <v>1509</v>
      </c>
      <c r="K62" s="123">
        <v>28</v>
      </c>
      <c r="L62" s="129" t="s">
        <v>1721</v>
      </c>
      <c r="M62" s="129" t="s">
        <v>1709</v>
      </c>
      <c r="N62" s="129" t="s">
        <v>1722</v>
      </c>
      <c r="O62" s="128">
        <v>516</v>
      </c>
      <c r="P62" s="128">
        <v>110</v>
      </c>
      <c r="Q62" s="128">
        <v>92</v>
      </c>
      <c r="R62" s="128">
        <v>225</v>
      </c>
      <c r="S62" s="128">
        <v>47</v>
      </c>
      <c r="T62" s="128">
        <v>54</v>
      </c>
      <c r="U62" s="121">
        <f t="shared" si="2"/>
        <v>528</v>
      </c>
      <c r="V62" s="122" t="str">
        <f t="shared" si="3"/>
        <v>MADYA</v>
      </c>
    </row>
    <row r="63" spans="1:22" x14ac:dyDescent="0.35">
      <c r="A63" s="118">
        <v>62</v>
      </c>
      <c r="B63" s="118" t="s">
        <v>164</v>
      </c>
      <c r="C63" s="128" t="s">
        <v>6241</v>
      </c>
      <c r="D63" s="128" t="s">
        <v>1723</v>
      </c>
      <c r="E63" s="128" t="s">
        <v>577</v>
      </c>
      <c r="F63" s="128">
        <v>2007</v>
      </c>
      <c r="G63" s="128">
        <v>53</v>
      </c>
      <c r="H63" s="128">
        <v>4</v>
      </c>
      <c r="I63" s="128">
        <f t="shared" si="5"/>
        <v>57</v>
      </c>
      <c r="J63" s="128" t="s">
        <v>1509</v>
      </c>
      <c r="K63" s="123">
        <v>11</v>
      </c>
      <c r="L63" s="129" t="s">
        <v>1653</v>
      </c>
      <c r="M63" s="129" t="s">
        <v>1724</v>
      </c>
      <c r="N63" s="129" t="s">
        <v>1636</v>
      </c>
      <c r="O63" s="128">
        <v>467</v>
      </c>
      <c r="P63" s="128">
        <v>105</v>
      </c>
      <c r="Q63" s="128">
        <v>84</v>
      </c>
      <c r="R63" s="128">
        <v>194</v>
      </c>
      <c r="S63" s="128">
        <v>42</v>
      </c>
      <c r="T63" s="128">
        <v>52</v>
      </c>
      <c r="U63" s="121">
        <f t="shared" si="2"/>
        <v>477</v>
      </c>
      <c r="V63" s="122" t="str">
        <f t="shared" si="3"/>
        <v>MADYA</v>
      </c>
    </row>
    <row r="64" spans="1:22" x14ac:dyDescent="0.35">
      <c r="A64" s="118">
        <v>63</v>
      </c>
      <c r="B64" s="118" t="s">
        <v>164</v>
      </c>
      <c r="C64" s="128" t="s">
        <v>6241</v>
      </c>
      <c r="D64" s="128" t="s">
        <v>1725</v>
      </c>
      <c r="E64" s="128" t="s">
        <v>576</v>
      </c>
      <c r="F64" s="128">
        <v>2007</v>
      </c>
      <c r="G64" s="128">
        <v>64</v>
      </c>
      <c r="H64" s="128">
        <v>16</v>
      </c>
      <c r="I64" s="128">
        <f t="shared" si="5"/>
        <v>80</v>
      </c>
      <c r="J64" s="128" t="s">
        <v>1509</v>
      </c>
      <c r="K64" s="123">
        <v>12</v>
      </c>
      <c r="L64" s="129" t="s">
        <v>1726</v>
      </c>
      <c r="M64" s="129" t="s">
        <v>1620</v>
      </c>
      <c r="N64" s="129" t="s">
        <v>1727</v>
      </c>
      <c r="O64" s="128">
        <v>467</v>
      </c>
      <c r="P64" s="128">
        <v>108</v>
      </c>
      <c r="Q64" s="128">
        <v>87</v>
      </c>
      <c r="R64" s="128">
        <v>198</v>
      </c>
      <c r="S64" s="128">
        <v>41</v>
      </c>
      <c r="T64" s="128">
        <v>52</v>
      </c>
      <c r="U64" s="121">
        <f t="shared" si="2"/>
        <v>486</v>
      </c>
      <c r="V64" s="122" t="str">
        <f t="shared" si="3"/>
        <v>MADYA</v>
      </c>
    </row>
    <row r="65" spans="1:22" x14ac:dyDescent="0.35">
      <c r="A65" s="118">
        <v>64</v>
      </c>
      <c r="B65" s="118" t="s">
        <v>164</v>
      </c>
      <c r="C65" s="128" t="s">
        <v>6241</v>
      </c>
      <c r="D65" s="128" t="s">
        <v>1715</v>
      </c>
      <c r="E65" s="128" t="s">
        <v>575</v>
      </c>
      <c r="F65" s="128">
        <v>2023</v>
      </c>
      <c r="G65" s="128">
        <v>0</v>
      </c>
      <c r="H65" s="128">
        <v>35</v>
      </c>
      <c r="I65" s="128">
        <f t="shared" si="5"/>
        <v>35</v>
      </c>
      <c r="J65" s="128" t="s">
        <v>1728</v>
      </c>
      <c r="K65" s="123">
        <v>1</v>
      </c>
      <c r="L65" s="129" t="s">
        <v>1729</v>
      </c>
      <c r="M65" s="129" t="s">
        <v>1730</v>
      </c>
      <c r="N65" s="129" t="s">
        <v>1731</v>
      </c>
      <c r="O65" s="128">
        <v>0</v>
      </c>
      <c r="P65" s="128">
        <v>13</v>
      </c>
      <c r="Q65" s="128">
        <v>6</v>
      </c>
      <c r="R65" s="128">
        <v>22</v>
      </c>
      <c r="S65" s="128">
        <v>2</v>
      </c>
      <c r="T65" s="128">
        <v>5</v>
      </c>
      <c r="U65" s="121">
        <f t="shared" si="2"/>
        <v>48</v>
      </c>
      <c r="V65" s="122" t="str">
        <f t="shared" si="3"/>
        <v>PEMULA</v>
      </c>
    </row>
    <row r="66" spans="1:22" x14ac:dyDescent="0.35">
      <c r="A66" s="118">
        <v>65</v>
      </c>
      <c r="B66" s="118" t="s">
        <v>164</v>
      </c>
      <c r="C66" s="128" t="s">
        <v>217</v>
      </c>
      <c r="D66" s="128" t="s">
        <v>1644</v>
      </c>
      <c r="E66" s="128" t="s">
        <v>591</v>
      </c>
      <c r="F66" s="128">
        <v>2007</v>
      </c>
      <c r="G66" s="128">
        <v>37</v>
      </c>
      <c r="H66" s="128">
        <v>3</v>
      </c>
      <c r="I66" s="128">
        <f t="shared" ref="I66:I74" si="6">H66+G66</f>
        <v>40</v>
      </c>
      <c r="J66" s="128" t="s">
        <v>1509</v>
      </c>
      <c r="K66" s="123">
        <v>10</v>
      </c>
      <c r="L66" s="128" t="s">
        <v>1530</v>
      </c>
      <c r="M66" s="128" t="s">
        <v>1576</v>
      </c>
      <c r="N66" s="128" t="s">
        <v>1732</v>
      </c>
      <c r="O66" s="128">
        <v>581</v>
      </c>
      <c r="P66" s="128">
        <v>120</v>
      </c>
      <c r="Q66" s="128">
        <v>96</v>
      </c>
      <c r="R66" s="128">
        <v>238</v>
      </c>
      <c r="S66" s="128">
        <v>60</v>
      </c>
      <c r="T66" s="128">
        <v>75</v>
      </c>
      <c r="U66" s="121">
        <f t="shared" si="2"/>
        <v>589</v>
      </c>
      <c r="V66" s="122" t="str">
        <f t="shared" si="3"/>
        <v>MADYA</v>
      </c>
    </row>
    <row r="67" spans="1:22" x14ac:dyDescent="0.35">
      <c r="A67" s="118">
        <v>66</v>
      </c>
      <c r="B67" s="118" t="s">
        <v>164</v>
      </c>
      <c r="C67" s="128" t="s">
        <v>217</v>
      </c>
      <c r="D67" s="128" t="s">
        <v>1517</v>
      </c>
      <c r="E67" s="128" t="s">
        <v>590</v>
      </c>
      <c r="F67" s="128">
        <v>2007</v>
      </c>
      <c r="G67" s="128">
        <v>132</v>
      </c>
      <c r="H67" s="128">
        <v>8</v>
      </c>
      <c r="I67" s="128">
        <f t="shared" si="6"/>
        <v>140</v>
      </c>
      <c r="J67" s="128" t="s">
        <v>1509</v>
      </c>
      <c r="K67" s="123">
        <v>18</v>
      </c>
      <c r="L67" s="128" t="s">
        <v>1733</v>
      </c>
      <c r="M67" s="128" t="s">
        <v>1535</v>
      </c>
      <c r="N67" s="128" t="s">
        <v>1734</v>
      </c>
      <c r="O67" s="128">
        <v>600</v>
      </c>
      <c r="P67" s="128">
        <v>122</v>
      </c>
      <c r="Q67" s="128">
        <v>98</v>
      </c>
      <c r="R67" s="128">
        <v>251</v>
      </c>
      <c r="S67" s="128">
        <v>58</v>
      </c>
      <c r="T67" s="128">
        <v>75</v>
      </c>
      <c r="U67" s="121">
        <f t="shared" si="2"/>
        <v>604</v>
      </c>
      <c r="V67" s="122" t="str">
        <f t="shared" si="3"/>
        <v>MADYA</v>
      </c>
    </row>
    <row r="68" spans="1:22" x14ac:dyDescent="0.35">
      <c r="A68" s="118">
        <v>67</v>
      </c>
      <c r="B68" s="118" t="s">
        <v>164</v>
      </c>
      <c r="C68" s="128" t="s">
        <v>217</v>
      </c>
      <c r="D68" s="128" t="s">
        <v>1735</v>
      </c>
      <c r="E68" s="128" t="s">
        <v>589</v>
      </c>
      <c r="F68" s="128">
        <v>2007</v>
      </c>
      <c r="G68" s="128">
        <v>44</v>
      </c>
      <c r="H68" s="128">
        <v>5</v>
      </c>
      <c r="I68" s="128">
        <f t="shared" si="6"/>
        <v>49</v>
      </c>
      <c r="J68" s="128" t="s">
        <v>1509</v>
      </c>
      <c r="K68" s="123">
        <v>12</v>
      </c>
      <c r="L68" s="128" t="s">
        <v>1696</v>
      </c>
      <c r="M68" s="128" t="s">
        <v>1736</v>
      </c>
      <c r="N68" s="128" t="s">
        <v>1737</v>
      </c>
      <c r="O68" s="128">
        <v>549</v>
      </c>
      <c r="P68" s="128">
        <v>120</v>
      </c>
      <c r="Q68" s="128">
        <v>92</v>
      </c>
      <c r="R68" s="128">
        <v>210</v>
      </c>
      <c r="S68" s="128">
        <v>60</v>
      </c>
      <c r="T68" s="128">
        <v>75</v>
      </c>
      <c r="U68" s="121">
        <f t="shared" si="2"/>
        <v>557</v>
      </c>
      <c r="V68" s="122" t="str">
        <f t="shared" si="3"/>
        <v>MADYA</v>
      </c>
    </row>
    <row r="69" spans="1:22" x14ac:dyDescent="0.35">
      <c r="A69" s="118">
        <v>68</v>
      </c>
      <c r="B69" s="118" t="s">
        <v>164</v>
      </c>
      <c r="C69" s="128" t="s">
        <v>217</v>
      </c>
      <c r="D69" s="128" t="s">
        <v>1738</v>
      </c>
      <c r="E69" s="128" t="s">
        <v>588</v>
      </c>
      <c r="F69" s="128">
        <v>2007</v>
      </c>
      <c r="G69" s="128">
        <v>23</v>
      </c>
      <c r="H69" s="128">
        <v>2</v>
      </c>
      <c r="I69" s="128">
        <f t="shared" si="6"/>
        <v>25</v>
      </c>
      <c r="J69" s="128" t="s">
        <v>1509</v>
      </c>
      <c r="K69" s="123">
        <v>8</v>
      </c>
      <c r="L69" s="128" t="s">
        <v>1739</v>
      </c>
      <c r="M69" s="128" t="s">
        <v>1740</v>
      </c>
      <c r="N69" s="128" t="s">
        <v>1741</v>
      </c>
      <c r="O69" s="128">
        <v>394</v>
      </c>
      <c r="P69" s="128">
        <v>90</v>
      </c>
      <c r="Q69" s="128">
        <v>70</v>
      </c>
      <c r="R69" s="128">
        <v>156</v>
      </c>
      <c r="S69" s="128">
        <v>39</v>
      </c>
      <c r="T69" s="128">
        <v>42</v>
      </c>
      <c r="U69" s="121">
        <f t="shared" si="2"/>
        <v>397</v>
      </c>
      <c r="V69" s="122" t="str">
        <f t="shared" si="3"/>
        <v>LANJUT</v>
      </c>
    </row>
    <row r="70" spans="1:22" x14ac:dyDescent="0.35">
      <c r="A70" s="118">
        <v>69</v>
      </c>
      <c r="B70" s="118" t="s">
        <v>164</v>
      </c>
      <c r="C70" s="128" t="s">
        <v>217</v>
      </c>
      <c r="D70" s="128" t="s">
        <v>1537</v>
      </c>
      <c r="E70" s="128" t="s">
        <v>587</v>
      </c>
      <c r="F70" s="128">
        <v>2007</v>
      </c>
      <c r="G70" s="128">
        <v>79</v>
      </c>
      <c r="H70" s="128">
        <v>10</v>
      </c>
      <c r="I70" s="128">
        <f t="shared" si="6"/>
        <v>89</v>
      </c>
      <c r="J70" s="128" t="s">
        <v>1509</v>
      </c>
      <c r="K70" s="123">
        <v>19</v>
      </c>
      <c r="L70" s="128" t="s">
        <v>1742</v>
      </c>
      <c r="M70" s="128" t="s">
        <v>1743</v>
      </c>
      <c r="N70" s="128" t="s">
        <v>1744</v>
      </c>
      <c r="O70" s="128">
        <v>394</v>
      </c>
      <c r="P70" s="128">
        <v>90</v>
      </c>
      <c r="Q70" s="128">
        <v>70</v>
      </c>
      <c r="R70" s="128">
        <v>156</v>
      </c>
      <c r="S70" s="128">
        <v>39</v>
      </c>
      <c r="T70" s="128">
        <v>42</v>
      </c>
      <c r="U70" s="121">
        <f t="shared" si="2"/>
        <v>397</v>
      </c>
      <c r="V70" s="122" t="str">
        <f t="shared" si="3"/>
        <v>LANJUT</v>
      </c>
    </row>
    <row r="71" spans="1:22" x14ac:dyDescent="0.35">
      <c r="A71" s="118">
        <v>70</v>
      </c>
      <c r="B71" s="118" t="s">
        <v>164</v>
      </c>
      <c r="C71" s="128" t="s">
        <v>217</v>
      </c>
      <c r="D71" s="128" t="s">
        <v>1745</v>
      </c>
      <c r="E71" s="128" t="s">
        <v>586</v>
      </c>
      <c r="F71" s="128">
        <v>2007</v>
      </c>
      <c r="G71" s="128">
        <v>106</v>
      </c>
      <c r="H71" s="128">
        <v>13</v>
      </c>
      <c r="I71" s="128">
        <f t="shared" si="6"/>
        <v>119</v>
      </c>
      <c r="J71" s="128" t="s">
        <v>1509</v>
      </c>
      <c r="K71" s="123">
        <v>16</v>
      </c>
      <c r="L71" s="128" t="s">
        <v>1550</v>
      </c>
      <c r="M71" s="128" t="s">
        <v>1746</v>
      </c>
      <c r="N71" s="128" t="s">
        <v>1747</v>
      </c>
      <c r="O71" s="128">
        <v>554</v>
      </c>
      <c r="P71" s="128">
        <v>115</v>
      </c>
      <c r="Q71" s="128">
        <v>96</v>
      </c>
      <c r="R71" s="128">
        <v>230</v>
      </c>
      <c r="S71" s="128">
        <v>55</v>
      </c>
      <c r="T71" s="128">
        <v>60</v>
      </c>
      <c r="U71" s="121">
        <f t="shared" si="2"/>
        <v>556</v>
      </c>
      <c r="V71" s="122" t="str">
        <f t="shared" si="3"/>
        <v>MADYA</v>
      </c>
    </row>
    <row r="72" spans="1:22" x14ac:dyDescent="0.35">
      <c r="A72" s="118">
        <v>71</v>
      </c>
      <c r="B72" s="118" t="s">
        <v>164</v>
      </c>
      <c r="C72" s="128" t="s">
        <v>217</v>
      </c>
      <c r="D72" s="128" t="s">
        <v>1748</v>
      </c>
      <c r="E72" s="128" t="s">
        <v>585</v>
      </c>
      <c r="F72" s="128">
        <v>2007</v>
      </c>
      <c r="G72" s="128">
        <v>59</v>
      </c>
      <c r="H72" s="128">
        <v>5</v>
      </c>
      <c r="I72" s="128">
        <f t="shared" si="6"/>
        <v>64</v>
      </c>
      <c r="J72" s="128" t="s">
        <v>1509</v>
      </c>
      <c r="K72" s="123">
        <v>14</v>
      </c>
      <c r="L72" s="128" t="s">
        <v>1749</v>
      </c>
      <c r="M72" s="128" t="s">
        <v>1750</v>
      </c>
      <c r="N72" s="128" t="s">
        <v>1751</v>
      </c>
      <c r="O72" s="128">
        <v>544</v>
      </c>
      <c r="P72" s="128">
        <v>114</v>
      </c>
      <c r="Q72" s="128">
        <v>96</v>
      </c>
      <c r="R72" s="128">
        <v>229</v>
      </c>
      <c r="S72" s="128">
        <v>53</v>
      </c>
      <c r="T72" s="128">
        <v>57</v>
      </c>
      <c r="U72" s="121">
        <f t="shared" si="2"/>
        <v>549</v>
      </c>
      <c r="V72" s="122" t="str">
        <f t="shared" si="3"/>
        <v>MADYA</v>
      </c>
    </row>
    <row r="73" spans="1:22" x14ac:dyDescent="0.35">
      <c r="A73" s="118">
        <v>72</v>
      </c>
      <c r="B73" s="118" t="s">
        <v>164</v>
      </c>
      <c r="C73" s="128" t="s">
        <v>217</v>
      </c>
      <c r="D73" s="128" t="s">
        <v>1752</v>
      </c>
      <c r="E73" s="128" t="s">
        <v>584</v>
      </c>
      <c r="F73" s="128">
        <v>2007</v>
      </c>
      <c r="G73" s="128">
        <v>86</v>
      </c>
      <c r="H73" s="128">
        <v>9</v>
      </c>
      <c r="I73" s="128">
        <f t="shared" si="6"/>
        <v>95</v>
      </c>
      <c r="J73" s="128" t="s">
        <v>1509</v>
      </c>
      <c r="K73" s="123">
        <v>19</v>
      </c>
      <c r="L73" s="128" t="s">
        <v>1753</v>
      </c>
      <c r="M73" s="128" t="s">
        <v>1754</v>
      </c>
      <c r="N73" s="128" t="s">
        <v>1755</v>
      </c>
      <c r="O73" s="128">
        <v>536</v>
      </c>
      <c r="P73" s="128">
        <v>117</v>
      </c>
      <c r="Q73" s="128">
        <v>95</v>
      </c>
      <c r="R73" s="128">
        <v>218</v>
      </c>
      <c r="S73" s="128">
        <v>55</v>
      </c>
      <c r="T73" s="128">
        <v>54</v>
      </c>
      <c r="U73" s="121">
        <f t="shared" si="2"/>
        <v>539</v>
      </c>
      <c r="V73" s="122" t="str">
        <f t="shared" si="3"/>
        <v>MADYA</v>
      </c>
    </row>
    <row r="74" spans="1:22" x14ac:dyDescent="0.35">
      <c r="A74" s="118">
        <v>73</v>
      </c>
      <c r="B74" s="118" t="s">
        <v>164</v>
      </c>
      <c r="C74" s="128" t="s">
        <v>217</v>
      </c>
      <c r="D74" s="128" t="s">
        <v>1756</v>
      </c>
      <c r="E74" s="128" t="s">
        <v>583</v>
      </c>
      <c r="F74" s="128">
        <v>2007</v>
      </c>
      <c r="G74" s="128">
        <v>102</v>
      </c>
      <c r="H74" s="128">
        <v>14</v>
      </c>
      <c r="I74" s="128">
        <f t="shared" si="6"/>
        <v>116</v>
      </c>
      <c r="J74" s="128" t="s">
        <v>1509</v>
      </c>
      <c r="K74" s="123">
        <v>17</v>
      </c>
      <c r="L74" s="128" t="s">
        <v>1757</v>
      </c>
      <c r="M74" s="128" t="s">
        <v>1758</v>
      </c>
      <c r="N74" s="128" t="s">
        <v>1512</v>
      </c>
      <c r="O74" s="128">
        <v>529</v>
      </c>
      <c r="P74" s="128">
        <v>117</v>
      </c>
      <c r="Q74" s="128">
        <v>95</v>
      </c>
      <c r="R74" s="128">
        <v>210</v>
      </c>
      <c r="S74" s="128">
        <v>52</v>
      </c>
      <c r="T74" s="128">
        <v>58</v>
      </c>
      <c r="U74" s="121">
        <f t="shared" si="2"/>
        <v>532</v>
      </c>
      <c r="V74" s="122" t="str">
        <f t="shared" si="3"/>
        <v>MADYA</v>
      </c>
    </row>
    <row r="75" spans="1:22" x14ac:dyDescent="0.35">
      <c r="A75" s="118">
        <v>74</v>
      </c>
      <c r="B75" s="118" t="s">
        <v>164</v>
      </c>
      <c r="C75" s="128" t="s">
        <v>219</v>
      </c>
      <c r="D75" s="128" t="s">
        <v>1517</v>
      </c>
      <c r="E75" s="128" t="s">
        <v>604</v>
      </c>
      <c r="F75" s="128">
        <v>2002</v>
      </c>
      <c r="G75" s="128">
        <v>46</v>
      </c>
      <c r="H75" s="128">
        <v>8</v>
      </c>
      <c r="I75" s="128">
        <f t="shared" ref="I75:I82" si="7">SUM(G75:H75)</f>
        <v>54</v>
      </c>
      <c r="J75" s="128" t="s">
        <v>1509</v>
      </c>
      <c r="K75" s="123">
        <v>7</v>
      </c>
      <c r="L75" s="129" t="s">
        <v>1759</v>
      </c>
      <c r="M75" s="129" t="s">
        <v>1760</v>
      </c>
      <c r="N75" s="129" t="s">
        <v>1761</v>
      </c>
      <c r="O75" s="128">
        <v>496</v>
      </c>
      <c r="P75" s="128">
        <v>110</v>
      </c>
      <c r="Q75" s="128">
        <v>85</v>
      </c>
      <c r="R75" s="128">
        <v>200</v>
      </c>
      <c r="S75" s="128">
        <v>56</v>
      </c>
      <c r="T75" s="128">
        <v>54</v>
      </c>
      <c r="U75" s="121">
        <f t="shared" si="2"/>
        <v>505</v>
      </c>
      <c r="V75" s="122" t="str">
        <f t="shared" si="3"/>
        <v>MADYA</v>
      </c>
    </row>
    <row r="76" spans="1:22" x14ac:dyDescent="0.35">
      <c r="A76" s="118">
        <v>75</v>
      </c>
      <c r="B76" s="118" t="s">
        <v>164</v>
      </c>
      <c r="C76" s="128" t="s">
        <v>219</v>
      </c>
      <c r="D76" s="128" t="s">
        <v>1762</v>
      </c>
      <c r="E76" s="128" t="s">
        <v>603</v>
      </c>
      <c r="F76" s="128">
        <v>2002</v>
      </c>
      <c r="G76" s="128">
        <v>29</v>
      </c>
      <c r="H76" s="128">
        <v>11</v>
      </c>
      <c r="I76" s="128">
        <f t="shared" si="7"/>
        <v>40</v>
      </c>
      <c r="J76" s="128" t="s">
        <v>1509</v>
      </c>
      <c r="K76" s="123">
        <v>7</v>
      </c>
      <c r="L76" s="129" t="s">
        <v>1763</v>
      </c>
      <c r="M76" s="129" t="s">
        <v>1764</v>
      </c>
      <c r="N76" s="129" t="s">
        <v>1579</v>
      </c>
      <c r="O76" s="128">
        <v>475</v>
      </c>
      <c r="P76" s="128">
        <v>104</v>
      </c>
      <c r="Q76" s="128">
        <v>85</v>
      </c>
      <c r="R76" s="128">
        <v>197</v>
      </c>
      <c r="S76" s="128">
        <v>45</v>
      </c>
      <c r="T76" s="128">
        <v>54</v>
      </c>
      <c r="U76" s="121">
        <f t="shared" ref="U76:U139" si="8">SUM(P76:T76)</f>
        <v>485</v>
      </c>
      <c r="V76" s="122" t="str">
        <f t="shared" ref="V76:V139" si="9">IF(U76&lt;=245,"PEMULA",IF(U76&lt;=455,"LANJUT",IF(U76&lt;=700,"MADYA","UTAMA")))</f>
        <v>MADYA</v>
      </c>
    </row>
    <row r="77" spans="1:22" x14ac:dyDescent="0.35">
      <c r="A77" s="118">
        <v>76</v>
      </c>
      <c r="B77" s="118" t="s">
        <v>164</v>
      </c>
      <c r="C77" s="128" t="s">
        <v>219</v>
      </c>
      <c r="D77" s="128" t="s">
        <v>1765</v>
      </c>
      <c r="E77" s="128" t="s">
        <v>602</v>
      </c>
      <c r="F77" s="128">
        <v>2002</v>
      </c>
      <c r="G77" s="128">
        <v>54</v>
      </c>
      <c r="H77" s="128">
        <v>9</v>
      </c>
      <c r="I77" s="128">
        <f t="shared" si="7"/>
        <v>63</v>
      </c>
      <c r="J77" s="128" t="s">
        <v>1509</v>
      </c>
      <c r="K77" s="123">
        <v>7</v>
      </c>
      <c r="L77" s="129" t="s">
        <v>1766</v>
      </c>
      <c r="M77" s="129" t="s">
        <v>1636</v>
      </c>
      <c r="N77" s="129" t="s">
        <v>1767</v>
      </c>
      <c r="O77" s="128">
        <v>475</v>
      </c>
      <c r="P77" s="128">
        <v>105</v>
      </c>
      <c r="Q77" s="128">
        <v>86</v>
      </c>
      <c r="R77" s="128">
        <v>203</v>
      </c>
      <c r="S77" s="128">
        <v>46</v>
      </c>
      <c r="T77" s="128">
        <v>52</v>
      </c>
      <c r="U77" s="121">
        <f t="shared" si="8"/>
        <v>492</v>
      </c>
      <c r="V77" s="122" t="str">
        <f t="shared" si="9"/>
        <v>MADYA</v>
      </c>
    </row>
    <row r="78" spans="1:22" x14ac:dyDescent="0.35">
      <c r="A78" s="118">
        <v>77</v>
      </c>
      <c r="B78" s="118" t="s">
        <v>164</v>
      </c>
      <c r="C78" s="128" t="s">
        <v>219</v>
      </c>
      <c r="D78" s="128" t="s">
        <v>1637</v>
      </c>
      <c r="E78" s="128" t="s">
        <v>601</v>
      </c>
      <c r="F78" s="128">
        <v>2002</v>
      </c>
      <c r="G78" s="128">
        <v>65</v>
      </c>
      <c r="H78" s="128">
        <v>20</v>
      </c>
      <c r="I78" s="128">
        <f t="shared" si="7"/>
        <v>85</v>
      </c>
      <c r="J78" s="128" t="s">
        <v>1509</v>
      </c>
      <c r="K78" s="123">
        <v>10</v>
      </c>
      <c r="L78" s="129" t="s">
        <v>1768</v>
      </c>
      <c r="M78" s="129" t="s">
        <v>1769</v>
      </c>
      <c r="N78" s="129" t="s">
        <v>1770</v>
      </c>
      <c r="O78" s="128">
        <v>484</v>
      </c>
      <c r="P78" s="128">
        <v>106</v>
      </c>
      <c r="Q78" s="128">
        <v>88</v>
      </c>
      <c r="R78" s="128">
        <v>201</v>
      </c>
      <c r="S78" s="128">
        <v>47</v>
      </c>
      <c r="T78" s="128">
        <v>56</v>
      </c>
      <c r="U78" s="121">
        <f t="shared" si="8"/>
        <v>498</v>
      </c>
      <c r="V78" s="122" t="str">
        <f t="shared" si="9"/>
        <v>MADYA</v>
      </c>
    </row>
    <row r="79" spans="1:22" x14ac:dyDescent="0.35">
      <c r="A79" s="118">
        <v>78</v>
      </c>
      <c r="B79" s="118" t="s">
        <v>164</v>
      </c>
      <c r="C79" s="128" t="s">
        <v>219</v>
      </c>
      <c r="D79" s="128" t="s">
        <v>1771</v>
      </c>
      <c r="E79" s="128" t="s">
        <v>600</v>
      </c>
      <c r="F79" s="128">
        <v>2006</v>
      </c>
      <c r="G79" s="128">
        <v>53</v>
      </c>
      <c r="H79" s="128">
        <v>8</v>
      </c>
      <c r="I79" s="128">
        <f t="shared" si="7"/>
        <v>61</v>
      </c>
      <c r="J79" s="128" t="s">
        <v>1509</v>
      </c>
      <c r="K79" s="123">
        <v>6</v>
      </c>
      <c r="L79" s="129" t="s">
        <v>1772</v>
      </c>
      <c r="M79" s="129" t="s">
        <v>1773</v>
      </c>
      <c r="N79" s="129" t="s">
        <v>1774</v>
      </c>
      <c r="O79" s="128">
        <v>498</v>
      </c>
      <c r="P79" s="128">
        <v>112</v>
      </c>
      <c r="Q79" s="128">
        <v>87</v>
      </c>
      <c r="R79" s="128">
        <v>196</v>
      </c>
      <c r="S79" s="128">
        <v>52</v>
      </c>
      <c r="T79" s="128">
        <v>60</v>
      </c>
      <c r="U79" s="121">
        <f t="shared" si="8"/>
        <v>507</v>
      </c>
      <c r="V79" s="122" t="str">
        <f t="shared" si="9"/>
        <v>MADYA</v>
      </c>
    </row>
    <row r="80" spans="1:22" x14ac:dyDescent="0.35">
      <c r="A80" s="118">
        <v>79</v>
      </c>
      <c r="B80" s="118" t="s">
        <v>164</v>
      </c>
      <c r="C80" s="128" t="s">
        <v>219</v>
      </c>
      <c r="D80" s="128" t="s">
        <v>1775</v>
      </c>
      <c r="E80" s="128" t="s">
        <v>599</v>
      </c>
      <c r="F80" s="128">
        <v>2006</v>
      </c>
      <c r="G80" s="128">
        <v>72</v>
      </c>
      <c r="H80" s="128">
        <v>23</v>
      </c>
      <c r="I80" s="128">
        <f t="shared" si="7"/>
        <v>95</v>
      </c>
      <c r="J80" s="128" t="s">
        <v>1509</v>
      </c>
      <c r="K80" s="123">
        <v>8</v>
      </c>
      <c r="L80" s="129" t="s">
        <v>1776</v>
      </c>
      <c r="M80" s="129" t="s">
        <v>1777</v>
      </c>
      <c r="N80" s="129" t="s">
        <v>1778</v>
      </c>
      <c r="O80" s="128">
        <v>472</v>
      </c>
      <c r="P80" s="128">
        <v>105</v>
      </c>
      <c r="Q80" s="128">
        <v>85</v>
      </c>
      <c r="R80" s="128">
        <v>196</v>
      </c>
      <c r="S80" s="128">
        <v>46</v>
      </c>
      <c r="T80" s="128">
        <v>52</v>
      </c>
      <c r="U80" s="121">
        <f t="shared" si="8"/>
        <v>484</v>
      </c>
      <c r="V80" s="122" t="str">
        <f t="shared" si="9"/>
        <v>MADYA</v>
      </c>
    </row>
    <row r="81" spans="1:22" x14ac:dyDescent="0.35">
      <c r="A81" s="118">
        <v>80</v>
      </c>
      <c r="B81" s="118" t="s">
        <v>164</v>
      </c>
      <c r="C81" s="128" t="s">
        <v>219</v>
      </c>
      <c r="D81" s="128" t="s">
        <v>1779</v>
      </c>
      <c r="E81" s="128" t="s">
        <v>598</v>
      </c>
      <c r="F81" s="128">
        <v>2008</v>
      </c>
      <c r="G81" s="128">
        <v>61</v>
      </c>
      <c r="H81" s="128">
        <v>10</v>
      </c>
      <c r="I81" s="128">
        <f t="shared" si="7"/>
        <v>71</v>
      </c>
      <c r="J81" s="128" t="s">
        <v>1509</v>
      </c>
      <c r="K81" s="123">
        <v>7</v>
      </c>
      <c r="L81" s="129" t="s">
        <v>1780</v>
      </c>
      <c r="M81" s="129" t="s">
        <v>1647</v>
      </c>
      <c r="N81" s="129" t="s">
        <v>1781</v>
      </c>
      <c r="O81" s="128">
        <v>474</v>
      </c>
      <c r="P81" s="128">
        <v>104</v>
      </c>
      <c r="Q81" s="128">
        <v>85</v>
      </c>
      <c r="R81" s="128">
        <v>194</v>
      </c>
      <c r="S81" s="128">
        <v>46</v>
      </c>
      <c r="T81" s="128">
        <v>52</v>
      </c>
      <c r="U81" s="121">
        <f t="shared" si="8"/>
        <v>481</v>
      </c>
      <c r="V81" s="122" t="str">
        <f t="shared" si="9"/>
        <v>MADYA</v>
      </c>
    </row>
    <row r="82" spans="1:22" x14ac:dyDescent="0.35">
      <c r="A82" s="118">
        <v>81</v>
      </c>
      <c r="B82" s="118" t="s">
        <v>164</v>
      </c>
      <c r="C82" s="128" t="s">
        <v>219</v>
      </c>
      <c r="D82" s="128" t="s">
        <v>1782</v>
      </c>
      <c r="E82" s="128" t="s">
        <v>597</v>
      </c>
      <c r="F82" s="128">
        <v>2008</v>
      </c>
      <c r="G82" s="128">
        <v>14</v>
      </c>
      <c r="H82" s="128">
        <v>6</v>
      </c>
      <c r="I82" s="128">
        <f t="shared" si="7"/>
        <v>20</v>
      </c>
      <c r="J82" s="128" t="s">
        <v>1509</v>
      </c>
      <c r="K82" s="123">
        <v>4</v>
      </c>
      <c r="L82" s="129" t="s">
        <v>1783</v>
      </c>
      <c r="M82" s="129" t="s">
        <v>1706</v>
      </c>
      <c r="N82" s="129" t="s">
        <v>1784</v>
      </c>
      <c r="O82" s="128">
        <v>475</v>
      </c>
      <c r="P82" s="128">
        <v>105</v>
      </c>
      <c r="Q82" s="128">
        <v>85</v>
      </c>
      <c r="R82" s="128">
        <v>195</v>
      </c>
      <c r="S82" s="128">
        <v>46</v>
      </c>
      <c r="T82" s="128">
        <v>54</v>
      </c>
      <c r="U82" s="121">
        <f t="shared" si="8"/>
        <v>485</v>
      </c>
      <c r="V82" s="122" t="str">
        <f t="shared" si="9"/>
        <v>MADYA</v>
      </c>
    </row>
    <row r="83" spans="1:22" x14ac:dyDescent="0.35">
      <c r="A83" s="118">
        <v>82</v>
      </c>
      <c r="B83" s="118" t="s">
        <v>164</v>
      </c>
      <c r="C83" s="128" t="s">
        <v>221</v>
      </c>
      <c r="D83" s="128" t="s">
        <v>1785</v>
      </c>
      <c r="E83" s="128" t="s">
        <v>618</v>
      </c>
      <c r="F83" s="128">
        <v>2007</v>
      </c>
      <c r="G83" s="128">
        <v>106</v>
      </c>
      <c r="H83" s="128">
        <v>21</v>
      </c>
      <c r="I83" s="128">
        <f t="shared" ref="I83:I89" si="10">H83+G83</f>
        <v>127</v>
      </c>
      <c r="J83" s="128" t="s">
        <v>1509</v>
      </c>
      <c r="K83" s="123">
        <v>6</v>
      </c>
      <c r="L83" s="129" t="s">
        <v>1786</v>
      </c>
      <c r="M83" s="129" t="s">
        <v>1787</v>
      </c>
      <c r="N83" s="129" t="s">
        <v>1576</v>
      </c>
      <c r="O83" s="128">
        <v>641</v>
      </c>
      <c r="P83" s="128">
        <v>112</v>
      </c>
      <c r="Q83" s="128">
        <v>104</v>
      </c>
      <c r="R83" s="128">
        <v>290</v>
      </c>
      <c r="S83" s="128">
        <v>75</v>
      </c>
      <c r="T83" s="128">
        <v>70</v>
      </c>
      <c r="U83" s="121">
        <f t="shared" si="8"/>
        <v>651</v>
      </c>
      <c r="V83" s="122" t="str">
        <f t="shared" si="9"/>
        <v>MADYA</v>
      </c>
    </row>
    <row r="84" spans="1:22" x14ac:dyDescent="0.35">
      <c r="A84" s="118">
        <v>83</v>
      </c>
      <c r="B84" s="118" t="s">
        <v>164</v>
      </c>
      <c r="C84" s="128" t="s">
        <v>221</v>
      </c>
      <c r="D84" s="128" t="s">
        <v>1788</v>
      </c>
      <c r="E84" s="128" t="s">
        <v>616</v>
      </c>
      <c r="F84" s="128">
        <v>2003</v>
      </c>
      <c r="G84" s="128">
        <v>105</v>
      </c>
      <c r="H84" s="128">
        <v>28</v>
      </c>
      <c r="I84" s="128">
        <f t="shared" si="10"/>
        <v>133</v>
      </c>
      <c r="J84" s="128" t="s">
        <v>1509</v>
      </c>
      <c r="K84" s="123">
        <v>18</v>
      </c>
      <c r="L84" s="129" t="s">
        <v>1789</v>
      </c>
      <c r="M84" s="129" t="s">
        <v>1790</v>
      </c>
      <c r="N84" s="129" t="s">
        <v>1791</v>
      </c>
      <c r="O84" s="128">
        <v>664</v>
      </c>
      <c r="P84" s="128">
        <v>115</v>
      </c>
      <c r="Q84" s="128">
        <v>104</v>
      </c>
      <c r="R84" s="128">
        <v>290</v>
      </c>
      <c r="S84" s="128">
        <v>80</v>
      </c>
      <c r="T84" s="128">
        <v>80</v>
      </c>
      <c r="U84" s="121">
        <f t="shared" si="8"/>
        <v>669</v>
      </c>
      <c r="V84" s="122" t="str">
        <f t="shared" si="9"/>
        <v>MADYA</v>
      </c>
    </row>
    <row r="85" spans="1:22" x14ac:dyDescent="0.35">
      <c r="A85" s="118">
        <v>84</v>
      </c>
      <c r="B85" s="118" t="s">
        <v>164</v>
      </c>
      <c r="C85" s="128" t="s">
        <v>221</v>
      </c>
      <c r="D85" s="122" t="s">
        <v>1517</v>
      </c>
      <c r="E85" s="122" t="s">
        <v>617</v>
      </c>
      <c r="F85" s="122">
        <v>2007</v>
      </c>
      <c r="G85" s="128">
        <v>70</v>
      </c>
      <c r="H85" s="128">
        <v>24</v>
      </c>
      <c r="I85" s="128">
        <f t="shared" si="10"/>
        <v>94</v>
      </c>
      <c r="J85" s="122" t="s">
        <v>1509</v>
      </c>
      <c r="K85" s="130">
        <v>16</v>
      </c>
      <c r="L85" s="131" t="s">
        <v>1790</v>
      </c>
      <c r="M85" s="131" t="s">
        <v>1792</v>
      </c>
      <c r="N85" s="131" t="s">
        <v>1793</v>
      </c>
      <c r="O85" s="122">
        <v>738</v>
      </c>
      <c r="P85" s="122">
        <v>150</v>
      </c>
      <c r="Q85" s="122">
        <v>139</v>
      </c>
      <c r="R85" s="122">
        <v>304</v>
      </c>
      <c r="S85" s="122">
        <v>90</v>
      </c>
      <c r="T85" s="122">
        <v>95</v>
      </c>
      <c r="U85" s="121">
        <f t="shared" si="8"/>
        <v>778</v>
      </c>
      <c r="V85" s="122" t="str">
        <f t="shared" si="9"/>
        <v>UTAMA</v>
      </c>
    </row>
    <row r="86" spans="1:22" x14ac:dyDescent="0.35">
      <c r="A86" s="118">
        <v>85</v>
      </c>
      <c r="B86" s="118" t="s">
        <v>164</v>
      </c>
      <c r="C86" s="128" t="s">
        <v>221</v>
      </c>
      <c r="D86" s="122" t="s">
        <v>1794</v>
      </c>
      <c r="E86" s="122" t="s">
        <v>615</v>
      </c>
      <c r="F86" s="122">
        <v>2007</v>
      </c>
      <c r="G86" s="128">
        <v>80</v>
      </c>
      <c r="H86" s="128">
        <v>53</v>
      </c>
      <c r="I86" s="128">
        <f t="shared" si="10"/>
        <v>133</v>
      </c>
      <c r="J86" s="122" t="s">
        <v>1509</v>
      </c>
      <c r="K86" s="130">
        <v>12</v>
      </c>
      <c r="L86" s="131" t="s">
        <v>1795</v>
      </c>
      <c r="M86" s="131" t="s">
        <v>1705</v>
      </c>
      <c r="N86" s="131" t="s">
        <v>1796</v>
      </c>
      <c r="O86" s="122">
        <v>639</v>
      </c>
      <c r="P86" s="122">
        <v>115</v>
      </c>
      <c r="Q86" s="122">
        <v>115</v>
      </c>
      <c r="R86" s="122">
        <v>257</v>
      </c>
      <c r="S86" s="122">
        <v>78</v>
      </c>
      <c r="T86" s="122">
        <v>80</v>
      </c>
      <c r="U86" s="121">
        <f t="shared" si="8"/>
        <v>645</v>
      </c>
      <c r="V86" s="122" t="str">
        <f t="shared" si="9"/>
        <v>MADYA</v>
      </c>
    </row>
    <row r="87" spans="1:22" x14ac:dyDescent="0.35">
      <c r="A87" s="118">
        <v>86</v>
      </c>
      <c r="B87" s="118" t="s">
        <v>164</v>
      </c>
      <c r="C87" s="128" t="s">
        <v>221</v>
      </c>
      <c r="D87" s="122" t="s">
        <v>1797</v>
      </c>
      <c r="E87" s="122" t="s">
        <v>614</v>
      </c>
      <c r="F87" s="122">
        <v>2005</v>
      </c>
      <c r="G87" s="128">
        <v>54</v>
      </c>
      <c r="H87" s="128">
        <v>20</v>
      </c>
      <c r="I87" s="128">
        <f t="shared" si="10"/>
        <v>74</v>
      </c>
      <c r="J87" s="122" t="s">
        <v>1509</v>
      </c>
      <c r="K87" s="130">
        <v>15</v>
      </c>
      <c r="L87" s="131" t="s">
        <v>1798</v>
      </c>
      <c r="M87" s="131" t="s">
        <v>1799</v>
      </c>
      <c r="N87" s="131" t="s">
        <v>1800</v>
      </c>
      <c r="O87" s="122">
        <v>637</v>
      </c>
      <c r="P87" s="122">
        <v>115</v>
      </c>
      <c r="Q87" s="122">
        <v>115</v>
      </c>
      <c r="R87" s="122">
        <v>258</v>
      </c>
      <c r="S87" s="122">
        <v>80</v>
      </c>
      <c r="T87" s="122">
        <v>80</v>
      </c>
      <c r="U87" s="121">
        <f t="shared" si="8"/>
        <v>648</v>
      </c>
      <c r="V87" s="122" t="str">
        <f t="shared" si="9"/>
        <v>MADYA</v>
      </c>
    </row>
    <row r="88" spans="1:22" x14ac:dyDescent="0.35">
      <c r="A88" s="118">
        <v>87</v>
      </c>
      <c r="B88" s="118" t="s">
        <v>164</v>
      </c>
      <c r="C88" s="128" t="s">
        <v>221</v>
      </c>
      <c r="D88" s="122" t="s">
        <v>1801</v>
      </c>
      <c r="E88" s="122" t="s">
        <v>613</v>
      </c>
      <c r="F88" s="122">
        <v>2006</v>
      </c>
      <c r="G88" s="128">
        <v>52</v>
      </c>
      <c r="H88" s="128">
        <v>9</v>
      </c>
      <c r="I88" s="128">
        <f t="shared" si="10"/>
        <v>61</v>
      </c>
      <c r="J88" s="122" t="s">
        <v>1509</v>
      </c>
      <c r="K88" s="130">
        <v>16</v>
      </c>
      <c r="L88" s="131" t="s">
        <v>1802</v>
      </c>
      <c r="M88" s="131" t="s">
        <v>1803</v>
      </c>
      <c r="N88" s="131" t="s">
        <v>1804</v>
      </c>
      <c r="O88" s="122">
        <v>662</v>
      </c>
      <c r="P88" s="122">
        <v>105</v>
      </c>
      <c r="Q88" s="122">
        <v>103</v>
      </c>
      <c r="R88" s="122">
        <v>289</v>
      </c>
      <c r="S88" s="122">
        <v>80</v>
      </c>
      <c r="T88" s="122">
        <v>80</v>
      </c>
      <c r="U88" s="121">
        <f t="shared" si="8"/>
        <v>657</v>
      </c>
      <c r="V88" s="122" t="str">
        <f t="shared" si="9"/>
        <v>MADYA</v>
      </c>
    </row>
    <row r="89" spans="1:22" x14ac:dyDescent="0.35">
      <c r="A89" s="118">
        <v>88</v>
      </c>
      <c r="B89" s="118" t="s">
        <v>164</v>
      </c>
      <c r="C89" s="128" t="s">
        <v>221</v>
      </c>
      <c r="D89" s="128" t="s">
        <v>1805</v>
      </c>
      <c r="E89" s="128" t="s">
        <v>612</v>
      </c>
      <c r="F89" s="128">
        <v>2007</v>
      </c>
      <c r="G89" s="128">
        <v>65</v>
      </c>
      <c r="H89" s="128">
        <v>9</v>
      </c>
      <c r="I89" s="128">
        <f t="shared" si="10"/>
        <v>74</v>
      </c>
      <c r="J89" s="128" t="s">
        <v>1509</v>
      </c>
      <c r="K89" s="123">
        <v>12</v>
      </c>
      <c r="L89" s="129" t="s">
        <v>1806</v>
      </c>
      <c r="M89" s="129" t="s">
        <v>1807</v>
      </c>
      <c r="N89" s="129" t="s">
        <v>1808</v>
      </c>
      <c r="O89" s="128">
        <v>612</v>
      </c>
      <c r="P89" s="128">
        <v>120</v>
      </c>
      <c r="Q89" s="128">
        <v>100</v>
      </c>
      <c r="R89" s="128">
        <v>252</v>
      </c>
      <c r="S89" s="128">
        <v>78</v>
      </c>
      <c r="T89" s="128">
        <v>72</v>
      </c>
      <c r="U89" s="121">
        <f t="shared" si="8"/>
        <v>622</v>
      </c>
      <c r="V89" s="122" t="str">
        <f t="shared" si="9"/>
        <v>MADYA</v>
      </c>
    </row>
    <row r="90" spans="1:22" x14ac:dyDescent="0.35">
      <c r="A90" s="118">
        <v>89</v>
      </c>
      <c r="B90" s="118" t="s">
        <v>164</v>
      </c>
      <c r="C90" s="128" t="s">
        <v>223</v>
      </c>
      <c r="D90" s="128" t="s">
        <v>1810</v>
      </c>
      <c r="E90" s="128" t="s">
        <v>637</v>
      </c>
      <c r="F90" s="128">
        <v>2007</v>
      </c>
      <c r="G90" s="128">
        <v>64</v>
      </c>
      <c r="H90" s="128">
        <v>16</v>
      </c>
      <c r="I90" s="128">
        <f t="shared" ref="I90:I113" si="11">SUM(G90:H90)</f>
        <v>80</v>
      </c>
      <c r="J90" s="128" t="s">
        <v>1509</v>
      </c>
      <c r="K90" s="123">
        <v>6</v>
      </c>
      <c r="L90" s="131" t="s">
        <v>1811</v>
      </c>
      <c r="M90" s="131" t="s">
        <v>1812</v>
      </c>
      <c r="N90" s="131" t="s">
        <v>1813</v>
      </c>
      <c r="O90" s="128">
        <v>545</v>
      </c>
      <c r="P90" s="128">
        <v>118</v>
      </c>
      <c r="Q90" s="128">
        <v>100</v>
      </c>
      <c r="R90" s="128">
        <v>221</v>
      </c>
      <c r="S90" s="128">
        <v>55</v>
      </c>
      <c r="T90" s="128">
        <v>62</v>
      </c>
      <c r="U90" s="121">
        <f t="shared" si="8"/>
        <v>556</v>
      </c>
      <c r="V90" s="122" t="str">
        <f t="shared" si="9"/>
        <v>MADYA</v>
      </c>
    </row>
    <row r="91" spans="1:22" x14ac:dyDescent="0.35">
      <c r="A91" s="118">
        <v>90</v>
      </c>
      <c r="B91" s="118" t="s">
        <v>164</v>
      </c>
      <c r="C91" s="128" t="s">
        <v>223</v>
      </c>
      <c r="D91" s="128" t="s">
        <v>1805</v>
      </c>
      <c r="E91" s="128" t="s">
        <v>642</v>
      </c>
      <c r="F91" s="128">
        <v>2007</v>
      </c>
      <c r="G91" s="128">
        <v>133</v>
      </c>
      <c r="H91" s="128">
        <v>26</v>
      </c>
      <c r="I91" s="128">
        <f t="shared" si="11"/>
        <v>159</v>
      </c>
      <c r="J91" s="128" t="s">
        <v>1509</v>
      </c>
      <c r="K91" s="123">
        <v>9</v>
      </c>
      <c r="L91" s="131" t="s">
        <v>1814</v>
      </c>
      <c r="M91" s="131" t="s">
        <v>1600</v>
      </c>
      <c r="N91" s="131" t="s">
        <v>1815</v>
      </c>
      <c r="O91" s="128">
        <v>555</v>
      </c>
      <c r="P91" s="128">
        <v>118</v>
      </c>
      <c r="Q91" s="128">
        <v>100</v>
      </c>
      <c r="R91" s="128">
        <v>224</v>
      </c>
      <c r="S91" s="128">
        <v>56</v>
      </c>
      <c r="T91" s="128">
        <v>62</v>
      </c>
      <c r="U91" s="121">
        <f t="shared" si="8"/>
        <v>560</v>
      </c>
      <c r="V91" s="122" t="str">
        <f t="shared" si="9"/>
        <v>MADYA</v>
      </c>
    </row>
    <row r="92" spans="1:22" x14ac:dyDescent="0.35">
      <c r="A92" s="118">
        <v>91</v>
      </c>
      <c r="B92" s="118" t="s">
        <v>164</v>
      </c>
      <c r="C92" s="128" t="s">
        <v>223</v>
      </c>
      <c r="D92" s="128" t="s">
        <v>1816</v>
      </c>
      <c r="E92" s="128" t="s">
        <v>641</v>
      </c>
      <c r="F92" s="128">
        <v>2007</v>
      </c>
      <c r="G92" s="128">
        <v>80</v>
      </c>
      <c r="H92" s="128">
        <v>11</v>
      </c>
      <c r="I92" s="128">
        <f t="shared" si="11"/>
        <v>91</v>
      </c>
      <c r="J92" s="128" t="s">
        <v>1509</v>
      </c>
      <c r="K92" s="123">
        <v>4</v>
      </c>
      <c r="L92" s="131" t="s">
        <v>1817</v>
      </c>
      <c r="M92" s="131" t="s">
        <v>1818</v>
      </c>
      <c r="N92" s="131" t="s">
        <v>1819</v>
      </c>
      <c r="O92" s="128">
        <v>335</v>
      </c>
      <c r="P92" s="128">
        <v>82</v>
      </c>
      <c r="Q92" s="128">
        <v>55</v>
      </c>
      <c r="R92" s="128">
        <v>143</v>
      </c>
      <c r="S92" s="128">
        <v>25</v>
      </c>
      <c r="T92" s="128">
        <v>35</v>
      </c>
      <c r="U92" s="121">
        <f t="shared" si="8"/>
        <v>340</v>
      </c>
      <c r="V92" s="122" t="str">
        <f t="shared" si="9"/>
        <v>LANJUT</v>
      </c>
    </row>
    <row r="93" spans="1:22" x14ac:dyDescent="0.35">
      <c r="A93" s="118">
        <v>92</v>
      </c>
      <c r="B93" s="118" t="s">
        <v>164</v>
      </c>
      <c r="C93" s="128" t="s">
        <v>223</v>
      </c>
      <c r="D93" s="128" t="s">
        <v>1820</v>
      </c>
      <c r="E93" s="128" t="s">
        <v>640</v>
      </c>
      <c r="F93" s="128">
        <v>2007</v>
      </c>
      <c r="G93" s="128">
        <v>35</v>
      </c>
      <c r="H93" s="128">
        <v>2</v>
      </c>
      <c r="I93" s="128">
        <f t="shared" si="11"/>
        <v>37</v>
      </c>
      <c r="J93" s="128" t="s">
        <v>1509</v>
      </c>
      <c r="K93" s="123">
        <v>7</v>
      </c>
      <c r="L93" s="131" t="s">
        <v>1662</v>
      </c>
      <c r="M93" s="131" t="s">
        <v>1821</v>
      </c>
      <c r="N93" s="131" t="s">
        <v>1822</v>
      </c>
      <c r="O93" s="128">
        <v>552</v>
      </c>
      <c r="P93" s="128">
        <v>116</v>
      </c>
      <c r="Q93" s="128">
        <v>100</v>
      </c>
      <c r="R93" s="128">
        <v>223</v>
      </c>
      <c r="S93" s="128">
        <v>60</v>
      </c>
      <c r="T93" s="128">
        <v>60</v>
      </c>
      <c r="U93" s="121">
        <f t="shared" si="8"/>
        <v>559</v>
      </c>
      <c r="V93" s="122" t="str">
        <f t="shared" si="9"/>
        <v>MADYA</v>
      </c>
    </row>
    <row r="94" spans="1:22" x14ac:dyDescent="0.35">
      <c r="A94" s="118">
        <v>93</v>
      </c>
      <c r="B94" s="118" t="s">
        <v>164</v>
      </c>
      <c r="C94" s="128" t="s">
        <v>223</v>
      </c>
      <c r="D94" s="128" t="s">
        <v>1517</v>
      </c>
      <c r="E94" s="128" t="s">
        <v>639</v>
      </c>
      <c r="F94" s="128">
        <v>2007</v>
      </c>
      <c r="G94" s="128">
        <v>63</v>
      </c>
      <c r="H94" s="128">
        <v>14</v>
      </c>
      <c r="I94" s="128">
        <f t="shared" si="11"/>
        <v>77</v>
      </c>
      <c r="J94" s="128" t="s">
        <v>1509</v>
      </c>
      <c r="K94" s="123">
        <v>7</v>
      </c>
      <c r="L94" s="131" t="s">
        <v>1823</v>
      </c>
      <c r="M94" s="131" t="s">
        <v>1824</v>
      </c>
      <c r="N94" s="131" t="s">
        <v>1825</v>
      </c>
      <c r="O94" s="128">
        <v>548</v>
      </c>
      <c r="P94" s="128">
        <v>116</v>
      </c>
      <c r="Q94" s="128">
        <v>100</v>
      </c>
      <c r="R94" s="128">
        <v>225</v>
      </c>
      <c r="S94" s="128">
        <v>54</v>
      </c>
      <c r="T94" s="128">
        <v>60</v>
      </c>
      <c r="U94" s="121">
        <f t="shared" si="8"/>
        <v>555</v>
      </c>
      <c r="V94" s="122" t="str">
        <f t="shared" si="9"/>
        <v>MADYA</v>
      </c>
    </row>
    <row r="95" spans="1:22" x14ac:dyDescent="0.35">
      <c r="A95" s="118">
        <v>94</v>
      </c>
      <c r="B95" s="118" t="s">
        <v>164</v>
      </c>
      <c r="C95" s="128" t="s">
        <v>223</v>
      </c>
      <c r="D95" s="128" t="s">
        <v>1826</v>
      </c>
      <c r="E95" s="128" t="s">
        <v>638</v>
      </c>
      <c r="F95" s="128">
        <v>2007</v>
      </c>
      <c r="G95" s="128">
        <v>63</v>
      </c>
      <c r="H95" s="128">
        <v>14</v>
      </c>
      <c r="I95" s="128">
        <f t="shared" si="11"/>
        <v>77</v>
      </c>
      <c r="J95" s="128" t="s">
        <v>1509</v>
      </c>
      <c r="K95" s="123">
        <v>5</v>
      </c>
      <c r="L95" s="131" t="s">
        <v>1827</v>
      </c>
      <c r="M95" s="131" t="s">
        <v>1828</v>
      </c>
      <c r="N95" s="131" t="s">
        <v>1573</v>
      </c>
      <c r="O95" s="128">
        <v>337</v>
      </c>
      <c r="P95" s="128">
        <v>82</v>
      </c>
      <c r="Q95" s="128">
        <v>59</v>
      </c>
      <c r="R95" s="128">
        <v>147</v>
      </c>
      <c r="S95" s="128">
        <v>24</v>
      </c>
      <c r="T95" s="128">
        <v>36</v>
      </c>
      <c r="U95" s="121">
        <f t="shared" si="8"/>
        <v>348</v>
      </c>
      <c r="V95" s="122" t="str">
        <f t="shared" si="9"/>
        <v>LANJUT</v>
      </c>
    </row>
    <row r="96" spans="1:22" x14ac:dyDescent="0.35">
      <c r="A96" s="118">
        <v>95</v>
      </c>
      <c r="B96" s="118" t="s">
        <v>164</v>
      </c>
      <c r="C96" s="128" t="s">
        <v>208</v>
      </c>
      <c r="D96" s="128" t="s">
        <v>1829</v>
      </c>
      <c r="E96" s="128" t="s">
        <v>515</v>
      </c>
      <c r="F96" s="128">
        <v>2007</v>
      </c>
      <c r="G96" s="128">
        <v>37</v>
      </c>
      <c r="H96" s="128">
        <v>8</v>
      </c>
      <c r="I96" s="128">
        <f t="shared" si="11"/>
        <v>45</v>
      </c>
      <c r="J96" s="128" t="s">
        <v>1509</v>
      </c>
      <c r="K96" s="123">
        <v>3.5</v>
      </c>
      <c r="L96" s="128" t="s">
        <v>1830</v>
      </c>
      <c r="M96" s="128" t="s">
        <v>1831</v>
      </c>
      <c r="N96" s="128" t="s">
        <v>1832</v>
      </c>
      <c r="O96" s="128">
        <v>433</v>
      </c>
      <c r="P96" s="128">
        <v>98</v>
      </c>
      <c r="Q96" s="128">
        <v>79</v>
      </c>
      <c r="R96" s="128">
        <v>178</v>
      </c>
      <c r="S96" s="128">
        <v>38</v>
      </c>
      <c r="T96" s="128">
        <v>50</v>
      </c>
      <c r="U96" s="121">
        <f t="shared" si="8"/>
        <v>443</v>
      </c>
      <c r="V96" s="122" t="str">
        <f t="shared" si="9"/>
        <v>LANJUT</v>
      </c>
    </row>
    <row r="97" spans="1:22" x14ac:dyDescent="0.35">
      <c r="A97" s="118">
        <v>96</v>
      </c>
      <c r="B97" s="118" t="s">
        <v>164</v>
      </c>
      <c r="C97" s="128" t="s">
        <v>208</v>
      </c>
      <c r="D97" s="128" t="s">
        <v>1833</v>
      </c>
      <c r="E97" s="128" t="s">
        <v>514</v>
      </c>
      <c r="F97" s="128">
        <v>2007</v>
      </c>
      <c r="G97" s="128">
        <v>8</v>
      </c>
      <c r="H97" s="128">
        <v>2</v>
      </c>
      <c r="I97" s="128">
        <f t="shared" si="11"/>
        <v>10</v>
      </c>
      <c r="J97" s="128" t="s">
        <v>1509</v>
      </c>
      <c r="K97" s="123">
        <v>2</v>
      </c>
      <c r="L97" s="128" t="s">
        <v>1834</v>
      </c>
      <c r="M97" s="128" t="s">
        <v>1682</v>
      </c>
      <c r="N97" s="128" t="s">
        <v>1835</v>
      </c>
      <c r="O97" s="128">
        <v>431</v>
      </c>
      <c r="P97" s="128">
        <v>96</v>
      </c>
      <c r="Q97" s="128">
        <v>80</v>
      </c>
      <c r="R97" s="128">
        <v>181</v>
      </c>
      <c r="S97" s="128">
        <v>35</v>
      </c>
      <c r="T97" s="128">
        <v>48</v>
      </c>
      <c r="U97" s="121">
        <f t="shared" si="8"/>
        <v>440</v>
      </c>
      <c r="V97" s="122" t="str">
        <f t="shared" si="9"/>
        <v>LANJUT</v>
      </c>
    </row>
    <row r="98" spans="1:22" x14ac:dyDescent="0.35">
      <c r="A98" s="118">
        <v>97</v>
      </c>
      <c r="B98" s="118" t="s">
        <v>164</v>
      </c>
      <c r="C98" s="128" t="s">
        <v>208</v>
      </c>
      <c r="D98" s="128" t="s">
        <v>1836</v>
      </c>
      <c r="E98" s="128" t="s">
        <v>513</v>
      </c>
      <c r="F98" s="128">
        <v>2007</v>
      </c>
      <c r="G98" s="128">
        <v>62</v>
      </c>
      <c r="H98" s="128">
        <v>33</v>
      </c>
      <c r="I98" s="128">
        <f t="shared" si="11"/>
        <v>95</v>
      </c>
      <c r="J98" s="128" t="s">
        <v>1509</v>
      </c>
      <c r="K98" s="123">
        <v>4</v>
      </c>
      <c r="L98" s="128" t="s">
        <v>1837</v>
      </c>
      <c r="M98" s="128" t="s">
        <v>1838</v>
      </c>
      <c r="N98" s="128" t="s">
        <v>1839</v>
      </c>
      <c r="O98" s="128">
        <v>684</v>
      </c>
      <c r="P98" s="128">
        <v>134</v>
      </c>
      <c r="Q98" s="128">
        <v>115</v>
      </c>
      <c r="R98" s="128">
        <v>290</v>
      </c>
      <c r="S98" s="128">
        <v>74</v>
      </c>
      <c r="T98" s="128">
        <v>77</v>
      </c>
      <c r="U98" s="121">
        <f t="shared" si="8"/>
        <v>690</v>
      </c>
      <c r="V98" s="122" t="str">
        <f t="shared" si="9"/>
        <v>MADYA</v>
      </c>
    </row>
    <row r="99" spans="1:22" x14ac:dyDescent="0.35">
      <c r="A99" s="118">
        <v>98</v>
      </c>
      <c r="B99" s="118" t="s">
        <v>164</v>
      </c>
      <c r="C99" s="128" t="s">
        <v>208</v>
      </c>
      <c r="D99" s="128" t="s">
        <v>1840</v>
      </c>
      <c r="E99" s="128" t="s">
        <v>512</v>
      </c>
      <c r="F99" s="128">
        <v>2007</v>
      </c>
      <c r="G99" s="128">
        <v>35</v>
      </c>
      <c r="H99" s="128">
        <v>2</v>
      </c>
      <c r="I99" s="128">
        <f t="shared" si="11"/>
        <v>37</v>
      </c>
      <c r="J99" s="128" t="s">
        <v>1509</v>
      </c>
      <c r="K99" s="123">
        <v>3.5</v>
      </c>
      <c r="L99" s="128" t="s">
        <v>1841</v>
      </c>
      <c r="M99" s="128" t="s">
        <v>1842</v>
      </c>
      <c r="N99" s="128" t="s">
        <v>1843</v>
      </c>
      <c r="O99" s="128">
        <v>473</v>
      </c>
      <c r="P99" s="128">
        <v>104</v>
      </c>
      <c r="Q99" s="128">
        <v>85</v>
      </c>
      <c r="R99" s="128">
        <v>200</v>
      </c>
      <c r="S99" s="128">
        <v>43</v>
      </c>
      <c r="T99" s="128">
        <v>51</v>
      </c>
      <c r="U99" s="121">
        <f t="shared" si="8"/>
        <v>483</v>
      </c>
      <c r="V99" s="122" t="str">
        <f t="shared" si="9"/>
        <v>MADYA</v>
      </c>
    </row>
    <row r="100" spans="1:22" x14ac:dyDescent="0.35">
      <c r="A100" s="118">
        <v>99</v>
      </c>
      <c r="B100" s="118" t="s">
        <v>164</v>
      </c>
      <c r="C100" s="128" t="s">
        <v>208</v>
      </c>
      <c r="D100" s="128" t="s">
        <v>1844</v>
      </c>
      <c r="E100" s="128" t="s">
        <v>511</v>
      </c>
      <c r="F100" s="128">
        <v>2007</v>
      </c>
      <c r="G100" s="128">
        <v>63</v>
      </c>
      <c r="H100" s="128">
        <v>14</v>
      </c>
      <c r="I100" s="128">
        <f t="shared" si="11"/>
        <v>77</v>
      </c>
      <c r="J100" s="128" t="s">
        <v>1509</v>
      </c>
      <c r="K100" s="123">
        <v>7</v>
      </c>
      <c r="L100" s="128" t="s">
        <v>1845</v>
      </c>
      <c r="M100" s="128" t="s">
        <v>1751</v>
      </c>
      <c r="N100" s="128" t="s">
        <v>1846</v>
      </c>
      <c r="O100" s="128">
        <v>864</v>
      </c>
      <c r="P100" s="128">
        <v>172</v>
      </c>
      <c r="Q100" s="128">
        <v>138</v>
      </c>
      <c r="R100" s="128">
        <v>359</v>
      </c>
      <c r="S100" s="128">
        <v>93</v>
      </c>
      <c r="T100" s="128">
        <v>102</v>
      </c>
      <c r="U100" s="121">
        <f t="shared" si="8"/>
        <v>864</v>
      </c>
      <c r="V100" s="122" t="str">
        <f t="shared" si="9"/>
        <v>UTAMA</v>
      </c>
    </row>
    <row r="101" spans="1:22" x14ac:dyDescent="0.35">
      <c r="A101" s="118">
        <v>100</v>
      </c>
      <c r="B101" s="118" t="s">
        <v>164</v>
      </c>
      <c r="C101" s="128" t="s">
        <v>209</v>
      </c>
      <c r="D101" s="128" t="s">
        <v>1847</v>
      </c>
      <c r="E101" s="128" t="s">
        <v>522</v>
      </c>
      <c r="F101" s="128">
        <v>2007</v>
      </c>
      <c r="G101" s="128">
        <v>40</v>
      </c>
      <c r="H101" s="128">
        <v>13</v>
      </c>
      <c r="I101" s="128">
        <f t="shared" si="11"/>
        <v>53</v>
      </c>
      <c r="J101" s="128" t="s">
        <v>1509</v>
      </c>
      <c r="K101" s="123">
        <v>5</v>
      </c>
      <c r="L101" s="128" t="s">
        <v>1770</v>
      </c>
      <c r="M101" s="128" t="s">
        <v>1848</v>
      </c>
      <c r="N101" s="128" t="s">
        <v>1849</v>
      </c>
      <c r="O101" s="128">
        <v>787</v>
      </c>
      <c r="P101" s="128">
        <v>155</v>
      </c>
      <c r="Q101" s="128">
        <v>133</v>
      </c>
      <c r="R101" s="128">
        <v>324</v>
      </c>
      <c r="S101" s="128">
        <v>88</v>
      </c>
      <c r="T101" s="128">
        <v>93</v>
      </c>
      <c r="U101" s="121">
        <f t="shared" si="8"/>
        <v>793</v>
      </c>
      <c r="V101" s="122" t="str">
        <f t="shared" si="9"/>
        <v>UTAMA</v>
      </c>
    </row>
    <row r="102" spans="1:22" x14ac:dyDescent="0.35">
      <c r="A102" s="118">
        <v>101</v>
      </c>
      <c r="B102" s="118" t="s">
        <v>164</v>
      </c>
      <c r="C102" s="128" t="s">
        <v>209</v>
      </c>
      <c r="D102" s="128" t="s">
        <v>1850</v>
      </c>
      <c r="E102" s="128" t="s">
        <v>521</v>
      </c>
      <c r="F102" s="128">
        <v>2007</v>
      </c>
      <c r="G102" s="128">
        <v>62</v>
      </c>
      <c r="H102" s="128">
        <v>7</v>
      </c>
      <c r="I102" s="128">
        <f t="shared" si="11"/>
        <v>69</v>
      </c>
      <c r="J102" s="128" t="s">
        <v>1509</v>
      </c>
      <c r="K102" s="123">
        <v>11</v>
      </c>
      <c r="L102" s="128" t="s">
        <v>1851</v>
      </c>
      <c r="M102" s="128" t="s">
        <v>1852</v>
      </c>
      <c r="N102" s="128" t="s">
        <v>1853</v>
      </c>
      <c r="O102" s="128">
        <v>851</v>
      </c>
      <c r="P102" s="128">
        <v>178</v>
      </c>
      <c r="Q102" s="128">
        <v>138</v>
      </c>
      <c r="R102" s="128">
        <v>347</v>
      </c>
      <c r="S102" s="128">
        <v>93</v>
      </c>
      <c r="T102" s="128">
        <v>100</v>
      </c>
      <c r="U102" s="121">
        <f t="shared" si="8"/>
        <v>856</v>
      </c>
      <c r="V102" s="122" t="str">
        <f t="shared" si="9"/>
        <v>UTAMA</v>
      </c>
    </row>
    <row r="103" spans="1:22" x14ac:dyDescent="0.35">
      <c r="A103" s="118">
        <v>102</v>
      </c>
      <c r="B103" s="118" t="s">
        <v>164</v>
      </c>
      <c r="C103" s="128" t="s">
        <v>209</v>
      </c>
      <c r="D103" s="128" t="s">
        <v>1854</v>
      </c>
      <c r="E103" s="128" t="s">
        <v>520</v>
      </c>
      <c r="F103" s="128">
        <v>2007</v>
      </c>
      <c r="G103" s="128">
        <v>34</v>
      </c>
      <c r="H103" s="128">
        <v>6</v>
      </c>
      <c r="I103" s="128">
        <f t="shared" si="11"/>
        <v>40</v>
      </c>
      <c r="J103" s="128" t="s">
        <v>1509</v>
      </c>
      <c r="K103" s="123">
        <v>8</v>
      </c>
      <c r="L103" s="128" t="s">
        <v>1855</v>
      </c>
      <c r="M103" s="128" t="s">
        <v>1856</v>
      </c>
      <c r="N103" s="128" t="s">
        <v>1857</v>
      </c>
      <c r="O103" s="128">
        <v>512</v>
      </c>
      <c r="P103" s="128">
        <v>112</v>
      </c>
      <c r="Q103" s="128">
        <v>93</v>
      </c>
      <c r="R103" s="128">
        <v>212</v>
      </c>
      <c r="S103" s="128">
        <v>49</v>
      </c>
      <c r="T103" s="128">
        <v>56</v>
      </c>
      <c r="U103" s="121">
        <f t="shared" si="8"/>
        <v>522</v>
      </c>
      <c r="V103" s="122" t="str">
        <f t="shared" si="9"/>
        <v>MADYA</v>
      </c>
    </row>
    <row r="104" spans="1:22" x14ac:dyDescent="0.35">
      <c r="A104" s="118">
        <v>103</v>
      </c>
      <c r="B104" s="118" t="s">
        <v>164</v>
      </c>
      <c r="C104" s="128" t="s">
        <v>209</v>
      </c>
      <c r="D104" s="128" t="s">
        <v>1517</v>
      </c>
      <c r="E104" s="128" t="s">
        <v>519</v>
      </c>
      <c r="F104" s="128">
        <v>2007</v>
      </c>
      <c r="G104" s="128">
        <v>68</v>
      </c>
      <c r="H104" s="128">
        <v>17</v>
      </c>
      <c r="I104" s="128">
        <f t="shared" si="11"/>
        <v>85</v>
      </c>
      <c r="J104" s="128" t="s">
        <v>1509</v>
      </c>
      <c r="K104" s="123">
        <v>12</v>
      </c>
      <c r="L104" s="128" t="s">
        <v>1858</v>
      </c>
      <c r="M104" s="128" t="s">
        <v>1859</v>
      </c>
      <c r="N104" s="128" t="s">
        <v>1732</v>
      </c>
      <c r="O104" s="128">
        <v>441</v>
      </c>
      <c r="P104" s="128">
        <v>100</v>
      </c>
      <c r="Q104" s="128">
        <v>80</v>
      </c>
      <c r="R104" s="128">
        <v>185</v>
      </c>
      <c r="S104" s="128">
        <v>38</v>
      </c>
      <c r="T104" s="128">
        <v>50</v>
      </c>
      <c r="U104" s="121">
        <f t="shared" si="8"/>
        <v>453</v>
      </c>
      <c r="V104" s="122" t="str">
        <f t="shared" si="9"/>
        <v>LANJUT</v>
      </c>
    </row>
    <row r="105" spans="1:22" x14ac:dyDescent="0.35">
      <c r="A105" s="118">
        <v>104</v>
      </c>
      <c r="B105" s="118" t="s">
        <v>164</v>
      </c>
      <c r="C105" s="128" t="s">
        <v>209</v>
      </c>
      <c r="D105" s="128" t="s">
        <v>1860</v>
      </c>
      <c r="E105" s="128" t="s">
        <v>518</v>
      </c>
      <c r="F105" s="128">
        <v>2007</v>
      </c>
      <c r="G105" s="128">
        <v>38</v>
      </c>
      <c r="H105" s="128">
        <v>4</v>
      </c>
      <c r="I105" s="128">
        <f t="shared" si="11"/>
        <v>42</v>
      </c>
      <c r="J105" s="128" t="s">
        <v>1509</v>
      </c>
      <c r="K105" s="123">
        <v>4</v>
      </c>
      <c r="L105" s="128" t="s">
        <v>1856</v>
      </c>
      <c r="M105" s="128" t="s">
        <v>1861</v>
      </c>
      <c r="N105" s="128" t="s">
        <v>1862</v>
      </c>
      <c r="O105" s="128">
        <v>455</v>
      </c>
      <c r="P105" s="128">
        <v>102</v>
      </c>
      <c r="Q105" s="128">
        <v>83</v>
      </c>
      <c r="R105" s="128">
        <v>195</v>
      </c>
      <c r="S105" s="128">
        <v>41</v>
      </c>
      <c r="T105" s="128">
        <v>51</v>
      </c>
      <c r="U105" s="121">
        <f t="shared" si="8"/>
        <v>472</v>
      </c>
      <c r="V105" s="122" t="str">
        <f t="shared" si="9"/>
        <v>MADYA</v>
      </c>
    </row>
    <row r="106" spans="1:22" x14ac:dyDescent="0.35">
      <c r="A106" s="118">
        <v>105</v>
      </c>
      <c r="B106" s="118" t="s">
        <v>164</v>
      </c>
      <c r="C106" s="128" t="s">
        <v>209</v>
      </c>
      <c r="D106" s="128" t="s">
        <v>1863</v>
      </c>
      <c r="E106" s="128" t="s">
        <v>517</v>
      </c>
      <c r="F106" s="128">
        <v>2007</v>
      </c>
      <c r="G106" s="128">
        <v>24</v>
      </c>
      <c r="H106" s="128">
        <v>19</v>
      </c>
      <c r="I106" s="128">
        <f t="shared" si="11"/>
        <v>43</v>
      </c>
      <c r="J106" s="128" t="s">
        <v>1509</v>
      </c>
      <c r="K106" s="123">
        <v>10</v>
      </c>
      <c r="L106" s="128" t="s">
        <v>1818</v>
      </c>
      <c r="M106" s="128" t="s">
        <v>1864</v>
      </c>
      <c r="N106" s="128" t="s">
        <v>1865</v>
      </c>
      <c r="O106" s="128">
        <v>651</v>
      </c>
      <c r="P106" s="128">
        <v>130</v>
      </c>
      <c r="Q106" s="128">
        <v>115</v>
      </c>
      <c r="R106" s="128">
        <v>272</v>
      </c>
      <c r="S106" s="128">
        <v>70</v>
      </c>
      <c r="T106" s="128">
        <v>75</v>
      </c>
      <c r="U106" s="121">
        <f t="shared" si="8"/>
        <v>662</v>
      </c>
      <c r="V106" s="122" t="str">
        <f t="shared" si="9"/>
        <v>MADYA</v>
      </c>
    </row>
    <row r="107" spans="1:22" x14ac:dyDescent="0.35">
      <c r="A107" s="118">
        <v>106</v>
      </c>
      <c r="B107" s="118" t="s">
        <v>164</v>
      </c>
      <c r="C107" s="128" t="s">
        <v>209</v>
      </c>
      <c r="D107" s="128" t="s">
        <v>1866</v>
      </c>
      <c r="E107" s="128" t="s">
        <v>516</v>
      </c>
      <c r="F107" s="128">
        <v>2007</v>
      </c>
      <c r="G107" s="128">
        <v>102</v>
      </c>
      <c r="H107" s="128">
        <v>22</v>
      </c>
      <c r="I107" s="128">
        <f t="shared" si="11"/>
        <v>124</v>
      </c>
      <c r="J107" s="128" t="s">
        <v>1509</v>
      </c>
      <c r="K107" s="123">
        <v>12</v>
      </c>
      <c r="L107" s="128" t="s">
        <v>1867</v>
      </c>
      <c r="M107" s="128" t="s">
        <v>1868</v>
      </c>
      <c r="N107" s="128" t="s">
        <v>1869</v>
      </c>
      <c r="O107" s="128">
        <v>440</v>
      </c>
      <c r="P107" s="128">
        <v>100</v>
      </c>
      <c r="Q107" s="128">
        <v>80</v>
      </c>
      <c r="R107" s="128">
        <v>180</v>
      </c>
      <c r="S107" s="128">
        <v>40</v>
      </c>
      <c r="T107" s="128">
        <v>50</v>
      </c>
      <c r="U107" s="121">
        <f t="shared" si="8"/>
        <v>450</v>
      </c>
      <c r="V107" s="122" t="str">
        <f t="shared" si="9"/>
        <v>LANJUT</v>
      </c>
    </row>
    <row r="108" spans="1:22" x14ac:dyDescent="0.35">
      <c r="A108" s="118">
        <v>107</v>
      </c>
      <c r="B108" s="118" t="s">
        <v>164</v>
      </c>
      <c r="C108" s="128" t="s">
        <v>209</v>
      </c>
      <c r="D108" s="128" t="s">
        <v>1517</v>
      </c>
      <c r="E108" s="128" t="s">
        <v>42</v>
      </c>
      <c r="F108" s="128">
        <v>2003</v>
      </c>
      <c r="G108" s="128">
        <v>0</v>
      </c>
      <c r="H108" s="128">
        <v>22</v>
      </c>
      <c r="I108" s="128">
        <f t="shared" si="11"/>
        <v>22</v>
      </c>
      <c r="J108" s="128" t="s">
        <v>1870</v>
      </c>
      <c r="K108" s="123">
        <v>4</v>
      </c>
      <c r="L108" s="128" t="s">
        <v>1871</v>
      </c>
      <c r="M108" s="128" t="s">
        <v>1872</v>
      </c>
      <c r="N108" s="128" t="s">
        <v>1873</v>
      </c>
      <c r="O108" s="128">
        <v>503</v>
      </c>
      <c r="P108" s="128">
        <v>110</v>
      </c>
      <c r="Q108" s="128">
        <v>92</v>
      </c>
      <c r="R108" s="128">
        <v>211</v>
      </c>
      <c r="S108" s="128">
        <v>46</v>
      </c>
      <c r="T108" s="128">
        <v>55</v>
      </c>
      <c r="U108" s="121">
        <f t="shared" si="8"/>
        <v>514</v>
      </c>
      <c r="V108" s="122" t="str">
        <f t="shared" si="9"/>
        <v>MADYA</v>
      </c>
    </row>
    <row r="109" spans="1:22" x14ac:dyDescent="0.35">
      <c r="A109" s="118">
        <v>108</v>
      </c>
      <c r="B109" s="118" t="s">
        <v>164</v>
      </c>
      <c r="C109" s="128" t="s">
        <v>6242</v>
      </c>
      <c r="D109" s="128" t="s">
        <v>1874</v>
      </c>
      <c r="E109" s="128" t="s">
        <v>596</v>
      </c>
      <c r="F109" s="128">
        <v>2008</v>
      </c>
      <c r="G109" s="128">
        <v>55</v>
      </c>
      <c r="H109" s="128">
        <v>6</v>
      </c>
      <c r="I109" s="128">
        <f t="shared" si="11"/>
        <v>61</v>
      </c>
      <c r="J109" s="128" t="s">
        <v>1509</v>
      </c>
      <c r="K109" s="123">
        <v>10</v>
      </c>
      <c r="L109" s="128" t="s">
        <v>1875</v>
      </c>
      <c r="M109" s="128" t="s">
        <v>1876</v>
      </c>
      <c r="N109" s="128" t="s">
        <v>1877</v>
      </c>
      <c r="O109" s="128">
        <v>714</v>
      </c>
      <c r="P109" s="128">
        <v>140</v>
      </c>
      <c r="Q109" s="128">
        <v>117</v>
      </c>
      <c r="R109" s="128">
        <v>302</v>
      </c>
      <c r="S109" s="128">
        <v>80</v>
      </c>
      <c r="T109" s="128">
        <v>82</v>
      </c>
      <c r="U109" s="121">
        <f t="shared" si="8"/>
        <v>721</v>
      </c>
      <c r="V109" s="122" t="str">
        <f t="shared" si="9"/>
        <v>UTAMA</v>
      </c>
    </row>
    <row r="110" spans="1:22" x14ac:dyDescent="0.35">
      <c r="A110" s="118">
        <v>109</v>
      </c>
      <c r="B110" s="118" t="s">
        <v>164</v>
      </c>
      <c r="C110" s="128" t="s">
        <v>6242</v>
      </c>
      <c r="D110" s="128" t="s">
        <v>1878</v>
      </c>
      <c r="E110" s="128" t="s">
        <v>595</v>
      </c>
      <c r="F110" s="128">
        <v>2008</v>
      </c>
      <c r="G110" s="128">
        <v>85</v>
      </c>
      <c r="H110" s="128">
        <v>19</v>
      </c>
      <c r="I110" s="128">
        <f t="shared" si="11"/>
        <v>104</v>
      </c>
      <c r="J110" s="128" t="s">
        <v>1509</v>
      </c>
      <c r="K110" s="123">
        <v>15</v>
      </c>
      <c r="L110" s="128" t="s">
        <v>1879</v>
      </c>
      <c r="M110" s="128" t="s">
        <v>1880</v>
      </c>
      <c r="N110" s="128" t="s">
        <v>1856</v>
      </c>
      <c r="O110" s="128">
        <v>441</v>
      </c>
      <c r="P110" s="128">
        <v>100</v>
      </c>
      <c r="Q110" s="128">
        <v>80</v>
      </c>
      <c r="R110" s="128">
        <v>184</v>
      </c>
      <c r="S110" s="128">
        <v>38</v>
      </c>
      <c r="T110" s="128">
        <v>50</v>
      </c>
      <c r="U110" s="121">
        <f t="shared" si="8"/>
        <v>452</v>
      </c>
      <c r="V110" s="122" t="str">
        <f t="shared" si="9"/>
        <v>LANJUT</v>
      </c>
    </row>
    <row r="111" spans="1:22" x14ac:dyDescent="0.35">
      <c r="A111" s="118">
        <v>110</v>
      </c>
      <c r="B111" s="118" t="s">
        <v>164</v>
      </c>
      <c r="C111" s="128" t="s">
        <v>6242</v>
      </c>
      <c r="D111" s="128" t="s">
        <v>1517</v>
      </c>
      <c r="E111" s="128" t="s">
        <v>594</v>
      </c>
      <c r="F111" s="128">
        <v>2008</v>
      </c>
      <c r="G111" s="128">
        <v>50</v>
      </c>
      <c r="H111" s="128">
        <v>10</v>
      </c>
      <c r="I111" s="128">
        <f t="shared" si="11"/>
        <v>60</v>
      </c>
      <c r="J111" s="128" t="s">
        <v>1509</v>
      </c>
      <c r="K111" s="123">
        <v>5</v>
      </c>
      <c r="L111" s="128" t="s">
        <v>1819</v>
      </c>
      <c r="M111" s="128" t="s">
        <v>1881</v>
      </c>
      <c r="N111" s="128" t="s">
        <v>1882</v>
      </c>
      <c r="O111" s="128">
        <v>501</v>
      </c>
      <c r="P111" s="128">
        <v>108</v>
      </c>
      <c r="Q111" s="128">
        <v>89</v>
      </c>
      <c r="R111" s="128">
        <v>212</v>
      </c>
      <c r="S111" s="128">
        <v>46</v>
      </c>
      <c r="T111" s="128">
        <v>56</v>
      </c>
      <c r="U111" s="121">
        <f t="shared" si="8"/>
        <v>511</v>
      </c>
      <c r="V111" s="122" t="str">
        <f t="shared" si="9"/>
        <v>MADYA</v>
      </c>
    </row>
    <row r="112" spans="1:22" x14ac:dyDescent="0.35">
      <c r="A112" s="118">
        <v>111</v>
      </c>
      <c r="B112" s="118" t="s">
        <v>164</v>
      </c>
      <c r="C112" s="128" t="s">
        <v>6242</v>
      </c>
      <c r="D112" s="128" t="s">
        <v>1883</v>
      </c>
      <c r="E112" s="128" t="s">
        <v>593</v>
      </c>
      <c r="F112" s="128">
        <v>2008</v>
      </c>
      <c r="G112" s="128">
        <v>90</v>
      </c>
      <c r="H112" s="128">
        <v>19</v>
      </c>
      <c r="I112" s="128">
        <f t="shared" si="11"/>
        <v>109</v>
      </c>
      <c r="J112" s="128" t="s">
        <v>1509</v>
      </c>
      <c r="K112" s="123">
        <v>13</v>
      </c>
      <c r="L112" s="128" t="s">
        <v>1536</v>
      </c>
      <c r="M112" s="128" t="s">
        <v>1556</v>
      </c>
      <c r="N112" s="128" t="s">
        <v>1884</v>
      </c>
      <c r="O112" s="128">
        <v>650</v>
      </c>
      <c r="P112" s="128">
        <v>128</v>
      </c>
      <c r="Q112" s="128">
        <v>110</v>
      </c>
      <c r="R112" s="128">
        <v>277</v>
      </c>
      <c r="S112" s="128">
        <v>70</v>
      </c>
      <c r="T112" s="128">
        <v>74</v>
      </c>
      <c r="U112" s="121">
        <f t="shared" si="8"/>
        <v>659</v>
      </c>
      <c r="V112" s="122" t="str">
        <f t="shared" si="9"/>
        <v>MADYA</v>
      </c>
    </row>
    <row r="113" spans="1:22" x14ac:dyDescent="0.35">
      <c r="A113" s="118">
        <v>112</v>
      </c>
      <c r="B113" s="118" t="s">
        <v>164</v>
      </c>
      <c r="C113" s="128" t="s">
        <v>6242</v>
      </c>
      <c r="D113" s="128" t="s">
        <v>1885</v>
      </c>
      <c r="E113" s="128" t="s">
        <v>592</v>
      </c>
      <c r="F113" s="128">
        <v>2008</v>
      </c>
      <c r="G113" s="128">
        <v>57</v>
      </c>
      <c r="H113" s="128">
        <v>8</v>
      </c>
      <c r="I113" s="128">
        <f t="shared" si="11"/>
        <v>65</v>
      </c>
      <c r="J113" s="128" t="s">
        <v>1509</v>
      </c>
      <c r="K113" s="123">
        <v>11</v>
      </c>
      <c r="L113" s="128" t="s">
        <v>1886</v>
      </c>
      <c r="M113" s="128" t="s">
        <v>1887</v>
      </c>
      <c r="N113" s="128" t="s">
        <v>1536</v>
      </c>
      <c r="O113" s="128">
        <v>421</v>
      </c>
      <c r="P113" s="128">
        <v>98</v>
      </c>
      <c r="Q113" s="128">
        <v>77</v>
      </c>
      <c r="R113" s="128">
        <v>170</v>
      </c>
      <c r="S113" s="128">
        <v>37</v>
      </c>
      <c r="T113" s="128">
        <v>50</v>
      </c>
      <c r="U113" s="121">
        <f t="shared" si="8"/>
        <v>432</v>
      </c>
      <c r="V113" s="122" t="str">
        <f t="shared" si="9"/>
        <v>LANJUT</v>
      </c>
    </row>
    <row r="114" spans="1:22" x14ac:dyDescent="0.35">
      <c r="A114" s="118">
        <v>113</v>
      </c>
      <c r="B114" s="118" t="s">
        <v>164</v>
      </c>
      <c r="C114" s="128" t="s">
        <v>213</v>
      </c>
      <c r="D114" s="128" t="s">
        <v>1888</v>
      </c>
      <c r="E114" s="128" t="s">
        <v>558</v>
      </c>
      <c r="F114" s="128">
        <v>2000</v>
      </c>
      <c r="G114" s="136">
        <v>54</v>
      </c>
      <c r="H114" s="136">
        <v>17</v>
      </c>
      <c r="I114" s="136">
        <v>71</v>
      </c>
      <c r="J114" s="128" t="s">
        <v>1509</v>
      </c>
      <c r="K114" s="123">
        <v>18</v>
      </c>
      <c r="L114" s="128" t="s">
        <v>1889</v>
      </c>
      <c r="M114" s="128" t="s">
        <v>1650</v>
      </c>
      <c r="N114" s="128" t="s">
        <v>1890</v>
      </c>
      <c r="O114" s="128">
        <f>SUM([1]SM1!$G$11,[1]SM1!$K$11,[1]SM1!$O$11,[1]SM1!$S$11,[1]SM1!$G$18,[1]SM1!$K$18,[1]SM1!$O$18,[1]SM1!$S$18,[1]SM1!$G$29,[1]SM1!$K$29,[1]SM1!$O$29,[1]SM1!$S$29,[1]SM1!$G$32,[1]SM1!$K$32,[1]SM1!$O$32,[1]SM1!$S$32,[1]SM1!$G$35,[1]SM1!$K$35,[1]SM1!$O$35,[1]SM1!$S$35)</f>
        <v>726</v>
      </c>
      <c r="P114" s="128">
        <f>SUM([1]SM1!$H$11,[1]SM1!$L$11,[1]SM1!$P$11,[1]SM1!$T$11)</f>
        <v>155</v>
      </c>
      <c r="Q114" s="128">
        <f>SUM([1]SM1!$H$18,[1]SM1!$L$18,[1]SM1!$P$18,[1]SM1!$T$18)</f>
        <v>123</v>
      </c>
      <c r="R114" s="128">
        <f>SUM([1]SM1!$H$29,[1]SM1!$L$29,[1]SM1!$P$29,[1]SM1!$T$29)</f>
        <v>310</v>
      </c>
      <c r="S114" s="128">
        <f>SUM([1]SM1!$H$32,[1]SM1!$L$32,[1]SM1!$P$32,[1]SM1!$T$32)</f>
        <v>83</v>
      </c>
      <c r="T114" s="128">
        <f>SUM([1]SM1!$H$35,[1]SM1!$L$35,[1]SM1!$P$35,[1]SM1!$T$35)</f>
        <v>87</v>
      </c>
      <c r="U114" s="121">
        <f t="shared" si="8"/>
        <v>758</v>
      </c>
      <c r="V114" s="122" t="str">
        <f t="shared" si="9"/>
        <v>UTAMA</v>
      </c>
    </row>
    <row r="115" spans="1:22" x14ac:dyDescent="0.35">
      <c r="A115" s="118">
        <v>114</v>
      </c>
      <c r="B115" s="118" t="s">
        <v>164</v>
      </c>
      <c r="C115" s="128" t="s">
        <v>213</v>
      </c>
      <c r="D115" s="128" t="s">
        <v>1517</v>
      </c>
      <c r="E115" s="128" t="s">
        <v>557</v>
      </c>
      <c r="F115" s="128">
        <v>2000</v>
      </c>
      <c r="G115" s="136">
        <v>50</v>
      </c>
      <c r="H115" s="136">
        <v>6</v>
      </c>
      <c r="I115" s="136">
        <v>56</v>
      </c>
      <c r="J115" s="128" t="s">
        <v>1509</v>
      </c>
      <c r="K115" s="123">
        <v>12</v>
      </c>
      <c r="L115" s="128" t="s">
        <v>1662</v>
      </c>
      <c r="M115" s="128" t="s">
        <v>1891</v>
      </c>
      <c r="N115" s="128" t="s">
        <v>1892</v>
      </c>
      <c r="O115" s="128">
        <f>SUM([1]SM2!$G$11,[1]SM2!$K$11,[1]SM2!$O$11,[1]SM2!$S$11,[1]SM2!$G$18,[1]SM2!$K$18,[1]SM2!$O$18,[1]SM2!$S$18,[1]SM2!$G$29,[1]SM2!$K$29,[1]SM2!$O$29,[1]SM2!$S$29,[1]SM2!$G$32,[1]SM2!$K$32,[1]SM2!$O$32,[1]SM2!$S$32,[1]SM2!$G$35,[1]SM2!$K$35,[1]SM2!$O$35,[1]SM2!$S$35)</f>
        <v>597</v>
      </c>
      <c r="P115" s="128">
        <f>SUM([1]SM2!$H$11,[1]SM2!$L$11,[1]SM2!$P$11,[1]SM2!$T$11)</f>
        <v>123</v>
      </c>
      <c r="Q115" s="128">
        <f>SUM([1]SM2!$H$18,[1]SM2!$L$18,[1]SM2!$P$18,[1]SM2!$T$18)</f>
        <v>103</v>
      </c>
      <c r="R115" s="128">
        <f>SUM([1]SM2!$H$29,[1]SM2!$L$29,[1]SM2!$P$29,[1]SM2!$T$29)</f>
        <v>240</v>
      </c>
      <c r="S115" s="128">
        <f>SUM([1]SM2!$H$32,[1]SM2!$L$32,[1]SM2!$P$32,[1]SM2!$T$32)</f>
        <v>75</v>
      </c>
      <c r="T115" s="128">
        <f>SUM([1]SM2!$H$35,[1]SM2!$L$35,[1]SM2!$P$35,[1]SM2!$T$35)</f>
        <v>70</v>
      </c>
      <c r="U115" s="121">
        <f t="shared" si="8"/>
        <v>611</v>
      </c>
      <c r="V115" s="122" t="str">
        <f t="shared" si="9"/>
        <v>MADYA</v>
      </c>
    </row>
    <row r="116" spans="1:22" x14ac:dyDescent="0.35">
      <c r="A116" s="118">
        <v>115</v>
      </c>
      <c r="B116" s="118" t="s">
        <v>164</v>
      </c>
      <c r="C116" s="128" t="s">
        <v>213</v>
      </c>
      <c r="D116" s="128" t="s">
        <v>1893</v>
      </c>
      <c r="E116" s="128" t="s">
        <v>556</v>
      </c>
      <c r="F116" s="128">
        <v>2000</v>
      </c>
      <c r="G116" s="136">
        <v>60</v>
      </c>
      <c r="H116" s="136">
        <v>4</v>
      </c>
      <c r="I116" s="136">
        <v>64</v>
      </c>
      <c r="J116" s="128" t="s">
        <v>1509</v>
      </c>
      <c r="K116" s="123">
        <v>18</v>
      </c>
      <c r="L116" s="128" t="s">
        <v>1540</v>
      </c>
      <c r="M116" s="128" t="s">
        <v>1894</v>
      </c>
      <c r="N116" s="128" t="s">
        <v>1895</v>
      </c>
      <c r="O116" s="128">
        <f>SUM([1]SM3!$G$11,[1]SM3!$K$11,[1]SM3!$O$11,[1]SM3!$S$11,[1]SM3!$G$18,[1]SM3!$K$18,[1]SM3!$O$18,[1]SM3!$S$18,[1]SM3!$G$29,[1]SM3!$K$29,[1]SM3!$O$29,[1]SM3!$S$29,[1]SM3!$G$32,[1]SM3!$K$32,[1]SM3!$O$32,[1]SM3!$S$32,[1]SM3!$G$35,[1]SM3!$K$35,[1]SM3!$O$35,[1]SM3!$S$35)</f>
        <v>407</v>
      </c>
      <c r="P116" s="128">
        <f>SUM([1]SM3!$H$11,[1]SM3!$L$11,[1]SM3!$P$11,[1]SM3!$T$11)</f>
        <v>89</v>
      </c>
      <c r="Q116" s="128">
        <f>SUM([1]SM3!$H$18,[1]SM3!$L$18,[1]SM3!$P$18,[1]SM3!$T$18)</f>
        <v>73</v>
      </c>
      <c r="R116" s="128">
        <f>SUM([1]SM3!$H$29,[1]SM3!$L$29,[1]SM3!$P$29,[1]SM3!$T$29)</f>
        <v>168</v>
      </c>
      <c r="S116" s="128">
        <f>SUM([1]SM3!$H$32,[1]SM3!$L$32,[1]SM3!$P$32,[1]SM3!$T$32)</f>
        <v>38</v>
      </c>
      <c r="T116" s="128">
        <f>SUM([1]SM3!$H$35,[1]SM3!$L$35,[1]SM3!$P$35,[1]SM3!$T$35)</f>
        <v>46</v>
      </c>
      <c r="U116" s="121">
        <f t="shared" si="8"/>
        <v>414</v>
      </c>
      <c r="V116" s="122" t="str">
        <f t="shared" si="9"/>
        <v>LANJUT</v>
      </c>
    </row>
    <row r="117" spans="1:22" x14ac:dyDescent="0.35">
      <c r="A117" s="118">
        <v>116</v>
      </c>
      <c r="B117" s="118" t="s">
        <v>164</v>
      </c>
      <c r="C117" s="128" t="s">
        <v>213</v>
      </c>
      <c r="D117" s="128" t="s">
        <v>1896</v>
      </c>
      <c r="E117" s="128" t="s">
        <v>555</v>
      </c>
      <c r="F117" s="128">
        <v>2000</v>
      </c>
      <c r="G117" s="136">
        <v>41</v>
      </c>
      <c r="H117" s="136">
        <v>6</v>
      </c>
      <c r="I117" s="136">
        <v>47</v>
      </c>
      <c r="J117" s="128" t="s">
        <v>1509</v>
      </c>
      <c r="K117" s="123">
        <v>14</v>
      </c>
      <c r="L117" s="128" t="s">
        <v>1897</v>
      </c>
      <c r="M117" s="128" t="s">
        <v>1898</v>
      </c>
      <c r="N117" s="128" t="s">
        <v>1899</v>
      </c>
      <c r="O117" s="128">
        <f>SUM([1]SM4!$G$11,[1]SM4!$K$11,[1]SM4!$O$11,[1]SM4!$S$11,[1]SM4!$G$18,[1]SM4!$K$18,[1]SM4!$O$18,[1]SM4!$S$18,[1]SM4!$G$29,[1]SM4!$K$29,[1]SM4!$O$29,[1]SM4!$S$29,[1]SM4!$G$32,[1]SM4!$K$32,[1]SM4!$O$32,[1]SM4!$S$32,[1]SM4!$G$35,[1]SM4!$K$35,[1]SM4!$O$35,[1]SM4!$S$35)</f>
        <v>552</v>
      </c>
      <c r="P117" s="128">
        <f>SUM([1]SM4!$H$11,[1]SM4!$L$11,[1]SM4!$P$11,[1]SM4!$T$11)</f>
        <v>119</v>
      </c>
      <c r="Q117" s="128">
        <f>SUM([1]SM4!$H$18,[1]SM4!$L$18,[1]SM4!$P$18,[1]SM3!$T$18)</f>
        <v>100</v>
      </c>
      <c r="R117" s="128">
        <f>SUM([1]SM4!$H$29,[1]SM4!$L$29,[1]SM4!$P$29,[1]SM4!$T$29)</f>
        <v>242</v>
      </c>
      <c r="S117" s="128">
        <f>SUM([1]SM4!$H$32,[1]SM4!$L$32,[1]SM4!$P$32,[1]SM4!$T$32)</f>
        <v>52</v>
      </c>
      <c r="T117" s="128">
        <f>SUM([1]SM4!$H$35,[1]SM4!$L$35,[1]SM4!$P$35,[1]SM4!$T$35)</f>
        <v>61</v>
      </c>
      <c r="U117" s="121">
        <f t="shared" si="8"/>
        <v>574</v>
      </c>
      <c r="V117" s="122" t="str">
        <f t="shared" si="9"/>
        <v>MADYA</v>
      </c>
    </row>
    <row r="118" spans="1:22" x14ac:dyDescent="0.35">
      <c r="A118" s="118">
        <v>117</v>
      </c>
      <c r="B118" s="118" t="s">
        <v>164</v>
      </c>
      <c r="C118" s="128" t="s">
        <v>213</v>
      </c>
      <c r="D118" s="128" t="s">
        <v>1900</v>
      </c>
      <c r="E118" s="128" t="s">
        <v>554</v>
      </c>
      <c r="F118" s="128">
        <v>2000</v>
      </c>
      <c r="G118" s="136">
        <v>34</v>
      </c>
      <c r="H118" s="136">
        <v>13</v>
      </c>
      <c r="I118" s="136">
        <v>47</v>
      </c>
      <c r="J118" s="128" t="s">
        <v>1509</v>
      </c>
      <c r="K118" s="123">
        <v>11</v>
      </c>
      <c r="L118" s="128" t="s">
        <v>1901</v>
      </c>
      <c r="M118" s="128" t="s">
        <v>1902</v>
      </c>
      <c r="N118" s="128" t="s">
        <v>1903</v>
      </c>
      <c r="O118" s="128">
        <f>SUM([1]SM5!$G$11,[1]SM5!$K$11,[1]SM5!$O$11,[1]SM5!$S$11,[1]SM5!$G$18,[1]SM5!$K$18,[1]SM5!$O$18,[1]SM5!$S$18,[1]SM5!$G$29,[1]SM5!$K$29,[1]SM5!$O$29,[1]SM5!$S$29,[1]SM5!$G$32,[1]SM5!$K$32,[1]SM5!$O$32,[1]SM5!$S$32,[1]SM5!$G$35,[1]SM5!$K$35,[1]SM5!$O$35,[1]SM5!$S$35)</f>
        <v>382</v>
      </c>
      <c r="P118" s="128">
        <f>SUM([1]SM5!$H$11,[1]SM5!$L$11,[1]SM5!$P$11,[1]SM5!$T$11)</f>
        <v>92</v>
      </c>
      <c r="Q118" s="128">
        <f>SUM([1]SM5!$H$18,[1]SM5!$L$18,[1]SM5!$P$18,[1]SM5!$T$18)</f>
        <v>71</v>
      </c>
      <c r="R118" s="128">
        <f>SUM([1]SM5!$H$29,[1]SM5!$L$29,[1]SM5!$P$29,[1]SM5!$T$29)</f>
        <v>164</v>
      </c>
      <c r="S118" s="128">
        <f>SUM([1]SM5!$H$32,[1]SM5!$L$32,[1]SM5!$P$32,[1]SM5!$T$32)</f>
        <v>28</v>
      </c>
      <c r="T118" s="128">
        <f>SUM([1]SM5!$H$35,[1]SM5!$L$35,[1]SM5!$P$35,[1]SM5!$T$35)</f>
        <v>40</v>
      </c>
      <c r="U118" s="121">
        <f t="shared" si="8"/>
        <v>395</v>
      </c>
      <c r="V118" s="122" t="str">
        <f t="shared" si="9"/>
        <v>LANJUT</v>
      </c>
    </row>
    <row r="119" spans="1:22" x14ac:dyDescent="0.35">
      <c r="A119" s="118">
        <v>118</v>
      </c>
      <c r="B119" s="118" t="s">
        <v>164</v>
      </c>
      <c r="C119" s="128" t="s">
        <v>213</v>
      </c>
      <c r="D119" s="128" t="s">
        <v>1585</v>
      </c>
      <c r="E119" s="128" t="s">
        <v>553</v>
      </c>
      <c r="F119" s="128">
        <v>2000</v>
      </c>
      <c r="G119" s="136">
        <v>24</v>
      </c>
      <c r="H119" s="136">
        <v>2</v>
      </c>
      <c r="I119" s="136">
        <v>26</v>
      </c>
      <c r="J119" s="128" t="s">
        <v>1509</v>
      </c>
      <c r="K119" s="123">
        <v>6</v>
      </c>
      <c r="L119" s="128" t="s">
        <v>1706</v>
      </c>
      <c r="M119" s="128" t="s">
        <v>1904</v>
      </c>
      <c r="N119" s="128" t="s">
        <v>1905</v>
      </c>
      <c r="O119" s="128">
        <f>SUM([1]SM6!$G$11,[1]SM6!$K$11,[1]SM6!$O$11,[1]SM6!$S$11,[1]SM6!$G$18,[1]SM6!$K$18,[1]SM6!$O$18,[1]SM6!$S$18,[1]SM6!$G$29,[1]SM6!$K$29,[1]SM6!$O$29,[1]SM6!$S$29,[1]SM6!$G$32,[1]SM6!$K$32,[1]SM6!$O$32,[1]SM6!$S$32,[1]SM6!$G$35,[1]SM6!$K$35,[1]SM6!$O$35,[1]SM6!$S$35)</f>
        <v>380</v>
      </c>
      <c r="P119" s="128">
        <f>SUM([1]SM6!$H$11,[1]SM6!$L$11,[1]SM6!$P$11,[1]SM6!$T$11)</f>
        <v>87</v>
      </c>
      <c r="Q119" s="128">
        <f>SUM([1]SM6!$H$18,[1]SM6!$L$18,[1]SM6!$P$18,[1]SM6!$T$18)</f>
        <v>69</v>
      </c>
      <c r="R119" s="128">
        <f>SUM([1]SM6!$H$29,[1]SM6!$L$29,[1]SM6!$P$29,[1]SM6!$T$29)</f>
        <v>163</v>
      </c>
      <c r="S119" s="128">
        <f>SUM([1]SM6!$H$32,[1]SM6!$L$32,[1]SM6!$P$32,[1]SM6!$T$32)</f>
        <v>33</v>
      </c>
      <c r="T119" s="128">
        <f>SUM([1]SM6!$H$35,[1]SM6!$L$35,[1]SM6!$P$35,[1]SM6!$T$35)</f>
        <v>42</v>
      </c>
      <c r="U119" s="121">
        <f t="shared" si="8"/>
        <v>394</v>
      </c>
      <c r="V119" s="122" t="str">
        <f t="shared" si="9"/>
        <v>LANJUT</v>
      </c>
    </row>
    <row r="120" spans="1:22" x14ac:dyDescent="0.35">
      <c r="A120" s="118">
        <v>119</v>
      </c>
      <c r="B120" s="118" t="s">
        <v>164</v>
      </c>
      <c r="C120" s="128" t="s">
        <v>213</v>
      </c>
      <c r="D120" s="128" t="s">
        <v>1906</v>
      </c>
      <c r="E120" s="128" t="s">
        <v>552</v>
      </c>
      <c r="F120" s="128">
        <v>2000</v>
      </c>
      <c r="G120" s="136">
        <v>58</v>
      </c>
      <c r="H120" s="136">
        <v>6</v>
      </c>
      <c r="I120" s="136">
        <v>64</v>
      </c>
      <c r="J120" s="128" t="s">
        <v>1509</v>
      </c>
      <c r="K120" s="123">
        <v>19</v>
      </c>
      <c r="L120" s="128" t="s">
        <v>1897</v>
      </c>
      <c r="M120" s="128" t="s">
        <v>1907</v>
      </c>
      <c r="N120" s="128" t="s">
        <v>1908</v>
      </c>
      <c r="O120" s="128">
        <f>SUM([1]SM7!$G$11,[1]SM7!$K$11,[1]SM7!$O$11,[1]SM7!$S$11,[1]SM7!$G$18,[1]SM7!$K$18,[1]SM7!$O$18,[1]SM7!$S$18,[1]SM7!$G$29,[1]SM7!$K$29,[1]SM7!$O$29,[1]SM7!$S$29,[1]SM7!$G$32,[1]SM7!$K$32,[1]SM7!$O$32,[1]SM7!$S$32,[1]SM7!$G$35,[1]SM7!$K$35,[1]SM7!$O$35,[1]SM7!$S$35)</f>
        <v>390</v>
      </c>
      <c r="P120" s="128">
        <f>SUM([1]SM7!$H$11,[1]SM7!$L$11,[1]SM7!$P$11,[1]SM7!$T$11)</f>
        <v>90</v>
      </c>
      <c r="Q120" s="128">
        <f>SUM([1]SM7!$H$18,[1]SM7!$L$18,[1]SM7!$P$18,[1]SM7!$T$18)</f>
        <v>73</v>
      </c>
      <c r="R120" s="128">
        <f>SUM([1]SM7!$H$29,[1]SM7!$L$29,[1]SM7!$P$29,[1]SM7!$T$29)</f>
        <v>162</v>
      </c>
      <c r="S120" s="128">
        <f>SUM([1]SM7!$H$32,[1]SM7!$L$32,[1]SM7!$P$32,[1]SM7!$T$32)</f>
        <v>33</v>
      </c>
      <c r="T120" s="128">
        <f>SUM([1]SM7!$H$35,[1]SM7!$L$35,[1]SM7!$P$35,[1]SM7!$T$35)</f>
        <v>44</v>
      </c>
      <c r="U120" s="121">
        <f t="shared" si="8"/>
        <v>402</v>
      </c>
      <c r="V120" s="122" t="str">
        <f t="shared" si="9"/>
        <v>LANJUT</v>
      </c>
    </row>
    <row r="121" spans="1:22" x14ac:dyDescent="0.35">
      <c r="A121" s="118">
        <v>120</v>
      </c>
      <c r="B121" s="118" t="s">
        <v>164</v>
      </c>
      <c r="C121" s="128" t="s">
        <v>213</v>
      </c>
      <c r="D121" s="128" t="s">
        <v>1909</v>
      </c>
      <c r="E121" s="128" t="s">
        <v>551</v>
      </c>
      <c r="F121" s="128">
        <v>2000</v>
      </c>
      <c r="G121" s="136">
        <v>52</v>
      </c>
      <c r="H121" s="136">
        <v>6</v>
      </c>
      <c r="I121" s="136">
        <v>58</v>
      </c>
      <c r="J121" s="128" t="s">
        <v>1509</v>
      </c>
      <c r="K121" s="123">
        <v>12</v>
      </c>
      <c r="L121" s="128" t="s">
        <v>1910</v>
      </c>
      <c r="M121" s="128" t="s">
        <v>1911</v>
      </c>
      <c r="N121" s="128" t="s">
        <v>1912</v>
      </c>
      <c r="O121" s="128">
        <f>SUM([1]SM8!$G$11,[1]SM8!$K$11,[1]SM8!$O$11,[1]SM8!$S$11,[1]SM8!$G$18,[1]SM8!$K$18,[1]SM8!$O$18,[1]SM8!$S$18,[1]SM8!$G$29,[1]SM8!$K$29,[1]SM8!$O$29,[1]SM8!$S$29,[1]SM8!$G$32,[1]SM8!$K$32,[1]SM8!$O$32,[1]SM8!$S$32,[1]SM8!$G$35,[1]SM8!$K$35,[1]SM8!$O$35,[1]SM8!$S$35)</f>
        <v>493</v>
      </c>
      <c r="P121" s="128">
        <f>SUM([1]SM8!$H$11,[1]SM8!$L$11,[1]SM8!$P$11,[1]SM8!$T$11)</f>
        <v>119</v>
      </c>
      <c r="Q121" s="128">
        <f>SUM([1]SM8!$H$18,[1]SM8!$L$18,[1]SM8!$P$18,[1]SM8!$T$18)</f>
        <v>94</v>
      </c>
      <c r="R121" s="128">
        <f>SUM([1]SM8!$H$29,[1]SM8!$L$29,[1]SM8!$P$29,[1]SM8!$T$29)</f>
        <v>217</v>
      </c>
      <c r="S121" s="128">
        <f>SUM([1]SM8!$H$32,[1]SM8!$L$32,[1]SM8!$P$32,[1]SM8!$T$32)</f>
        <v>47</v>
      </c>
      <c r="T121" s="128">
        <f>SUM([1]SM8!$H$35,[1]SM8!$L$35,[1]SM8!$P$35,[1]SM8!$T$35)</f>
        <v>55</v>
      </c>
      <c r="U121" s="121">
        <f t="shared" si="8"/>
        <v>532</v>
      </c>
      <c r="V121" s="122" t="str">
        <f t="shared" si="9"/>
        <v>MADYA</v>
      </c>
    </row>
    <row r="122" spans="1:22" x14ac:dyDescent="0.35">
      <c r="A122" s="118">
        <v>121</v>
      </c>
      <c r="B122" s="118" t="s">
        <v>164</v>
      </c>
      <c r="C122" s="128" t="s">
        <v>213</v>
      </c>
      <c r="D122" s="128" t="s">
        <v>1595</v>
      </c>
      <c r="E122" s="128" t="s">
        <v>550</v>
      </c>
      <c r="F122" s="128">
        <v>2000</v>
      </c>
      <c r="G122" s="136">
        <v>39</v>
      </c>
      <c r="H122" s="136">
        <v>9</v>
      </c>
      <c r="I122" s="136">
        <v>48</v>
      </c>
      <c r="J122" s="128" t="s">
        <v>1509</v>
      </c>
      <c r="K122" s="123">
        <v>9</v>
      </c>
      <c r="L122" s="128" t="s">
        <v>1913</v>
      </c>
      <c r="M122" s="128" t="s">
        <v>1886</v>
      </c>
      <c r="N122" s="128" t="s">
        <v>1914</v>
      </c>
      <c r="O122" s="128">
        <f>SUM([1]SM9!$G$11,[1]SM9!$K$11,[1]SM9!$O$11,[1]SM9!$S$11,[1]SM9!$G$18,[1]SM9!$K$18,[1]SM9!$O$18,[1]SM9!$S$18,[1]SM9!$G$29,[1]SM9!$K$29,[1]SM9!$O$29,[1]SM9!$S$29,[1]SM9!$G$32,[1]SM9!$K$32,[1]SM9!$O$32,[1]SM9!$S$32,[1]SM9!$G$35,[1]SM9!$K$35,[1]SM9!$O$35,[1]SM9!$S$35)</f>
        <v>555</v>
      </c>
      <c r="P122" s="128">
        <f>SUM([1]SM9!$H$11,[1]SM9!$L$11,[1]SM9!$P$11,[1]SM9!$T$11)</f>
        <v>112</v>
      </c>
      <c r="Q122" s="128">
        <f>SUM([1]SM9!$H$18,[1]SM9!$L$18,[1]SM9!$P$18,[1]SM9!$T$18)</f>
        <v>102</v>
      </c>
      <c r="R122" s="128">
        <f>SUM([1]SM9!$H$29,[1]SM9!$L$29,[1]SM9!$P$29,[1]SM9!$T$29)</f>
        <v>244</v>
      </c>
      <c r="S122" s="128">
        <f>SUM([1]SM9!$H$32,[1]SM9!$L$32,[1]SM9!$P$32,[1]SM9!$T$32)</f>
        <v>50</v>
      </c>
      <c r="T122" s="128">
        <f>SUM([1]SM9!$H$35,[1]SM9!$L$35,[1]SM9!$P$35,[1]SM9!$T$35)</f>
        <v>72</v>
      </c>
      <c r="U122" s="121">
        <f t="shared" si="8"/>
        <v>580</v>
      </c>
      <c r="V122" s="122" t="str">
        <f t="shared" si="9"/>
        <v>MADYA</v>
      </c>
    </row>
    <row r="123" spans="1:22" x14ac:dyDescent="0.35">
      <c r="A123" s="118">
        <v>122</v>
      </c>
      <c r="B123" s="118" t="s">
        <v>164</v>
      </c>
      <c r="C123" s="128" t="s">
        <v>218</v>
      </c>
      <c r="D123" s="128" t="s">
        <v>1915</v>
      </c>
      <c r="E123" s="128" t="s">
        <v>26</v>
      </c>
      <c r="F123" s="128" t="s">
        <v>1916</v>
      </c>
      <c r="G123" s="136">
        <v>50</v>
      </c>
      <c r="H123" s="136">
        <v>5</v>
      </c>
      <c r="I123" s="136">
        <v>55</v>
      </c>
      <c r="J123" s="128" t="s">
        <v>1509</v>
      </c>
      <c r="K123" s="126">
        <v>5</v>
      </c>
      <c r="L123" s="128" t="s">
        <v>1917</v>
      </c>
      <c r="M123" s="128" t="s">
        <v>1918</v>
      </c>
      <c r="N123" s="128" t="s">
        <v>1919</v>
      </c>
      <c r="O123" s="128">
        <f>SUM([2]L1!$G$11,[2]L1!$K$11,[2]L1!$O$11,[2]L1!$S$11,[2]L1!$G$18,[2]L1!$K$18,[2]L1!$O$18,[2]L1!$S$18,[2]L1!$G$29,[2]L1!$K$29,[2]L1!$O$29,[2]L1!$S$29,[2]L1!$G$32,[2]L1!$K$32,[2]L1!$O$32,[2]L1!$S$32,[2]L1!$G$35,[2]L1!$K$35,[2]L1!$O$35,[2]L1!$S$35)</f>
        <v>412</v>
      </c>
      <c r="P123" s="128">
        <f>SUM([2]L1!$H$11,[2]L1!$L$11,[2]L1!$P$11,[2]L1!$T$11)</f>
        <v>91</v>
      </c>
      <c r="Q123" s="128">
        <f>SUM([2]L1!$H$18,[2]L1!$L$18,[2]L1!$P$18,[2]L1!$T$18)</f>
        <v>70</v>
      </c>
      <c r="R123" s="128">
        <f>SUM([2]L1!$H$29,[2]L1!$L$29,[2]L1!$P$29,[2]L1!$T$29)</f>
        <v>165</v>
      </c>
      <c r="S123" s="128">
        <f>SUM([2]L1!$H$32,[2]L1!$L$32,[2]L1!$P$32,[2]L1!$T$32)</f>
        <v>34</v>
      </c>
      <c r="T123" s="128">
        <f>SUM([2]L1!$H$35,[2]L1!$L$35,[2]L1!$P$35,[2]L1!$T$35)</f>
        <v>61</v>
      </c>
      <c r="U123" s="121">
        <f t="shared" si="8"/>
        <v>421</v>
      </c>
      <c r="V123" s="122" t="str">
        <f t="shared" si="9"/>
        <v>LANJUT</v>
      </c>
    </row>
    <row r="124" spans="1:22" x14ac:dyDescent="0.35">
      <c r="A124" s="118">
        <v>123</v>
      </c>
      <c r="B124" s="118" t="s">
        <v>164</v>
      </c>
      <c r="C124" s="128" t="s">
        <v>218</v>
      </c>
      <c r="D124" s="128" t="s">
        <v>1517</v>
      </c>
      <c r="E124" s="128" t="s">
        <v>44</v>
      </c>
      <c r="F124" s="128" t="s">
        <v>1916</v>
      </c>
      <c r="G124" s="136">
        <v>50</v>
      </c>
      <c r="H124" s="136">
        <v>4</v>
      </c>
      <c r="I124" s="136">
        <v>54</v>
      </c>
      <c r="J124" s="128" t="s">
        <v>1509</v>
      </c>
      <c r="K124" s="126">
        <v>3</v>
      </c>
      <c r="L124" s="128" t="s">
        <v>1920</v>
      </c>
      <c r="M124" s="128" t="s">
        <v>1856</v>
      </c>
      <c r="N124" s="128" t="s">
        <v>1568</v>
      </c>
      <c r="O124" s="128">
        <f>SUM([2]L2!$G$11,[2]L2!$K$11,[2]L2!$O$11,[2]L2!$S$11,[2]L2!$G$18,[2]L2!$K$18,[2]L2!$O$18,[2]L2!$S$18,[2]L2!$G$29,[2]L2!$K$29,[2]L2!$O$29,[2]L2!$S$29,[2]L2!$G$32,[2]L2!$K$32,[2]L2!$O$32,[2]L2!$S$32,[2]L2!$G$35,[2]L2!$K$35,[2]L2!$O$35,[2]L2!$S$35)</f>
        <v>560</v>
      </c>
      <c r="P124" s="128">
        <f>SUM([2]L2!$H$11,[2]L2!$L$11,[2]L2!$P$11,[2]L2!$T$11)</f>
        <v>121</v>
      </c>
      <c r="Q124" s="128">
        <f>SUM([2]L2!$H$18,[2]L2!$L$18,[2]L2!$P$18,[2]L2!$T$18)</f>
        <v>104</v>
      </c>
      <c r="R124" s="128">
        <f>SUM([2]L2!$H$29,[2]L2!$L$29,[2]L2!$P$29,[2]L2!$T$29)</f>
        <v>233</v>
      </c>
      <c r="S124" s="128">
        <f>SUM([2]L2!$H$32,[2]L2!$L$32,[2]L2!$P$32,[2]L2!$T$32)</f>
        <v>52</v>
      </c>
      <c r="T124" s="128">
        <f>SUM([2]L2!$H$35,[2]L2!$L$35,[2]L2!$P$35,[2]L2!$T$35)</f>
        <v>61</v>
      </c>
      <c r="U124" s="121">
        <f t="shared" si="8"/>
        <v>571</v>
      </c>
      <c r="V124" s="122" t="str">
        <f t="shared" si="9"/>
        <v>MADYA</v>
      </c>
    </row>
    <row r="125" spans="1:22" x14ac:dyDescent="0.35">
      <c r="A125" s="118">
        <v>124</v>
      </c>
      <c r="B125" s="118" t="s">
        <v>164</v>
      </c>
      <c r="C125" s="128" t="s">
        <v>218</v>
      </c>
      <c r="D125" s="128" t="s">
        <v>1921</v>
      </c>
      <c r="E125" s="128" t="s">
        <v>62</v>
      </c>
      <c r="F125" s="128" t="s">
        <v>1916</v>
      </c>
      <c r="G125" s="136">
        <v>43</v>
      </c>
      <c r="H125" s="136">
        <v>5</v>
      </c>
      <c r="I125" s="136">
        <v>48</v>
      </c>
      <c r="J125" s="128" t="s">
        <v>1509</v>
      </c>
      <c r="K125" s="126">
        <v>2</v>
      </c>
      <c r="L125" s="128" t="s">
        <v>1922</v>
      </c>
      <c r="M125" s="128" t="s">
        <v>1923</v>
      </c>
      <c r="N125" s="128" t="s">
        <v>1773</v>
      </c>
      <c r="O125" s="128">
        <f>SUM([2]L3!$G$11,[2]L3!$K$11,[2]L3!$O$11,[2]L3!$S$11,[2]L3!$G$18,[2]L3!$K$18,[2]L3!$O$18,[2]L3!$S$18,[2]L3!$G$29,[2]L3!$K$29,[2]L3!$O$29,[2]L3!$S$29,[2]L3!$G$32,[2]L3!$K$32,[2]L3!$O$32,[2]L3!$S$32,[2]L3!$G$35,[2]L3!$K$35,[2]L3!$O$35,[2]L3!$S$35)</f>
        <v>383</v>
      </c>
      <c r="P125" s="128">
        <f>SUM([2]L3!$H$11,[2]L3!$L$11,[2]L3!$P$11,[2]L3!$T$11)</f>
        <v>89</v>
      </c>
      <c r="Q125" s="128">
        <f>SUM([2]L3!$H$18,[2]L3!$L$18,[2]L3!$P$18,[2]L3!$T$18)</f>
        <v>73</v>
      </c>
      <c r="R125" s="128">
        <f>SUM([2]L3!$H$29,[2]L3!$L$29,[2]L3!$P$29,[2]L3!$T$29)</f>
        <v>163</v>
      </c>
      <c r="S125" s="128">
        <f>SUM([2]L3!$H$32,[2]L3!$L$32,[2]L3!$P$32,[2]L3!$T$32)</f>
        <v>31</v>
      </c>
      <c r="T125" s="128">
        <f>SUM([2]L3!$H$35,[2]L3!$L$35,[2]L3!$P$35,[2]L3!$T$35)</f>
        <v>42</v>
      </c>
      <c r="U125" s="121">
        <f t="shared" si="8"/>
        <v>398</v>
      </c>
      <c r="V125" s="122" t="str">
        <f t="shared" si="9"/>
        <v>LANJUT</v>
      </c>
    </row>
    <row r="126" spans="1:22" x14ac:dyDescent="0.35">
      <c r="A126" s="118">
        <v>125</v>
      </c>
      <c r="B126" s="118" t="s">
        <v>164</v>
      </c>
      <c r="C126" s="128" t="s">
        <v>218</v>
      </c>
      <c r="D126" s="128" t="s">
        <v>1924</v>
      </c>
      <c r="E126" s="128" t="s">
        <v>79</v>
      </c>
      <c r="F126" s="128" t="s">
        <v>1916</v>
      </c>
      <c r="G126" s="136">
        <v>66</v>
      </c>
      <c r="H126" s="136">
        <v>4</v>
      </c>
      <c r="I126" s="136">
        <v>70</v>
      </c>
      <c r="J126" s="128" t="s">
        <v>1509</v>
      </c>
      <c r="K126" s="126">
        <v>10</v>
      </c>
      <c r="L126" s="128" t="s">
        <v>1925</v>
      </c>
      <c r="M126" s="128" t="s">
        <v>1680</v>
      </c>
      <c r="N126" s="128" t="s">
        <v>1926</v>
      </c>
      <c r="O126" s="128">
        <f>SUM([2]L4!$G$11,[2]L4!$K$11,[2]L4!$O$11,[2]L4!$S$11,[2]L4!$G$18,[2]L4!$K$18,[2]L4!$O$18,[2]L4!$S$18,[2]L4!$G$29,[2]L4!$K$29,[2]L4!$O$29,[2]L4!$S$29,[2]L4!$G$32,[2]L4!$K$32,[2]L4!$O$32,[2]L4!$S$32,[2]L4!$G$35,[2]L4!$K$35,[2]L4!$O$35,[2]L4!$S$35)</f>
        <v>566</v>
      </c>
      <c r="P126" s="128">
        <f>SUM([2]L4!$H$11,[2]L4!$L$11,[2]L4!$P$11,[2]L4!$T$11)</f>
        <v>122</v>
      </c>
      <c r="Q126" s="128">
        <f>SUM([2]L4!$H$18,[2]L4!$L$18,[2]L4!$P$18,[2]L4!$T$18)</f>
        <v>104</v>
      </c>
      <c r="R126" s="128">
        <f>SUM([2]L4!$H$29,[2]L4!$L$29,[2]L4!$P$29,[2]L4!$T$29)</f>
        <v>246</v>
      </c>
      <c r="S126" s="128">
        <f>SUM([2]L4!$H$32,[2]L4!$L$32,[2]L4!$P$32,[2]L4!$T$32)</f>
        <v>53</v>
      </c>
      <c r="T126" s="128">
        <f>SUM([2]L4!$H$35,[2]L4!$L$35,[2]L4!$P$35,[2]L4!$T$35)</f>
        <v>65</v>
      </c>
      <c r="U126" s="121">
        <f t="shared" si="8"/>
        <v>590</v>
      </c>
      <c r="V126" s="122" t="str">
        <f t="shared" si="9"/>
        <v>MADYA</v>
      </c>
    </row>
    <row r="127" spans="1:22" x14ac:dyDescent="0.35">
      <c r="A127" s="118">
        <v>126</v>
      </c>
      <c r="B127" s="118" t="s">
        <v>164</v>
      </c>
      <c r="C127" s="128" t="s">
        <v>6243</v>
      </c>
      <c r="D127" s="128" t="s">
        <v>1928</v>
      </c>
      <c r="E127" s="128" t="s">
        <v>631</v>
      </c>
      <c r="F127" s="128">
        <v>2007</v>
      </c>
      <c r="G127" s="136">
        <v>70</v>
      </c>
      <c r="H127" s="136">
        <v>21</v>
      </c>
      <c r="I127" s="136">
        <v>91</v>
      </c>
      <c r="J127" s="128" t="s">
        <v>1929</v>
      </c>
      <c r="K127" s="123">
        <v>10</v>
      </c>
      <c r="L127" s="128" t="s">
        <v>1930</v>
      </c>
      <c r="M127" s="128" t="s">
        <v>1931</v>
      </c>
      <c r="N127" s="128" t="s">
        <v>1932</v>
      </c>
      <c r="O127" s="128">
        <f>SUM([3]BH1!$G$11,[3]BH1!$K$11,[3]BH1!$O$11,[3]BH1!$S$11,[3]BH1!$G$18,[3]BH1!$K$18,[3]BH1!$O$18,[3]BH1!$S$18,[3]BH1!$G$29,[3]BH1!$K$29,[3]BH1!$O$29,[3]BH1!$S$29,[3]BH1!$G$32,[3]BH1!$K$32,[3]BH1!$O$32,[3]BH1!$S$32,[3]BH1!$G$35,[3]BH1!$K$35,[3]BH1!$O$35,[3]BH1!$S$35)</f>
        <v>720</v>
      </c>
      <c r="P127" s="128">
        <f>SUM([3]BH1!$H$11,[3]BH1!$L$11,[3]BH1!$P$11,[3]BH1!$T$11)</f>
        <v>150</v>
      </c>
      <c r="Q127" s="128">
        <f>SUM([3]BH1!$H$18,[3]BH1!$L$18,[3]BH1!$P$18,[3]BH1!$T$18)</f>
        <v>123</v>
      </c>
      <c r="R127" s="128">
        <f>SUM([3]BH1!$H$29,[3]BH1!$L$29,[3]BH1!$P$29,[3]BH1!$T$29)</f>
        <v>310</v>
      </c>
      <c r="S127" s="128">
        <f>SUM([3]BH1!$H$32,[3]BH1!$L$32,[3]BH1!$P$32,[3]BH1!$T$32)</f>
        <v>83</v>
      </c>
      <c r="T127" s="128">
        <f>SUM([3]BH1!$H$35,[3]BH1!$L$35,[3]BH1!$P$35,[3]BH1!$T$35)</f>
        <v>87</v>
      </c>
      <c r="U127" s="121">
        <f t="shared" si="8"/>
        <v>753</v>
      </c>
      <c r="V127" s="122" t="str">
        <f t="shared" si="9"/>
        <v>UTAMA</v>
      </c>
    </row>
    <row r="128" spans="1:22" x14ac:dyDescent="0.35">
      <c r="A128" s="118">
        <v>127</v>
      </c>
      <c r="B128" s="118" t="s">
        <v>164</v>
      </c>
      <c r="C128" s="128" t="s">
        <v>6243</v>
      </c>
      <c r="D128" s="128" t="s">
        <v>1933</v>
      </c>
      <c r="E128" s="128" t="s">
        <v>630</v>
      </c>
      <c r="F128" s="128">
        <v>2007</v>
      </c>
      <c r="G128" s="136">
        <v>33</v>
      </c>
      <c r="H128" s="136">
        <v>9</v>
      </c>
      <c r="I128" s="136">
        <v>42</v>
      </c>
      <c r="J128" s="128" t="s">
        <v>1929</v>
      </c>
      <c r="K128" s="123">
        <v>6</v>
      </c>
      <c r="L128" s="128" t="s">
        <v>1934</v>
      </c>
      <c r="M128" s="128" t="s">
        <v>1935</v>
      </c>
      <c r="N128" s="128" t="s">
        <v>1936</v>
      </c>
      <c r="O128" s="128">
        <f>SUM([3]BH2!$G$11,[3]BH2!$K$11,[3]BH2!$O$11,[3]BH2!$S$11,[3]BH2!$G$18,[3]BH2!$K$18,[3]BH2!$O$18,[3]BH2!$S$18,[3]BH2!$G$29,[3]BH2!$K$29,[3]BH2!$O$29,[3]BH2!$S$29,[3]BH2!$G$32,[3]BH2!$K$32,[3]BH2!$O$32,[3]BH2!$S$32,[3]BH2!$G$35,[3]BH2!$K$35,[3]BH2!$O$35,[3]BH2!$S$35)</f>
        <v>566</v>
      </c>
      <c r="P128" s="128">
        <f>SUM([3]BH2!$H$11,[3]BH2!$L$11,[3]BH2!$P$11,[3]BH2!$T$11)</f>
        <v>123</v>
      </c>
      <c r="Q128" s="128">
        <f>SUM([3]BH2!$H$18,[3]BH2!$L$18,[3]BH2!$P$18,[3]BH2!$T$18)</f>
        <v>106</v>
      </c>
      <c r="R128" s="128">
        <f>SUM([3]BH2!$H$29,[3]BH2!$L$29,[3]BH2!$P$29,[3]BH2!$T$29)</f>
        <v>244</v>
      </c>
      <c r="S128" s="128">
        <f>SUM([3]BH2!$H$32,[3]BH2!$L$32,[3]BH2!$P$32,[3]BH2!$T$32)</f>
        <v>52</v>
      </c>
      <c r="T128" s="128">
        <f>SUM([3]BH2!$H$35,[3]BH2!$L$35,[3]BH2!$P$35,[3]BH2!$T$35)</f>
        <v>61</v>
      </c>
      <c r="U128" s="121">
        <f t="shared" si="8"/>
        <v>586</v>
      </c>
      <c r="V128" s="122" t="str">
        <f t="shared" si="9"/>
        <v>MADYA</v>
      </c>
    </row>
    <row r="129" spans="1:22" x14ac:dyDescent="0.35">
      <c r="A129" s="118">
        <v>128</v>
      </c>
      <c r="B129" s="118" t="s">
        <v>164</v>
      </c>
      <c r="C129" s="128" t="s">
        <v>6243</v>
      </c>
      <c r="D129" s="128" t="s">
        <v>1937</v>
      </c>
      <c r="E129" s="128" t="s">
        <v>629</v>
      </c>
      <c r="F129" s="128">
        <v>2007</v>
      </c>
      <c r="G129" s="136">
        <v>62</v>
      </c>
      <c r="H129" s="136">
        <v>41</v>
      </c>
      <c r="I129" s="136">
        <v>103</v>
      </c>
      <c r="J129" s="128" t="s">
        <v>1929</v>
      </c>
      <c r="K129" s="123">
        <v>8</v>
      </c>
      <c r="L129" s="128" t="s">
        <v>1856</v>
      </c>
      <c r="M129" s="128" t="s">
        <v>1938</v>
      </c>
      <c r="N129" s="128" t="s">
        <v>1939</v>
      </c>
      <c r="O129" s="128">
        <f>SUM([3]BH3!$G$11,[3]BH3!$K$11,[3]BH3!$O$11,[3]BH3!$S$11,[3]BH3!$G$18,[3]BH3!$K$18,[3]BH3!$O$18,[3]BH3!$S$18,[3]BH3!$G$29,[3]BH3!$K$29,[3]BH3!$O$29,[3]BH3!$S$29,[3]BH3!$G$32,[3]BH3!$K$32,[3]BH3!$O$32,[3]BH3!$S$32,[3]BH3!$G$35,[3]BH3!$K$35,[3]BH3!$O$35,[3]BH3!$S$35)</f>
        <v>556</v>
      </c>
      <c r="P129" s="128">
        <f>SUM([3]BH3!$H$11,[3]BH3!$L$11,[3]BH3!$P$11,[3]BH3!$T$11)</f>
        <v>123</v>
      </c>
      <c r="Q129" s="128">
        <f>SUM([3]BH3!$H$18,[3]BH3!$L$18,[3]BH3!$P$18,[3]BH3!$T$18)</f>
        <v>97</v>
      </c>
      <c r="R129" s="128">
        <f>SUM([3]BH3!$H$29,[3]BH3!$L$29,[3]BH3!$P$29,[3]BH3!$T$29)</f>
        <v>244</v>
      </c>
      <c r="S129" s="128">
        <f>SUM([3]BH3!$H$32,[3]BH3!$L$32,[3]BH3!$P$32,[3]BH3!$T$32)</f>
        <v>52</v>
      </c>
      <c r="T129" s="128">
        <f>SUM([3]BH3!$H$35,[3]BH3!$L$35,[3]BH3!$P$35,[3]BH3!$T$35)</f>
        <v>61</v>
      </c>
      <c r="U129" s="121">
        <f t="shared" si="8"/>
        <v>577</v>
      </c>
      <c r="V129" s="122" t="str">
        <f t="shared" si="9"/>
        <v>MADYA</v>
      </c>
    </row>
    <row r="130" spans="1:22" x14ac:dyDescent="0.35">
      <c r="A130" s="118">
        <v>129</v>
      </c>
      <c r="B130" s="118" t="s">
        <v>164</v>
      </c>
      <c r="C130" s="128" t="s">
        <v>6243</v>
      </c>
      <c r="D130" s="128" t="s">
        <v>1940</v>
      </c>
      <c r="E130" s="128" t="s">
        <v>628</v>
      </c>
      <c r="F130" s="128">
        <v>2007</v>
      </c>
      <c r="G130" s="136">
        <v>47</v>
      </c>
      <c r="H130" s="136">
        <v>12</v>
      </c>
      <c r="I130" s="136">
        <v>59</v>
      </c>
      <c r="J130" s="128" t="s">
        <v>1929</v>
      </c>
      <c r="K130" s="123">
        <v>10</v>
      </c>
      <c r="L130" s="128" t="s">
        <v>1530</v>
      </c>
      <c r="M130" s="128" t="s">
        <v>1647</v>
      </c>
      <c r="N130" s="128" t="s">
        <v>1941</v>
      </c>
      <c r="O130" s="128">
        <f>SUM([3]BH4!$G$11,[3]BH4!$K$11,[3]BH4!$O$11,[3]BH4!$S$11,[3]BH4!$G$18,[3]BH4!$K$18,[3]BH4!$O$18,[3]BH4!$S$18,[3]BH4!$G$29,[3]BH4!$K$29,[3]BH4!$O$29,[3]BH4!$S$29,[3]BH4!$G$32,[3]BH4!$K$32,[3]BH4!$O$32,[3]BH4!$S$32,[3]BH4!$G$35,[3]BH4!$K$35,[3]BH4!$O$35,[3]BH4!$S$35)</f>
        <v>500</v>
      </c>
      <c r="P130" s="128">
        <f>SUM([3]BH4!$H$11,[3]BH4!$L$11,[3]BH4!$P$11,[3]BH4!$T$11)</f>
        <v>118</v>
      </c>
      <c r="Q130" s="128">
        <f>SUM([3]BH4!$H$18,[3]BH4!$L$18,[3]BH4!$P$18,[3]BH4!$T$18)</f>
        <v>94</v>
      </c>
      <c r="R130" s="128">
        <f>SUM([3]BH4!$H$29,[3]BH4!$L$29,[3]BH4!$P$29,[3]BH4!$T$29)</f>
        <v>217</v>
      </c>
      <c r="S130" s="128">
        <f>SUM([3]BH4!$H$32,[3]BH4!$L$32,[3]BH4!$P$32,[3]BH4!$T$32)</f>
        <v>47</v>
      </c>
      <c r="T130" s="128">
        <f>SUM([3]BH4!$H$35,[3]BH4!$L$35,[3]BH4!$P$35,[3]BH4!$T$35)</f>
        <v>60</v>
      </c>
      <c r="U130" s="121">
        <f t="shared" si="8"/>
        <v>536</v>
      </c>
      <c r="V130" s="122" t="str">
        <f t="shared" si="9"/>
        <v>MADYA</v>
      </c>
    </row>
    <row r="131" spans="1:22" x14ac:dyDescent="0.35">
      <c r="A131" s="118">
        <v>130</v>
      </c>
      <c r="B131" s="118" t="s">
        <v>164</v>
      </c>
      <c r="C131" s="128" t="s">
        <v>6243</v>
      </c>
      <c r="D131" s="128" t="s">
        <v>1942</v>
      </c>
      <c r="E131" s="128" t="s">
        <v>627</v>
      </c>
      <c r="F131" s="128">
        <v>2007</v>
      </c>
      <c r="G131" s="136">
        <v>33</v>
      </c>
      <c r="H131" s="136">
        <v>7</v>
      </c>
      <c r="I131" s="136">
        <v>40</v>
      </c>
      <c r="J131" s="128" t="s">
        <v>1929</v>
      </c>
      <c r="K131" s="123">
        <v>7</v>
      </c>
      <c r="L131" s="128" t="s">
        <v>1943</v>
      </c>
      <c r="M131" s="128" t="s">
        <v>1944</v>
      </c>
      <c r="N131" s="128" t="s">
        <v>1647</v>
      </c>
      <c r="O131" s="128">
        <f>SUM([3]BH5!$G$11,[3]BH5!$K$11,[3]BH5!$O$11,[3]BH5!$S$11,[3]BH5!$G$18,[3]BH5!$K$18,[3]BH5!$O$18,[3]BH5!$S$18,[3]BH5!$G$29,[3]BH5!$K$29,[3]BH5!$O$29,[3]BH5!$S$29,[3]BH5!$G$32,[3]BH5!$K$32,[3]BH5!$O$32,[3]BH5!$S$32,[3]BH5!$G$35,[3]BH5!$K$35,[3]BH5!$O$35,[3]BH5!$S$35)</f>
        <v>609</v>
      </c>
      <c r="P131" s="128">
        <f>SUM([3]BH5!$H$11,[3]BH5!$L$11,[3]BH5!$P$11,[3]BH5!$T$11)</f>
        <v>128</v>
      </c>
      <c r="Q131" s="128">
        <f>SUM([3]BH5!$H$18,[3]BH5!$L$18,[3]BH5!$P$18,[3]BH5!$T$18)</f>
        <v>107</v>
      </c>
      <c r="R131" s="128">
        <f>SUM([3]BH5!$H$29,[3]BH5!$L$29,[3]BH5!$P$29,[3]BH5!$T$29)</f>
        <v>240</v>
      </c>
      <c r="S131" s="128">
        <f>SUM([3]BH5!$H$32,[3]BH5!$L$32,[3]BH5!$P$32,[3]BH5!$T$32)</f>
        <v>75</v>
      </c>
      <c r="T131" s="128">
        <f>SUM([3]BH5!$H$35,[3]BH5!$L$35,[3]BH5!$P$35,[3]BH5!$T$35)</f>
        <v>72</v>
      </c>
      <c r="U131" s="121">
        <f t="shared" si="8"/>
        <v>622</v>
      </c>
      <c r="V131" s="122" t="str">
        <f t="shared" si="9"/>
        <v>MADYA</v>
      </c>
    </row>
    <row r="132" spans="1:22" x14ac:dyDescent="0.35">
      <c r="A132" s="118">
        <v>131</v>
      </c>
      <c r="B132" s="118" t="s">
        <v>164</v>
      </c>
      <c r="C132" s="128" t="s">
        <v>6243</v>
      </c>
      <c r="D132" s="128" t="s">
        <v>1945</v>
      </c>
      <c r="E132" s="128" t="s">
        <v>626</v>
      </c>
      <c r="F132" s="128">
        <v>2007</v>
      </c>
      <c r="G132" s="136">
        <v>30</v>
      </c>
      <c r="H132" s="136">
        <v>6</v>
      </c>
      <c r="I132" s="136">
        <v>36</v>
      </c>
      <c r="J132" s="128" t="s">
        <v>1929</v>
      </c>
      <c r="K132" s="123">
        <v>6</v>
      </c>
      <c r="L132" s="128" t="s">
        <v>1912</v>
      </c>
      <c r="M132" s="128" t="s">
        <v>1946</v>
      </c>
      <c r="N132" s="128" t="s">
        <v>1947</v>
      </c>
      <c r="O132" s="128">
        <f>SUM([3]BH6!$G$11,[3]BH6!$K$11,[3]BH6!$O$11,[3]BH6!$S$11,[3]BH6!$G$18,[3]BH6!$K$18,[3]BH6!$O$18,[3]BH6!$S$18,[3]BH6!$G$29,[3]BH6!$K$29,[3]BH6!$O$29,[3]BH6!$S$29,[3]BH6!$G$32,[3]BH6!$K$32,[3]BH6!$O$32,[3]BH6!$S$32,[3]BH6!$G$35,[3]BH6!$K$35,[3]BH6!$O$35,[3]BH6!$S$35)</f>
        <v>545</v>
      </c>
      <c r="P132" s="128">
        <f>SUM([3]BH6!$H$11,[3]BH6!$L$11,[3]BH6!$P$11,[3]BH6!$T$11)</f>
        <v>119</v>
      </c>
      <c r="Q132" s="128">
        <f>SUM([3]BH6!$H$18,[3]BH6!$L$18,[3]BH6!$P$18,[3]BH6!$T$18)</f>
        <v>94</v>
      </c>
      <c r="R132" s="128">
        <f>SUM([3]BH6!$H$29,[3]BH6!$L$29,[3]BH6!$P$29,[3]BH6!$T$29)</f>
        <v>230</v>
      </c>
      <c r="S132" s="128">
        <f>SUM([3]BH6!$H$32,[3]BH6!$L$32,[3]BH6!$P$32,[3]BH6!$T$32)</f>
        <v>70</v>
      </c>
      <c r="T132" s="128">
        <f>SUM([3]BH6!$H$35,[3]BH6!$L$35,[3]BH6!$P$35,[3]BH6!$T$35)</f>
        <v>67</v>
      </c>
      <c r="U132" s="121">
        <f t="shared" si="8"/>
        <v>580</v>
      </c>
      <c r="V132" s="122" t="str">
        <f t="shared" si="9"/>
        <v>MADYA</v>
      </c>
    </row>
    <row r="133" spans="1:22" x14ac:dyDescent="0.35">
      <c r="A133" s="118">
        <v>132</v>
      </c>
      <c r="B133" s="118" t="s">
        <v>164</v>
      </c>
      <c r="C133" s="128" t="s">
        <v>6243</v>
      </c>
      <c r="D133" s="128" t="s">
        <v>1948</v>
      </c>
      <c r="E133" s="128" t="s">
        <v>625</v>
      </c>
      <c r="F133" s="128">
        <v>2007</v>
      </c>
      <c r="G133" s="136">
        <v>73</v>
      </c>
      <c r="H133" s="136">
        <v>22</v>
      </c>
      <c r="I133" s="136">
        <v>95</v>
      </c>
      <c r="J133" s="128" t="s">
        <v>1929</v>
      </c>
      <c r="K133" s="123">
        <v>7</v>
      </c>
      <c r="L133" s="128" t="s">
        <v>1949</v>
      </c>
      <c r="M133" s="128" t="s">
        <v>1950</v>
      </c>
      <c r="N133" s="128" t="s">
        <v>1951</v>
      </c>
      <c r="O133" s="128">
        <f>SUM([3]BH7!$G$11,[3]BH7!$K$11,[3]BH7!$O$11,[3]BH7!$S$11,[3]BH7!$G$18,[3]BH7!$K$18,[3]BH7!$O$18,[3]BH7!$S$18,[3]BH7!$G$29,[3]BH7!$K$29,[3]BH7!$O$29,[3]BH7!$S$29,[3]BH7!$G$32,[3]BH7!$K$32,[3]BH7!$O$32,[3]BH7!$S$32,[3]BH7!$G$35,[3]BH7!$K$35,[3]BH7!$O$35,[3]BH7!$S$35)</f>
        <v>517</v>
      </c>
      <c r="P133" s="128">
        <f>SUM([3]BH7!$H$11,[3]BH7!$L$11,[3]BH7!$P$11,[3]BH7!$T$11)</f>
        <v>118</v>
      </c>
      <c r="Q133" s="128">
        <f>SUM([3]BH7!$H$18,[3]BH7!$L$18,[3]BH7!$P$18,[3]BH7!$T$18)</f>
        <v>91</v>
      </c>
      <c r="R133" s="128">
        <f>SUM([3]BH7!$H$29,[3]BH7!$L$29,[3]BH7!$P$29,[3]BH7!$T$29)</f>
        <v>219</v>
      </c>
      <c r="S133" s="128">
        <f>SUM([3]BH7!$H$32,[3]BH7!$L$32,[3]BH7!$P$32,[3]BH7!$T$32)</f>
        <v>64</v>
      </c>
      <c r="T133" s="128">
        <f>SUM([3]BH7!$H$35,[3]BH7!$L$35,[3]BH7!$P$35,[3]BH7!$T$35)</f>
        <v>60</v>
      </c>
      <c r="U133" s="121">
        <f t="shared" si="8"/>
        <v>552</v>
      </c>
      <c r="V133" s="122" t="str">
        <f t="shared" si="9"/>
        <v>MADYA</v>
      </c>
    </row>
    <row r="134" spans="1:22" x14ac:dyDescent="0.35">
      <c r="A134" s="118">
        <v>133</v>
      </c>
      <c r="B134" s="118" t="s">
        <v>164</v>
      </c>
      <c r="C134" s="128" t="s">
        <v>6243</v>
      </c>
      <c r="D134" s="128" t="s">
        <v>1952</v>
      </c>
      <c r="E134" s="128" t="s">
        <v>624</v>
      </c>
      <c r="F134" s="128">
        <v>2007</v>
      </c>
      <c r="G134" s="136">
        <v>57</v>
      </c>
      <c r="H134" s="136">
        <v>14</v>
      </c>
      <c r="I134" s="136">
        <v>71</v>
      </c>
      <c r="J134" s="128" t="s">
        <v>1929</v>
      </c>
      <c r="K134" s="123">
        <v>7</v>
      </c>
      <c r="L134" s="128" t="s">
        <v>1953</v>
      </c>
      <c r="M134" s="128" t="s">
        <v>1954</v>
      </c>
      <c r="N134" s="128" t="s">
        <v>1955</v>
      </c>
      <c r="O134" s="128">
        <f>SUM([3]BH8!$G$11,[3]BH8!$K$11,[3]BH8!$O$11,[3]BH8!$S$11,[3]BH8!$G$18,[3]BH8!$K$18,[3]BH8!$O$18,[3]BH8!$S$18,[3]BH8!$G$29,[3]BH8!$K$29,[3]BH8!$O$29,[3]BH8!$S$29,[3]BH8!$G$32,[3]BH8!$K$32,[3]BH8!$O$32,[3]BH8!$S$32,[3]BH8!$G$35,[3]BH8!$K$35,[3]BH8!$O$35,[3]BH8!$S$35)</f>
        <v>536</v>
      </c>
      <c r="P134" s="128">
        <f>SUM([3]BH8!$H$11,[3]BH8!$L$11,[3]BH8!$P$11,[3]BH8!$T$11)</f>
        <v>120</v>
      </c>
      <c r="Q134" s="128">
        <f>SUM([3]BH8!$H$18,[3]BH8!$L$18,[3]BH8!$P$18,[3]BH8!$T$18)</f>
        <v>99</v>
      </c>
      <c r="R134" s="128">
        <f>SUM([3]BH8!$H$29,[3]BH8!$L$29,[3]BH8!$P$29,[3]BH8!$T$29)</f>
        <v>221</v>
      </c>
      <c r="S134" s="128">
        <f>SUM([3]BH8!$H$32,[3]BH8!$L$32,[3]BH8!$P$32,[3]BH8!$T$32)</f>
        <v>52</v>
      </c>
      <c r="T134" s="128">
        <f>SUM([3]BH8!$H$35,[3]BH8!$L$35,[3]BH8!$P$35,[3]BH8!$T$35)</f>
        <v>67</v>
      </c>
      <c r="U134" s="121">
        <f t="shared" si="8"/>
        <v>559</v>
      </c>
      <c r="V134" s="122" t="str">
        <f t="shared" si="9"/>
        <v>MADYA</v>
      </c>
    </row>
    <row r="135" spans="1:22" x14ac:dyDescent="0.35">
      <c r="A135" s="118">
        <v>134</v>
      </c>
      <c r="B135" s="118" t="s">
        <v>164</v>
      </c>
      <c r="C135" s="128" t="s">
        <v>6243</v>
      </c>
      <c r="D135" s="128" t="s">
        <v>1667</v>
      </c>
      <c r="E135" s="128" t="s">
        <v>623</v>
      </c>
      <c r="F135" s="128">
        <v>2007</v>
      </c>
      <c r="G135" s="136">
        <v>79</v>
      </c>
      <c r="H135" s="136">
        <v>37</v>
      </c>
      <c r="I135" s="136">
        <v>116</v>
      </c>
      <c r="J135" s="128" t="s">
        <v>1929</v>
      </c>
      <c r="K135" s="123">
        <v>9</v>
      </c>
      <c r="L135" s="128" t="s">
        <v>1956</v>
      </c>
      <c r="M135" s="128" t="s">
        <v>1957</v>
      </c>
      <c r="N135" s="128" t="s">
        <v>1536</v>
      </c>
      <c r="O135" s="128">
        <f>SUM([3]BH9!$G$11,[3]BH9!$K$11,[3]BH9!$O$11,[3]BH9!$S$11,[3]BH9!$G$18,[3]BH9!$K$18,[3]BH9!$O$18,[3]BH9!$S$18,[3]BH9!$G$29,[3]BH9!$K$29,[3]BH9!$O$29,[3]BH9!$S$29,[3]BH9!$G$32,[3]BH9!$K$32,[3]BH9!$O$32,[3]BH9!$S$32,[3]BH9!$G$35,[3]BH9!$K$35,[3]BH9!$O$35,[3]BH9!$S$35)</f>
        <v>530</v>
      </c>
      <c r="P135" s="128">
        <f>SUM([3]BH9!$H$11,[3]BH9!$L$11,[3]BH9!$P$11,[3]BH9!$T$11)</f>
        <v>120</v>
      </c>
      <c r="Q135" s="128">
        <f>SUM([3]BH9!$H$18,[3]BH9!$L$18,[3]BH9!$P$18,[3]BH9!$T$18)</f>
        <v>99</v>
      </c>
      <c r="R135" s="128">
        <f>SUM([3]BH9!$H$29,[3]BH9!$L$29,[3]BH9!$P$29,[3]BH9!$T$29)</f>
        <v>221</v>
      </c>
      <c r="S135" s="128">
        <f>SUM([3]BH9!$H$32,[3]BH9!$L$32,[3]BH9!$P$32,[3]BH9!$T$32)</f>
        <v>52</v>
      </c>
      <c r="T135" s="128">
        <f>SUM([3]BH9!$H$35,[3]BH9!$L$35,[3]BH9!$P$35,[3]BH9!$T$35)</f>
        <v>60</v>
      </c>
      <c r="U135" s="121">
        <f t="shared" si="8"/>
        <v>552</v>
      </c>
      <c r="V135" s="122" t="str">
        <f t="shared" si="9"/>
        <v>MADYA</v>
      </c>
    </row>
    <row r="136" spans="1:22" x14ac:dyDescent="0.35">
      <c r="A136" s="118">
        <v>135</v>
      </c>
      <c r="B136" s="118" t="s">
        <v>164</v>
      </c>
      <c r="C136" s="128" t="s">
        <v>6243</v>
      </c>
      <c r="D136" s="128" t="s">
        <v>1958</v>
      </c>
      <c r="E136" s="128" t="s">
        <v>622</v>
      </c>
      <c r="F136" s="128">
        <v>2007</v>
      </c>
      <c r="G136" s="136">
        <v>81</v>
      </c>
      <c r="H136" s="136">
        <v>38</v>
      </c>
      <c r="I136" s="136">
        <v>119</v>
      </c>
      <c r="J136" s="128" t="s">
        <v>1929</v>
      </c>
      <c r="K136" s="123">
        <v>10</v>
      </c>
      <c r="L136" s="128" t="s">
        <v>1938</v>
      </c>
      <c r="M136" s="128" t="s">
        <v>1959</v>
      </c>
      <c r="N136" s="128" t="s">
        <v>1960</v>
      </c>
      <c r="O136" s="128">
        <f>SUM([3]BH10!$G$11,[3]BH10!$K$11,[3]BH10!$O$11,[3]BH10!$S$11,[3]BH10!$G$18,[3]BH10!$K$18,[3]BH10!$O$18,[3]BH10!$S$18,[3]BH10!$G$29,[3]BH10!$K$29,[3]BH10!$O$29,[3]BH10!$S$29,[3]BH10!$G$32,[3]BH10!$K$32,[3]BH10!$O$32,[3]BH10!$S$32,[3]BH10!$G$35,[3]BH10!$K$35,[3]BH10!$O$35,[3]BH10!$S$35)</f>
        <v>472</v>
      </c>
      <c r="P136" s="128">
        <f>SUM([3]BH10!$H$11,[3]BH10!$L$11,[3]BH10!$P$11,[3]BH10!$T$11)</f>
        <v>104</v>
      </c>
      <c r="Q136" s="128">
        <f>SUM([3]BH10!$H$18,[3]BH10!$L$18,[3]BH10!$P$18,[3]BH10!$T$18)</f>
        <v>94</v>
      </c>
      <c r="R136" s="128">
        <f>SUM([3]BH10!$H$29,[3]BH10!$L$29,[3]BH10!$P$29,[3]BH10!$T$29)</f>
        <v>210</v>
      </c>
      <c r="S136" s="128">
        <f>SUM([3]BH10!$H$32,[3]BH10!$L$32,[3]BH10!$P$32,[3]BH10!$T$32)</f>
        <v>44</v>
      </c>
      <c r="T136" s="128">
        <f>SUM([3]BH10!$H$35,[3]BH10!$L$35,[3]BH10!$P$35,[3]BH10!$T$35)</f>
        <v>52</v>
      </c>
      <c r="U136" s="121">
        <f t="shared" si="8"/>
        <v>504</v>
      </c>
      <c r="V136" s="122" t="str">
        <f t="shared" si="9"/>
        <v>MADYA</v>
      </c>
    </row>
    <row r="137" spans="1:22" x14ac:dyDescent="0.35">
      <c r="A137" s="118">
        <v>136</v>
      </c>
      <c r="B137" s="118" t="s">
        <v>164</v>
      </c>
      <c r="C137" s="128" t="s">
        <v>6243</v>
      </c>
      <c r="D137" s="128" t="s">
        <v>1961</v>
      </c>
      <c r="E137" s="128" t="s">
        <v>621</v>
      </c>
      <c r="F137" s="128">
        <v>2007</v>
      </c>
      <c r="G137" s="136">
        <v>89</v>
      </c>
      <c r="H137" s="136">
        <v>27</v>
      </c>
      <c r="I137" s="136">
        <v>116</v>
      </c>
      <c r="J137" s="128" t="s">
        <v>1929</v>
      </c>
      <c r="K137" s="123">
        <v>11</v>
      </c>
      <c r="L137" s="128" t="s">
        <v>1706</v>
      </c>
      <c r="M137" s="128" t="s">
        <v>1962</v>
      </c>
      <c r="N137" s="128" t="s">
        <v>1963</v>
      </c>
      <c r="O137" s="128">
        <f>SUM([3]BH11!$G$11,[3]BH11!$K$11,[3]BH11!$O$11,[3]BH11!$S$11,[3]BH11!$G$18,[3]BH11!$K$18,[3]BH11!$O$18,[3]BH11!$S$18,[3]BH11!$G$29,[3]BH11!$K$29,[3]BH11!$O$29,[3]BH11!$S$29,[3]BH11!$G$32,[3]BH11!$K$32,[3]BH11!$O$32,[3]BH11!$S$32,[3]BH11!$G$35,[3]BH11!$K$35,[3]BH11!$O$35,[3]BH11!$S$35)</f>
        <v>559</v>
      </c>
      <c r="P137" s="128">
        <f>SUM([3]BH11!$H$11,[3]BH11!$L$11,[3]BH11!$P$11,[3]BH11!$T$11)</f>
        <v>123</v>
      </c>
      <c r="Q137" s="128">
        <f>SUM([3]BH11!$H$18,[3]BH11!$L$18,[3]BH11!$P$18,[3]BH11!$T$18)</f>
        <v>97</v>
      </c>
      <c r="R137" s="128">
        <f>SUM([3]BH11!$H$29,[3]BH11!$L$29,[3]BH11!$P$29,[3]BH11!$T$29)</f>
        <v>245</v>
      </c>
      <c r="S137" s="128">
        <f>SUM([3]BH11!$H$32,[3]BH11!$L$32,[3]BH11!$P$32,[3]BH11!$T$32)</f>
        <v>52</v>
      </c>
      <c r="T137" s="128">
        <f>SUM([3]BH11!$H$35,[3]BH11!$L$35,[3]BH11!$P$35,[3]BH11!$T$35)</f>
        <v>61</v>
      </c>
      <c r="U137" s="121">
        <f t="shared" si="8"/>
        <v>578</v>
      </c>
      <c r="V137" s="122" t="str">
        <f t="shared" si="9"/>
        <v>MADYA</v>
      </c>
    </row>
    <row r="138" spans="1:22" x14ac:dyDescent="0.35">
      <c r="A138" s="118">
        <v>137</v>
      </c>
      <c r="B138" s="118" t="s">
        <v>164</v>
      </c>
      <c r="C138" s="128" t="s">
        <v>6243</v>
      </c>
      <c r="D138" s="128" t="s">
        <v>1964</v>
      </c>
      <c r="E138" s="128" t="s">
        <v>620</v>
      </c>
      <c r="F138" s="128">
        <v>2007</v>
      </c>
      <c r="G138" s="136">
        <v>66</v>
      </c>
      <c r="H138" s="136">
        <v>35</v>
      </c>
      <c r="I138" s="136">
        <v>101</v>
      </c>
      <c r="J138" s="128" t="s">
        <v>1929</v>
      </c>
      <c r="K138" s="123">
        <v>10</v>
      </c>
      <c r="L138" s="128" t="s">
        <v>1965</v>
      </c>
      <c r="M138" s="128" t="s">
        <v>1966</v>
      </c>
      <c r="N138" s="128" t="s">
        <v>1967</v>
      </c>
      <c r="O138" s="128">
        <f>SUM([3]BH12!$G$11,[3]BH12!$K$11,[3]BH12!$O$11,[3]BH12!$S$11,[3]BH12!$G$18,[3]BH12!$K$18,[3]BH12!$O$18,[3]BH12!$S$18,[3]BH12!$G$29,[3]BH12!$K$29,[3]BH12!$O$29,[3]BH12!$S$29,[3]BH12!$G$32,[3]BH12!$K$32,[3]BH12!$O$32,[3]BH12!$S$32,[3]BH12!$G$35,[3]BH12!$K$35,[3]BH12!$O$35,[3]BH12!$S$35)</f>
        <v>613</v>
      </c>
      <c r="P138" s="128">
        <f>SUM([3]BH12!$H$11,[3]BH12!$L$11,[3]BH12!$P$11,[3]BH12!$T$11)</f>
        <v>128</v>
      </c>
      <c r="Q138" s="128">
        <f>SUM([3]BH12!$H$18,[3]BH12!$L$18,[3]BH12!$P$18,[3]BH12!$T$18)</f>
        <v>107</v>
      </c>
      <c r="R138" s="128">
        <f>SUM([3]BH12!$H$29,[3]BH12!$L$29,[3]BH12!$P$29,[3]BH12!$T$29)</f>
        <v>240</v>
      </c>
      <c r="S138" s="128">
        <f>SUM([3]BH12!$H$32,[3]BH12!$L$32,[3]BH12!$P$32,[3]BH12!$T$32)</f>
        <v>77</v>
      </c>
      <c r="T138" s="128">
        <f>SUM([3]BH12!$H$35,[3]BH12!$L$35,[3]BH12!$P$35,[3]BH12!$T$35)</f>
        <v>75</v>
      </c>
      <c r="U138" s="121">
        <f t="shared" si="8"/>
        <v>627</v>
      </c>
      <c r="V138" s="122" t="str">
        <f t="shared" si="9"/>
        <v>MADYA</v>
      </c>
    </row>
    <row r="139" spans="1:22" x14ac:dyDescent="0.35">
      <c r="A139" s="118">
        <v>138</v>
      </c>
      <c r="B139" s="118" t="s">
        <v>164</v>
      </c>
      <c r="C139" s="128" t="s">
        <v>6243</v>
      </c>
      <c r="D139" s="128" t="s">
        <v>1968</v>
      </c>
      <c r="E139" s="128" t="s">
        <v>619</v>
      </c>
      <c r="F139" s="128">
        <v>2007</v>
      </c>
      <c r="G139" s="136">
        <v>91</v>
      </c>
      <c r="H139" s="136">
        <v>42</v>
      </c>
      <c r="I139" s="136">
        <v>133</v>
      </c>
      <c r="J139" s="128" t="s">
        <v>1929</v>
      </c>
      <c r="K139" s="123">
        <v>11</v>
      </c>
      <c r="L139" s="128" t="s">
        <v>1969</v>
      </c>
      <c r="M139" s="128" t="s">
        <v>1970</v>
      </c>
      <c r="N139" s="128" t="s">
        <v>1886</v>
      </c>
      <c r="O139" s="128">
        <f>SUM([3]BH13!$G$11,[3]BH13!$K$11,[3]BH13!$O$11,[3]BH13!$S$11,[3]BH13!$G$18,[3]BH13!$K$18,[3]BH13!$O$18,[3]BH13!$S$18,[3]BH13!$G$29,[3]BH13!$K$29,[3]BH13!$O$29,[3]BH13!$S$29,[3]BH13!$G$32,[3]BH13!$K$32,[3]BH13!$O$32,[3]BH13!$S$32,[3]BH13!$G$35,[3]BH13!$K$35,[3]BH13!$O$35,[3]BH13!$S$35)</f>
        <v>577</v>
      </c>
      <c r="P139" s="128">
        <f>SUM([3]BH13!$H$11,[3]BH13!$L$11,[3]BH13!$P$11,[3]BH13!$T$11)</f>
        <v>123</v>
      </c>
      <c r="Q139" s="128">
        <f>SUM([3]BH13!$H$18,[3]BH13!$L$18,[3]BH13!$P$18,[3]BH13!$T$18)</f>
        <v>97</v>
      </c>
      <c r="R139" s="128">
        <f>SUM([3]BH13!$H$29,[3]BH13!$L$29,[3]BH13!$P$29,[3]BH13!$T$29)</f>
        <v>238</v>
      </c>
      <c r="S139" s="128">
        <f>SUM([3]BH13!$H$32,[3]BH13!$L$32,[3]BH13!$P$32,[3]BH13!$T$32)</f>
        <v>80</v>
      </c>
      <c r="T139" s="128">
        <f>SUM([3]BH13!$H$35,[3]BH13!$L$35,[3]BH13!$P$35,[3]BH13!$T$35)</f>
        <v>68</v>
      </c>
      <c r="U139" s="121">
        <f t="shared" si="8"/>
        <v>606</v>
      </c>
      <c r="V139" s="122" t="str">
        <f t="shared" si="9"/>
        <v>MADYA</v>
      </c>
    </row>
    <row r="140" spans="1:22" x14ac:dyDescent="0.35">
      <c r="A140" s="118">
        <v>139</v>
      </c>
      <c r="B140" s="128" t="s">
        <v>0</v>
      </c>
      <c r="C140" s="128" t="s">
        <v>174</v>
      </c>
      <c r="D140" s="137" t="s">
        <v>1971</v>
      </c>
      <c r="E140" s="137" t="s">
        <v>20</v>
      </c>
      <c r="F140" s="137">
        <v>1985</v>
      </c>
      <c r="G140" s="129">
        <v>51</v>
      </c>
      <c r="H140" s="129">
        <v>6</v>
      </c>
      <c r="I140" s="129">
        <v>57</v>
      </c>
      <c r="J140" s="129" t="s">
        <v>1509</v>
      </c>
      <c r="K140" s="138">
        <v>5.7</v>
      </c>
      <c r="L140" s="128" t="s">
        <v>1972</v>
      </c>
      <c r="M140" s="132" t="s">
        <v>1856</v>
      </c>
      <c r="N140" s="137" t="s">
        <v>1973</v>
      </c>
      <c r="O140" s="128">
        <v>560</v>
      </c>
      <c r="P140" s="137">
        <v>127</v>
      </c>
      <c r="Q140" s="137">
        <v>108</v>
      </c>
      <c r="R140" s="137">
        <v>215</v>
      </c>
      <c r="S140" s="137">
        <v>51</v>
      </c>
      <c r="T140" s="137">
        <v>70</v>
      </c>
      <c r="U140" s="121">
        <f t="shared" ref="U140:U203" si="12">SUM(P140:T140)</f>
        <v>571</v>
      </c>
      <c r="V140" s="122" t="str">
        <f t="shared" ref="V140:V203" si="13">IF(U140&lt;=245,"PEMULA",IF(U140&lt;=455,"LANJUT",IF(U140&lt;=700,"MADYA","UTAMA")))</f>
        <v>MADYA</v>
      </c>
    </row>
    <row r="141" spans="1:22" x14ac:dyDescent="0.35">
      <c r="A141" s="118">
        <v>140</v>
      </c>
      <c r="B141" s="128" t="s">
        <v>0</v>
      </c>
      <c r="C141" s="128" t="s">
        <v>174</v>
      </c>
      <c r="D141" s="132" t="s">
        <v>1974</v>
      </c>
      <c r="E141" s="132" t="s">
        <v>39</v>
      </c>
      <c r="F141" s="132">
        <v>1985</v>
      </c>
      <c r="G141" s="129">
        <v>80</v>
      </c>
      <c r="H141" s="129">
        <v>3</v>
      </c>
      <c r="I141" s="129">
        <v>83</v>
      </c>
      <c r="J141" s="129" t="s">
        <v>1509</v>
      </c>
      <c r="K141" s="138">
        <v>8.1</v>
      </c>
      <c r="L141" s="128" t="s">
        <v>1975</v>
      </c>
      <c r="M141" s="137" t="s">
        <v>1976</v>
      </c>
      <c r="N141" s="128" t="s">
        <v>1977</v>
      </c>
      <c r="O141" s="132">
        <v>727</v>
      </c>
      <c r="P141" s="132">
        <v>141</v>
      </c>
      <c r="Q141" s="132">
        <v>122</v>
      </c>
      <c r="R141" s="132">
        <v>302</v>
      </c>
      <c r="S141" s="132">
        <v>83</v>
      </c>
      <c r="T141" s="132">
        <v>83</v>
      </c>
      <c r="U141" s="121">
        <f t="shared" si="12"/>
        <v>731</v>
      </c>
      <c r="V141" s="122" t="str">
        <f t="shared" si="13"/>
        <v>UTAMA</v>
      </c>
    </row>
    <row r="142" spans="1:22" x14ac:dyDescent="0.35">
      <c r="A142" s="118">
        <v>141</v>
      </c>
      <c r="B142" s="128" t="s">
        <v>0</v>
      </c>
      <c r="C142" s="128" t="s">
        <v>174</v>
      </c>
      <c r="D142" s="137" t="s">
        <v>1517</v>
      </c>
      <c r="E142" s="137" t="s">
        <v>57</v>
      </c>
      <c r="F142" s="137">
        <v>1985</v>
      </c>
      <c r="G142" s="129">
        <v>56</v>
      </c>
      <c r="H142" s="129">
        <v>10</v>
      </c>
      <c r="I142" s="129">
        <v>66</v>
      </c>
      <c r="J142" s="129" t="s">
        <v>1509</v>
      </c>
      <c r="K142" s="138">
        <v>9.6</v>
      </c>
      <c r="L142" s="128" t="s">
        <v>1978</v>
      </c>
      <c r="M142" s="137" t="s">
        <v>1979</v>
      </c>
      <c r="N142" s="137" t="s">
        <v>1980</v>
      </c>
      <c r="O142" s="128">
        <v>790</v>
      </c>
      <c r="P142" s="137">
        <v>155</v>
      </c>
      <c r="Q142" s="137">
        <v>142</v>
      </c>
      <c r="R142" s="137">
        <v>325</v>
      </c>
      <c r="S142" s="137">
        <v>85</v>
      </c>
      <c r="T142" s="137">
        <v>87</v>
      </c>
      <c r="U142" s="121">
        <f t="shared" si="12"/>
        <v>794</v>
      </c>
      <c r="V142" s="122" t="str">
        <f t="shared" si="13"/>
        <v>UTAMA</v>
      </c>
    </row>
    <row r="143" spans="1:22" x14ac:dyDescent="0.35">
      <c r="A143" s="118">
        <v>142</v>
      </c>
      <c r="B143" s="128" t="s">
        <v>0</v>
      </c>
      <c r="C143" s="128" t="s">
        <v>174</v>
      </c>
      <c r="D143" s="137" t="s">
        <v>1981</v>
      </c>
      <c r="E143" s="137" t="s">
        <v>75</v>
      </c>
      <c r="F143" s="137">
        <v>1985</v>
      </c>
      <c r="G143" s="129">
        <v>52</v>
      </c>
      <c r="H143" s="129">
        <v>15</v>
      </c>
      <c r="I143" s="129">
        <v>67</v>
      </c>
      <c r="J143" s="129" t="s">
        <v>1509</v>
      </c>
      <c r="K143" s="138">
        <v>8.6</v>
      </c>
      <c r="L143" s="128" t="s">
        <v>1982</v>
      </c>
      <c r="M143" s="137" t="s">
        <v>1699</v>
      </c>
      <c r="N143" s="137" t="s">
        <v>1983</v>
      </c>
      <c r="O143" s="128">
        <v>625</v>
      </c>
      <c r="P143" s="137">
        <v>121</v>
      </c>
      <c r="Q143" s="137">
        <v>110</v>
      </c>
      <c r="R143" s="137">
        <v>244</v>
      </c>
      <c r="S143" s="137">
        <v>74</v>
      </c>
      <c r="T143" s="137">
        <v>80</v>
      </c>
      <c r="U143" s="121">
        <f t="shared" si="12"/>
        <v>629</v>
      </c>
      <c r="V143" s="122" t="str">
        <f t="shared" si="13"/>
        <v>MADYA</v>
      </c>
    </row>
    <row r="144" spans="1:22" x14ac:dyDescent="0.35">
      <c r="A144" s="118">
        <v>143</v>
      </c>
      <c r="B144" s="128" t="s">
        <v>0</v>
      </c>
      <c r="C144" s="128" t="s">
        <v>174</v>
      </c>
      <c r="D144" s="137" t="s">
        <v>1517</v>
      </c>
      <c r="E144" s="137" t="s">
        <v>2</v>
      </c>
      <c r="F144" s="137">
        <v>2012</v>
      </c>
      <c r="G144" s="129">
        <v>0</v>
      </c>
      <c r="H144" s="129">
        <v>11</v>
      </c>
      <c r="I144" s="129">
        <v>11</v>
      </c>
      <c r="J144" s="129" t="s">
        <v>1984</v>
      </c>
      <c r="K144" s="139">
        <v>0</v>
      </c>
      <c r="L144" s="129" t="s">
        <v>1985</v>
      </c>
      <c r="M144" s="129" t="s">
        <v>1986</v>
      </c>
      <c r="N144" s="129" t="s">
        <v>1987</v>
      </c>
      <c r="O144" s="137">
        <v>564</v>
      </c>
      <c r="P144" s="137">
        <v>128</v>
      </c>
      <c r="Q144" s="137">
        <v>106</v>
      </c>
      <c r="R144" s="137">
        <v>231</v>
      </c>
      <c r="S144" s="137">
        <v>46</v>
      </c>
      <c r="T144" s="137">
        <v>60</v>
      </c>
      <c r="U144" s="121">
        <f t="shared" si="12"/>
        <v>571</v>
      </c>
      <c r="V144" s="122" t="str">
        <f t="shared" si="13"/>
        <v>MADYA</v>
      </c>
    </row>
    <row r="145" spans="1:22" x14ac:dyDescent="0.35">
      <c r="A145" s="118">
        <v>144</v>
      </c>
      <c r="B145" s="128" t="s">
        <v>0</v>
      </c>
      <c r="C145" s="128" t="s">
        <v>186</v>
      </c>
      <c r="D145" s="137" t="s">
        <v>1988</v>
      </c>
      <c r="E145" s="137" t="s">
        <v>909</v>
      </c>
      <c r="F145" s="137">
        <v>2007</v>
      </c>
      <c r="G145" s="129">
        <v>46</v>
      </c>
      <c r="H145" s="129">
        <v>25</v>
      </c>
      <c r="I145" s="129">
        <v>71</v>
      </c>
      <c r="J145" s="137" t="s">
        <v>1509</v>
      </c>
      <c r="K145" s="137">
        <v>8</v>
      </c>
      <c r="L145" s="132" t="s">
        <v>1989</v>
      </c>
      <c r="M145" s="132" t="s">
        <v>1990</v>
      </c>
      <c r="N145" s="132" t="s">
        <v>1991</v>
      </c>
      <c r="O145" s="128">
        <v>622</v>
      </c>
      <c r="P145" s="137">
        <v>130</v>
      </c>
      <c r="Q145" s="137">
        <v>109</v>
      </c>
      <c r="R145" s="137">
        <v>253</v>
      </c>
      <c r="S145" s="137">
        <v>67</v>
      </c>
      <c r="T145" s="137">
        <v>71</v>
      </c>
      <c r="U145" s="121">
        <f t="shared" si="12"/>
        <v>630</v>
      </c>
      <c r="V145" s="122" t="str">
        <f t="shared" si="13"/>
        <v>MADYA</v>
      </c>
    </row>
    <row r="146" spans="1:22" x14ac:dyDescent="0.35">
      <c r="A146" s="118">
        <v>145</v>
      </c>
      <c r="B146" s="128" t="s">
        <v>0</v>
      </c>
      <c r="C146" s="128" t="s">
        <v>186</v>
      </c>
      <c r="D146" s="132" t="s">
        <v>1992</v>
      </c>
      <c r="E146" s="132" t="s">
        <v>709</v>
      </c>
      <c r="F146" s="132">
        <v>2007</v>
      </c>
      <c r="G146" s="129">
        <v>65</v>
      </c>
      <c r="H146" s="129">
        <v>19</v>
      </c>
      <c r="I146" s="129">
        <v>84</v>
      </c>
      <c r="J146" s="132" t="s">
        <v>1509</v>
      </c>
      <c r="K146" s="132">
        <v>15</v>
      </c>
      <c r="L146" s="132" t="s">
        <v>1993</v>
      </c>
      <c r="M146" s="132" t="s">
        <v>1994</v>
      </c>
      <c r="N146" s="132" t="s">
        <v>1995</v>
      </c>
      <c r="O146" s="132">
        <v>405</v>
      </c>
      <c r="P146" s="132">
        <v>91</v>
      </c>
      <c r="Q146" s="132">
        <v>75</v>
      </c>
      <c r="R146" s="132">
        <v>156</v>
      </c>
      <c r="S146" s="132">
        <v>38</v>
      </c>
      <c r="T146" s="132">
        <v>47</v>
      </c>
      <c r="U146" s="121">
        <f t="shared" si="12"/>
        <v>407</v>
      </c>
      <c r="V146" s="122" t="str">
        <f t="shared" si="13"/>
        <v>LANJUT</v>
      </c>
    </row>
    <row r="147" spans="1:22" x14ac:dyDescent="0.35">
      <c r="A147" s="118">
        <v>146</v>
      </c>
      <c r="B147" s="128" t="s">
        <v>0</v>
      </c>
      <c r="C147" s="128" t="s">
        <v>186</v>
      </c>
      <c r="D147" s="137" t="s">
        <v>1517</v>
      </c>
      <c r="E147" s="137" t="s">
        <v>908</v>
      </c>
      <c r="F147" s="137">
        <v>2007</v>
      </c>
      <c r="G147" s="129">
        <v>96</v>
      </c>
      <c r="H147" s="129">
        <v>29</v>
      </c>
      <c r="I147" s="129">
        <v>125</v>
      </c>
      <c r="J147" s="137" t="s">
        <v>1509</v>
      </c>
      <c r="K147" s="137">
        <v>12</v>
      </c>
      <c r="L147" s="137" t="s">
        <v>1996</v>
      </c>
      <c r="M147" s="137" t="s">
        <v>1997</v>
      </c>
      <c r="N147" s="137" t="s">
        <v>1998</v>
      </c>
      <c r="O147" s="128">
        <v>622</v>
      </c>
      <c r="P147" s="137">
        <v>129</v>
      </c>
      <c r="Q147" s="137">
        <v>110</v>
      </c>
      <c r="R147" s="137">
        <v>254</v>
      </c>
      <c r="S147" s="137">
        <v>66</v>
      </c>
      <c r="T147" s="137">
        <v>70</v>
      </c>
      <c r="U147" s="121">
        <f t="shared" si="12"/>
        <v>629</v>
      </c>
      <c r="V147" s="122" t="str">
        <f t="shared" si="13"/>
        <v>MADYA</v>
      </c>
    </row>
    <row r="148" spans="1:22" x14ac:dyDescent="0.35">
      <c r="A148" s="118">
        <v>147</v>
      </c>
      <c r="B148" s="128" t="s">
        <v>0</v>
      </c>
      <c r="C148" s="128" t="s">
        <v>186</v>
      </c>
      <c r="D148" s="137" t="s">
        <v>1999</v>
      </c>
      <c r="E148" s="137" t="s">
        <v>907</v>
      </c>
      <c r="F148" s="137">
        <v>2007</v>
      </c>
      <c r="G148" s="129">
        <v>38</v>
      </c>
      <c r="H148" s="129">
        <v>7</v>
      </c>
      <c r="I148" s="129">
        <v>45</v>
      </c>
      <c r="J148" s="137" t="s">
        <v>1509</v>
      </c>
      <c r="K148" s="137">
        <v>3</v>
      </c>
      <c r="L148" s="137" t="s">
        <v>2000</v>
      </c>
      <c r="M148" s="137" t="s">
        <v>2001</v>
      </c>
      <c r="N148" s="137" t="s">
        <v>2002</v>
      </c>
      <c r="O148" s="128">
        <v>622</v>
      </c>
      <c r="P148" s="137">
        <v>129</v>
      </c>
      <c r="Q148" s="137">
        <v>110</v>
      </c>
      <c r="R148" s="137">
        <v>255</v>
      </c>
      <c r="S148" s="137">
        <v>67</v>
      </c>
      <c r="T148" s="137">
        <v>71</v>
      </c>
      <c r="U148" s="121">
        <f t="shared" si="12"/>
        <v>632</v>
      </c>
      <c r="V148" s="122" t="str">
        <f t="shared" si="13"/>
        <v>MADYA</v>
      </c>
    </row>
    <row r="149" spans="1:22" x14ac:dyDescent="0.35">
      <c r="A149" s="118">
        <v>148</v>
      </c>
      <c r="B149" s="128" t="s">
        <v>0</v>
      </c>
      <c r="C149" s="128" t="s">
        <v>186</v>
      </c>
      <c r="D149" s="137" t="s">
        <v>2003</v>
      </c>
      <c r="E149" s="137" t="s">
        <v>906</v>
      </c>
      <c r="F149" s="137">
        <v>2008</v>
      </c>
      <c r="G149" s="129">
        <v>38</v>
      </c>
      <c r="H149" s="129">
        <v>10</v>
      </c>
      <c r="I149" s="129">
        <v>48</v>
      </c>
      <c r="J149" s="137" t="s">
        <v>1509</v>
      </c>
      <c r="K149" s="137">
        <v>5</v>
      </c>
      <c r="L149" s="137" t="s">
        <v>2004</v>
      </c>
      <c r="M149" s="137" t="s">
        <v>2005</v>
      </c>
      <c r="N149" s="137" t="s">
        <v>2006</v>
      </c>
      <c r="O149" s="137">
        <v>410</v>
      </c>
      <c r="P149" s="137">
        <v>95</v>
      </c>
      <c r="Q149" s="137">
        <v>77</v>
      </c>
      <c r="R149" s="137">
        <v>159</v>
      </c>
      <c r="S149" s="137">
        <v>39</v>
      </c>
      <c r="T149" s="137">
        <v>48</v>
      </c>
      <c r="U149" s="121">
        <f t="shared" si="12"/>
        <v>418</v>
      </c>
      <c r="V149" s="122" t="str">
        <f t="shared" si="13"/>
        <v>LANJUT</v>
      </c>
    </row>
    <row r="150" spans="1:22" x14ac:dyDescent="0.35">
      <c r="A150" s="118">
        <v>149</v>
      </c>
      <c r="B150" s="128" t="s">
        <v>0</v>
      </c>
      <c r="C150" s="128" t="s">
        <v>186</v>
      </c>
      <c r="D150" s="137" t="s">
        <v>2007</v>
      </c>
      <c r="E150" s="137" t="s">
        <v>905</v>
      </c>
      <c r="F150" s="137">
        <v>2013</v>
      </c>
      <c r="G150" s="129">
        <v>59</v>
      </c>
      <c r="H150" s="129">
        <v>60</v>
      </c>
      <c r="I150" s="129">
        <v>119</v>
      </c>
      <c r="J150" s="137" t="s">
        <v>1509</v>
      </c>
      <c r="K150" s="137">
        <v>10</v>
      </c>
      <c r="L150" s="137" t="s">
        <v>2008</v>
      </c>
      <c r="M150" s="137" t="s">
        <v>2009</v>
      </c>
      <c r="N150" s="137" t="s">
        <v>2010</v>
      </c>
      <c r="O150" s="128">
        <v>594</v>
      </c>
      <c r="P150" s="137">
        <v>128</v>
      </c>
      <c r="Q150" s="137">
        <v>110</v>
      </c>
      <c r="R150" s="137">
        <v>235</v>
      </c>
      <c r="S150" s="137">
        <v>64</v>
      </c>
      <c r="T150" s="137">
        <v>70</v>
      </c>
      <c r="U150" s="121">
        <f t="shared" si="12"/>
        <v>607</v>
      </c>
      <c r="V150" s="122" t="str">
        <f t="shared" si="13"/>
        <v>MADYA</v>
      </c>
    </row>
    <row r="151" spans="1:22" x14ac:dyDescent="0.35">
      <c r="A151" s="118">
        <v>150</v>
      </c>
      <c r="B151" s="128" t="s">
        <v>0</v>
      </c>
      <c r="C151" s="128" t="s">
        <v>186</v>
      </c>
      <c r="D151" s="137" t="s">
        <v>172</v>
      </c>
      <c r="E151" s="137" t="s">
        <v>904</v>
      </c>
      <c r="F151" s="137">
        <v>2009</v>
      </c>
      <c r="G151" s="129">
        <v>55</v>
      </c>
      <c r="H151" s="129">
        <v>12</v>
      </c>
      <c r="I151" s="129">
        <v>67</v>
      </c>
      <c r="J151" s="137" t="s">
        <v>1509</v>
      </c>
      <c r="K151" s="137">
        <v>8</v>
      </c>
      <c r="L151" s="137" t="s">
        <v>2011</v>
      </c>
      <c r="M151" s="137" t="s">
        <v>2012</v>
      </c>
      <c r="N151" s="128" t="s">
        <v>2013</v>
      </c>
      <c r="O151" s="137">
        <v>405</v>
      </c>
      <c r="P151" s="137">
        <v>91</v>
      </c>
      <c r="Q151" s="137">
        <v>75</v>
      </c>
      <c r="R151" s="137">
        <v>159</v>
      </c>
      <c r="S151" s="137">
        <v>38</v>
      </c>
      <c r="T151" s="137">
        <v>46</v>
      </c>
      <c r="U151" s="121">
        <f t="shared" si="12"/>
        <v>409</v>
      </c>
      <c r="V151" s="122" t="str">
        <f t="shared" si="13"/>
        <v>LANJUT</v>
      </c>
    </row>
    <row r="152" spans="1:22" x14ac:dyDescent="0.35">
      <c r="A152" s="118">
        <v>151</v>
      </c>
      <c r="B152" s="128" t="s">
        <v>0</v>
      </c>
      <c r="C152" s="128" t="s">
        <v>186</v>
      </c>
      <c r="D152" s="137" t="s">
        <v>2014</v>
      </c>
      <c r="E152" s="137" t="s">
        <v>903</v>
      </c>
      <c r="F152" s="137">
        <v>2009</v>
      </c>
      <c r="G152" s="129">
        <v>41</v>
      </c>
      <c r="H152" s="129">
        <v>25</v>
      </c>
      <c r="I152" s="129">
        <v>66</v>
      </c>
      <c r="J152" s="137" t="s">
        <v>1509</v>
      </c>
      <c r="K152" s="137">
        <v>3</v>
      </c>
      <c r="L152" s="137" t="s">
        <v>2015</v>
      </c>
      <c r="M152" s="137" t="s">
        <v>2016</v>
      </c>
      <c r="N152" s="137" t="s">
        <v>2017</v>
      </c>
      <c r="O152" s="128">
        <v>615</v>
      </c>
      <c r="P152" s="137">
        <v>127</v>
      </c>
      <c r="Q152" s="137">
        <v>105</v>
      </c>
      <c r="R152" s="137">
        <v>251</v>
      </c>
      <c r="S152" s="137">
        <v>65</v>
      </c>
      <c r="T152" s="137">
        <v>70</v>
      </c>
      <c r="U152" s="121">
        <f t="shared" si="12"/>
        <v>618</v>
      </c>
      <c r="V152" s="122" t="str">
        <f t="shared" si="13"/>
        <v>MADYA</v>
      </c>
    </row>
    <row r="153" spans="1:22" x14ac:dyDescent="0.35">
      <c r="A153" s="118">
        <v>152</v>
      </c>
      <c r="B153" s="128" t="s">
        <v>0</v>
      </c>
      <c r="C153" s="128" t="s">
        <v>186</v>
      </c>
      <c r="D153" s="137" t="s">
        <v>2018</v>
      </c>
      <c r="E153" s="137" t="s">
        <v>900</v>
      </c>
      <c r="F153" s="137">
        <v>2009</v>
      </c>
      <c r="G153" s="129">
        <v>27</v>
      </c>
      <c r="H153" s="129">
        <v>9</v>
      </c>
      <c r="I153" s="129">
        <v>36</v>
      </c>
      <c r="J153" s="137" t="s">
        <v>1509</v>
      </c>
      <c r="K153" s="137">
        <v>3</v>
      </c>
      <c r="L153" s="137" t="s">
        <v>2019</v>
      </c>
      <c r="M153" s="137" t="s">
        <v>2020</v>
      </c>
      <c r="N153" s="137" t="s">
        <v>2021</v>
      </c>
      <c r="O153" s="137">
        <v>406</v>
      </c>
      <c r="P153" s="137">
        <v>93</v>
      </c>
      <c r="Q153" s="137">
        <v>75</v>
      </c>
      <c r="R153" s="137">
        <v>158</v>
      </c>
      <c r="S153" s="137">
        <v>38</v>
      </c>
      <c r="T153" s="137">
        <v>48</v>
      </c>
      <c r="U153" s="121">
        <f t="shared" si="12"/>
        <v>412</v>
      </c>
      <c r="V153" s="122" t="str">
        <f t="shared" si="13"/>
        <v>LANJUT</v>
      </c>
    </row>
    <row r="154" spans="1:22" x14ac:dyDescent="0.35">
      <c r="A154" s="118">
        <v>153</v>
      </c>
      <c r="B154" s="128" t="s">
        <v>0</v>
      </c>
      <c r="C154" s="128" t="s">
        <v>186</v>
      </c>
      <c r="D154" s="137" t="s">
        <v>2022</v>
      </c>
      <c r="E154" s="137" t="s">
        <v>899</v>
      </c>
      <c r="F154" s="137">
        <v>2009</v>
      </c>
      <c r="G154" s="129">
        <v>83</v>
      </c>
      <c r="H154" s="129">
        <v>20</v>
      </c>
      <c r="I154" s="129">
        <v>103</v>
      </c>
      <c r="J154" s="137" t="s">
        <v>1509</v>
      </c>
      <c r="K154" s="137">
        <v>4</v>
      </c>
      <c r="L154" s="137" t="s">
        <v>1666</v>
      </c>
      <c r="M154" s="137" t="s">
        <v>2023</v>
      </c>
      <c r="N154" s="137" t="s">
        <v>1591</v>
      </c>
      <c r="O154" s="128">
        <v>614</v>
      </c>
      <c r="P154" s="137">
        <v>126</v>
      </c>
      <c r="Q154" s="137">
        <v>105</v>
      </c>
      <c r="R154" s="137">
        <v>251</v>
      </c>
      <c r="S154" s="137">
        <v>65</v>
      </c>
      <c r="T154" s="137">
        <v>69</v>
      </c>
      <c r="U154" s="121">
        <f t="shared" si="12"/>
        <v>616</v>
      </c>
      <c r="V154" s="122" t="str">
        <f t="shared" si="13"/>
        <v>MADYA</v>
      </c>
    </row>
    <row r="155" spans="1:22" x14ac:dyDescent="0.35">
      <c r="A155" s="118">
        <v>154</v>
      </c>
      <c r="B155" s="128" t="s">
        <v>0</v>
      </c>
      <c r="C155" s="128" t="s">
        <v>186</v>
      </c>
      <c r="D155" s="137" t="s">
        <v>1685</v>
      </c>
      <c r="E155" s="137" t="s">
        <v>898</v>
      </c>
      <c r="F155" s="137">
        <v>2007</v>
      </c>
      <c r="G155" s="129">
        <v>28</v>
      </c>
      <c r="H155" s="129">
        <v>23</v>
      </c>
      <c r="I155" s="129">
        <v>51</v>
      </c>
      <c r="J155" s="137" t="s">
        <v>1509</v>
      </c>
      <c r="K155" s="137">
        <v>4</v>
      </c>
      <c r="L155" s="137" t="s">
        <v>2024</v>
      </c>
      <c r="M155" s="137" t="s">
        <v>1510</v>
      </c>
      <c r="N155" s="137" t="s">
        <v>2025</v>
      </c>
      <c r="O155" s="128">
        <v>614</v>
      </c>
      <c r="P155" s="137">
        <v>126</v>
      </c>
      <c r="Q155" s="137">
        <v>105</v>
      </c>
      <c r="R155" s="137">
        <v>254</v>
      </c>
      <c r="S155" s="137">
        <v>65</v>
      </c>
      <c r="T155" s="137">
        <v>69</v>
      </c>
      <c r="U155" s="121">
        <f t="shared" si="12"/>
        <v>619</v>
      </c>
      <c r="V155" s="122" t="str">
        <f t="shared" si="13"/>
        <v>MADYA</v>
      </c>
    </row>
    <row r="156" spans="1:22" x14ac:dyDescent="0.35">
      <c r="A156" s="118">
        <v>155</v>
      </c>
      <c r="B156" s="128" t="s">
        <v>0</v>
      </c>
      <c r="C156" s="128" t="s">
        <v>186</v>
      </c>
      <c r="D156" s="137" t="s">
        <v>2003</v>
      </c>
      <c r="E156" s="137" t="s">
        <v>2026</v>
      </c>
      <c r="F156" s="137">
        <v>2013</v>
      </c>
      <c r="G156" s="137">
        <v>0</v>
      </c>
      <c r="H156" s="137">
        <v>54</v>
      </c>
      <c r="I156" s="129">
        <v>54</v>
      </c>
      <c r="J156" s="137" t="s">
        <v>2027</v>
      </c>
      <c r="K156" s="137">
        <v>2</v>
      </c>
      <c r="L156" s="137" t="s">
        <v>2028</v>
      </c>
      <c r="M156" s="137" t="s">
        <v>2029</v>
      </c>
      <c r="N156" s="137" t="s">
        <v>2030</v>
      </c>
      <c r="O156" s="128">
        <v>573</v>
      </c>
      <c r="P156" s="137">
        <v>126</v>
      </c>
      <c r="Q156" s="137">
        <v>105</v>
      </c>
      <c r="R156" s="137">
        <v>234</v>
      </c>
      <c r="S156" s="137">
        <v>59</v>
      </c>
      <c r="T156" s="137">
        <v>68</v>
      </c>
      <c r="U156" s="121">
        <f t="shared" si="12"/>
        <v>592</v>
      </c>
      <c r="V156" s="122" t="str">
        <f t="shared" si="13"/>
        <v>MADYA</v>
      </c>
    </row>
    <row r="157" spans="1:22" x14ac:dyDescent="0.35">
      <c r="A157" s="118">
        <v>156</v>
      </c>
      <c r="B157" s="128" t="s">
        <v>0</v>
      </c>
      <c r="C157" s="128" t="s">
        <v>188</v>
      </c>
      <c r="D157" s="137" t="s">
        <v>2032</v>
      </c>
      <c r="E157" s="137" t="s">
        <v>2033</v>
      </c>
      <c r="F157" s="137">
        <v>2007</v>
      </c>
      <c r="G157" s="129">
        <v>92</v>
      </c>
      <c r="H157" s="129">
        <v>24</v>
      </c>
      <c r="I157" s="129">
        <v>116</v>
      </c>
      <c r="J157" s="137" t="s">
        <v>1509</v>
      </c>
      <c r="K157" s="137">
        <v>15</v>
      </c>
      <c r="L157" s="137" t="s">
        <v>2034</v>
      </c>
      <c r="M157" s="137" t="s">
        <v>1580</v>
      </c>
      <c r="N157" s="137" t="s">
        <v>2035</v>
      </c>
      <c r="O157" s="137">
        <v>404</v>
      </c>
      <c r="P157" s="137">
        <v>93</v>
      </c>
      <c r="Q157" s="137">
        <v>74</v>
      </c>
      <c r="R157" s="137">
        <v>158</v>
      </c>
      <c r="S157" s="137">
        <v>38</v>
      </c>
      <c r="T157" s="137">
        <v>47</v>
      </c>
      <c r="U157" s="121">
        <f t="shared" si="12"/>
        <v>410</v>
      </c>
      <c r="V157" s="122" t="str">
        <f t="shared" si="13"/>
        <v>LANJUT</v>
      </c>
    </row>
    <row r="158" spans="1:22" x14ac:dyDescent="0.35">
      <c r="A158" s="118">
        <v>157</v>
      </c>
      <c r="B158" s="128" t="s">
        <v>0</v>
      </c>
      <c r="C158" s="128" t="s">
        <v>188</v>
      </c>
      <c r="D158" s="137" t="s">
        <v>1517</v>
      </c>
      <c r="E158" s="137" t="s">
        <v>2036</v>
      </c>
      <c r="F158" s="137">
        <v>2007</v>
      </c>
      <c r="G158" s="129">
        <v>37</v>
      </c>
      <c r="H158" s="129">
        <v>5</v>
      </c>
      <c r="I158" s="129">
        <v>42</v>
      </c>
      <c r="J158" s="137" t="s">
        <v>1509</v>
      </c>
      <c r="K158" s="137">
        <v>10</v>
      </c>
      <c r="L158" s="137" t="s">
        <v>2037</v>
      </c>
      <c r="M158" s="128" t="s">
        <v>2038</v>
      </c>
      <c r="N158" s="137" t="s">
        <v>2039</v>
      </c>
      <c r="O158" s="137">
        <v>414</v>
      </c>
      <c r="P158" s="137">
        <v>95</v>
      </c>
      <c r="Q158" s="137">
        <v>77</v>
      </c>
      <c r="R158" s="137">
        <v>163</v>
      </c>
      <c r="S158" s="137">
        <v>39</v>
      </c>
      <c r="T158" s="137">
        <v>48</v>
      </c>
      <c r="U158" s="121">
        <f t="shared" si="12"/>
        <v>422</v>
      </c>
      <c r="V158" s="122" t="str">
        <f t="shared" si="13"/>
        <v>LANJUT</v>
      </c>
    </row>
    <row r="159" spans="1:22" x14ac:dyDescent="0.35">
      <c r="A159" s="118">
        <v>158</v>
      </c>
      <c r="B159" s="128" t="s">
        <v>0</v>
      </c>
      <c r="C159" s="128" t="s">
        <v>188</v>
      </c>
      <c r="D159" s="137" t="s">
        <v>2040</v>
      </c>
      <c r="E159" s="137" t="s">
        <v>2041</v>
      </c>
      <c r="F159" s="137">
        <v>2007</v>
      </c>
      <c r="G159" s="129">
        <v>46</v>
      </c>
      <c r="H159" s="129">
        <v>17</v>
      </c>
      <c r="I159" s="129">
        <v>63</v>
      </c>
      <c r="J159" s="137" t="s">
        <v>1509</v>
      </c>
      <c r="K159" s="137">
        <v>8</v>
      </c>
      <c r="L159" s="137" t="s">
        <v>2042</v>
      </c>
      <c r="M159" s="137" t="s">
        <v>1591</v>
      </c>
      <c r="N159" s="137" t="s">
        <v>477</v>
      </c>
      <c r="O159" s="137">
        <v>404</v>
      </c>
      <c r="P159" s="137">
        <v>92</v>
      </c>
      <c r="Q159" s="137">
        <v>75</v>
      </c>
      <c r="R159" s="137">
        <v>158</v>
      </c>
      <c r="S159" s="137">
        <v>38</v>
      </c>
      <c r="T159" s="137">
        <v>46</v>
      </c>
      <c r="U159" s="121">
        <f t="shared" si="12"/>
        <v>409</v>
      </c>
      <c r="V159" s="122" t="str">
        <f t="shared" si="13"/>
        <v>LANJUT</v>
      </c>
    </row>
    <row r="160" spans="1:22" x14ac:dyDescent="0.35">
      <c r="A160" s="118">
        <v>159</v>
      </c>
      <c r="B160" s="128" t="s">
        <v>0</v>
      </c>
      <c r="C160" s="128" t="s">
        <v>188</v>
      </c>
      <c r="D160" s="137" t="s">
        <v>2043</v>
      </c>
      <c r="E160" s="137" t="s">
        <v>2044</v>
      </c>
      <c r="F160" s="137">
        <v>2007</v>
      </c>
      <c r="G160" s="129">
        <v>75</v>
      </c>
      <c r="H160" s="129">
        <v>21</v>
      </c>
      <c r="I160" s="129">
        <v>96</v>
      </c>
      <c r="J160" s="137" t="s">
        <v>1509</v>
      </c>
      <c r="K160" s="137">
        <v>14</v>
      </c>
      <c r="L160" s="137" t="s">
        <v>2045</v>
      </c>
      <c r="M160" s="137" t="s">
        <v>2046</v>
      </c>
      <c r="N160" s="137" t="s">
        <v>2047</v>
      </c>
      <c r="O160" s="137">
        <v>579</v>
      </c>
      <c r="P160" s="137">
        <v>122</v>
      </c>
      <c r="Q160" s="137">
        <v>105</v>
      </c>
      <c r="R160" s="137">
        <v>234</v>
      </c>
      <c r="S160" s="137">
        <v>58</v>
      </c>
      <c r="T160" s="137">
        <v>73</v>
      </c>
      <c r="U160" s="121">
        <f t="shared" si="12"/>
        <v>592</v>
      </c>
      <c r="V160" s="122" t="str">
        <f t="shared" si="13"/>
        <v>MADYA</v>
      </c>
    </row>
    <row r="161" spans="1:22" x14ac:dyDescent="0.35">
      <c r="A161" s="118">
        <v>160</v>
      </c>
      <c r="B161" s="128" t="s">
        <v>0</v>
      </c>
      <c r="C161" s="128" t="s">
        <v>188</v>
      </c>
      <c r="D161" s="137" t="s">
        <v>2048</v>
      </c>
      <c r="E161" s="137" t="s">
        <v>2049</v>
      </c>
      <c r="F161" s="137">
        <v>2007</v>
      </c>
      <c r="G161" s="129">
        <v>72</v>
      </c>
      <c r="H161" s="129">
        <v>27</v>
      </c>
      <c r="I161" s="129">
        <v>99</v>
      </c>
      <c r="J161" s="137" t="s">
        <v>1509</v>
      </c>
      <c r="K161" s="137">
        <v>10</v>
      </c>
      <c r="L161" s="137" t="s">
        <v>2050</v>
      </c>
      <c r="M161" s="137" t="s">
        <v>1920</v>
      </c>
      <c r="N161" s="137" t="s">
        <v>2051</v>
      </c>
      <c r="O161" s="137">
        <v>560</v>
      </c>
      <c r="P161" s="137">
        <v>122</v>
      </c>
      <c r="Q161" s="137">
        <v>103</v>
      </c>
      <c r="R161" s="137">
        <v>237</v>
      </c>
      <c r="S161" s="137">
        <v>58</v>
      </c>
      <c r="T161" s="137">
        <v>68</v>
      </c>
      <c r="U161" s="121">
        <f t="shared" si="12"/>
        <v>588</v>
      </c>
      <c r="V161" s="122" t="str">
        <f t="shared" si="13"/>
        <v>MADYA</v>
      </c>
    </row>
    <row r="162" spans="1:22" x14ac:dyDescent="0.35">
      <c r="A162" s="118">
        <v>161</v>
      </c>
      <c r="B162" s="128" t="s">
        <v>0</v>
      </c>
      <c r="C162" s="128" t="s">
        <v>188</v>
      </c>
      <c r="D162" s="137" t="s">
        <v>2052</v>
      </c>
      <c r="E162" s="137" t="s">
        <v>2053</v>
      </c>
      <c r="F162" s="137">
        <v>2007</v>
      </c>
      <c r="G162" s="129">
        <v>24</v>
      </c>
      <c r="H162" s="129">
        <v>11</v>
      </c>
      <c r="I162" s="129">
        <v>35</v>
      </c>
      <c r="J162" s="137" t="s">
        <v>1509</v>
      </c>
      <c r="K162" s="137">
        <v>7</v>
      </c>
      <c r="L162" s="137" t="s">
        <v>2054</v>
      </c>
      <c r="M162" s="137" t="s">
        <v>2055</v>
      </c>
      <c r="N162" s="137" t="s">
        <v>2056</v>
      </c>
      <c r="O162" s="137">
        <v>404</v>
      </c>
      <c r="P162" s="137">
        <v>93</v>
      </c>
      <c r="Q162" s="137">
        <v>76</v>
      </c>
      <c r="R162" s="137">
        <v>159</v>
      </c>
      <c r="S162" s="137">
        <v>39</v>
      </c>
      <c r="T162" s="137">
        <v>47</v>
      </c>
      <c r="U162" s="121">
        <f t="shared" si="12"/>
        <v>414</v>
      </c>
      <c r="V162" s="122" t="str">
        <f t="shared" si="13"/>
        <v>LANJUT</v>
      </c>
    </row>
    <row r="163" spans="1:22" x14ac:dyDescent="0.35">
      <c r="A163" s="118">
        <v>162</v>
      </c>
      <c r="B163" s="128" t="s">
        <v>0</v>
      </c>
      <c r="C163" s="128" t="s">
        <v>188</v>
      </c>
      <c r="D163" s="137" t="s">
        <v>2057</v>
      </c>
      <c r="E163" s="137" t="s">
        <v>2058</v>
      </c>
      <c r="F163" s="137">
        <v>2007</v>
      </c>
      <c r="G163" s="129">
        <v>96</v>
      </c>
      <c r="H163" s="129">
        <v>36</v>
      </c>
      <c r="I163" s="129">
        <v>132</v>
      </c>
      <c r="J163" s="137" t="s">
        <v>1509</v>
      </c>
      <c r="K163" s="137">
        <v>12</v>
      </c>
      <c r="L163" s="137" t="s">
        <v>2059</v>
      </c>
      <c r="M163" s="128" t="s">
        <v>1773</v>
      </c>
      <c r="N163" s="137" t="s">
        <v>1699</v>
      </c>
      <c r="O163" s="137">
        <v>412</v>
      </c>
      <c r="P163" s="137">
        <v>91</v>
      </c>
      <c r="Q163" s="137">
        <v>75</v>
      </c>
      <c r="R163" s="137">
        <v>159</v>
      </c>
      <c r="S163" s="137">
        <v>38</v>
      </c>
      <c r="T163" s="137">
        <v>46</v>
      </c>
      <c r="U163" s="121">
        <f t="shared" si="12"/>
        <v>409</v>
      </c>
      <c r="V163" s="122" t="str">
        <f t="shared" si="13"/>
        <v>LANJUT</v>
      </c>
    </row>
    <row r="164" spans="1:22" x14ac:dyDescent="0.35">
      <c r="A164" s="118">
        <v>163</v>
      </c>
      <c r="B164" s="128" t="s">
        <v>0</v>
      </c>
      <c r="C164" s="128" t="s">
        <v>188</v>
      </c>
      <c r="D164" s="137" t="s">
        <v>1707</v>
      </c>
      <c r="E164" s="137" t="s">
        <v>2060</v>
      </c>
      <c r="F164" s="137">
        <v>2007</v>
      </c>
      <c r="G164" s="129">
        <v>37</v>
      </c>
      <c r="H164" s="129">
        <v>14</v>
      </c>
      <c r="I164" s="129">
        <v>51</v>
      </c>
      <c r="J164" s="137" t="s">
        <v>1509</v>
      </c>
      <c r="K164" s="137">
        <v>7</v>
      </c>
      <c r="L164" s="137" t="s">
        <v>2061</v>
      </c>
      <c r="M164" s="137" t="s">
        <v>2062</v>
      </c>
      <c r="N164" s="137" t="s">
        <v>2063</v>
      </c>
      <c r="O164" s="137">
        <v>572</v>
      </c>
      <c r="P164" s="137">
        <v>127</v>
      </c>
      <c r="Q164" s="137">
        <v>103</v>
      </c>
      <c r="R164" s="137">
        <v>241</v>
      </c>
      <c r="S164" s="137">
        <v>55</v>
      </c>
      <c r="T164" s="137">
        <v>70</v>
      </c>
      <c r="U164" s="121">
        <f t="shared" si="12"/>
        <v>596</v>
      </c>
      <c r="V164" s="122" t="str">
        <f t="shared" si="13"/>
        <v>MADYA</v>
      </c>
    </row>
    <row r="165" spans="1:22" x14ac:dyDescent="0.35">
      <c r="A165" s="118">
        <v>164</v>
      </c>
      <c r="B165" s="128" t="s">
        <v>0</v>
      </c>
      <c r="C165" s="128" t="s">
        <v>188</v>
      </c>
      <c r="D165" s="137" t="s">
        <v>1933</v>
      </c>
      <c r="E165" s="137" t="s">
        <v>2064</v>
      </c>
      <c r="F165" s="137">
        <v>2007</v>
      </c>
      <c r="G165" s="129">
        <v>88</v>
      </c>
      <c r="H165" s="129">
        <v>21</v>
      </c>
      <c r="I165" s="129">
        <v>109</v>
      </c>
      <c r="J165" s="137" t="s">
        <v>1509</v>
      </c>
      <c r="K165" s="137">
        <v>13</v>
      </c>
      <c r="L165" s="137" t="s">
        <v>2065</v>
      </c>
      <c r="M165" s="137" t="s">
        <v>2066</v>
      </c>
      <c r="N165" s="137" t="s">
        <v>2067</v>
      </c>
      <c r="O165" s="137">
        <v>403</v>
      </c>
      <c r="P165" s="137">
        <v>93</v>
      </c>
      <c r="Q165" s="137">
        <v>75</v>
      </c>
      <c r="R165" s="137">
        <v>158</v>
      </c>
      <c r="S165" s="137">
        <v>38</v>
      </c>
      <c r="T165" s="137">
        <v>48</v>
      </c>
      <c r="U165" s="121">
        <f t="shared" si="12"/>
        <v>412</v>
      </c>
      <c r="V165" s="122" t="str">
        <f t="shared" si="13"/>
        <v>LANJUT</v>
      </c>
    </row>
    <row r="166" spans="1:22" x14ac:dyDescent="0.35">
      <c r="A166" s="118">
        <v>165</v>
      </c>
      <c r="B166" s="128" t="s">
        <v>0</v>
      </c>
      <c r="C166" s="128" t="s">
        <v>188</v>
      </c>
      <c r="D166" s="137" t="s">
        <v>2068</v>
      </c>
      <c r="E166" s="137" t="s">
        <v>2069</v>
      </c>
      <c r="F166" s="137">
        <v>2007</v>
      </c>
      <c r="G166" s="129">
        <v>138</v>
      </c>
      <c r="H166" s="129">
        <v>29</v>
      </c>
      <c r="I166" s="129">
        <v>167</v>
      </c>
      <c r="J166" s="137" t="s">
        <v>1509</v>
      </c>
      <c r="K166" s="137">
        <v>21</v>
      </c>
      <c r="L166" s="137" t="s">
        <v>2070</v>
      </c>
      <c r="M166" s="137" t="s">
        <v>2071</v>
      </c>
      <c r="N166" s="137" t="s">
        <v>2072</v>
      </c>
      <c r="O166" s="137">
        <v>621</v>
      </c>
      <c r="P166" s="137">
        <v>130</v>
      </c>
      <c r="Q166" s="137">
        <v>108</v>
      </c>
      <c r="R166" s="137">
        <v>255</v>
      </c>
      <c r="S166" s="137">
        <v>68</v>
      </c>
      <c r="T166" s="137">
        <v>69</v>
      </c>
      <c r="U166" s="121">
        <f t="shared" si="12"/>
        <v>630</v>
      </c>
      <c r="V166" s="122" t="str">
        <f t="shared" si="13"/>
        <v>MADYA</v>
      </c>
    </row>
    <row r="167" spans="1:22" x14ac:dyDescent="0.35">
      <c r="A167" s="118">
        <v>166</v>
      </c>
      <c r="B167" s="128" t="s">
        <v>0</v>
      </c>
      <c r="C167" s="128" t="s">
        <v>180</v>
      </c>
      <c r="D167" s="128" t="s">
        <v>2073</v>
      </c>
      <c r="E167" s="128" t="s">
        <v>26</v>
      </c>
      <c r="F167" s="128">
        <v>1985</v>
      </c>
      <c r="G167" s="122">
        <v>75</v>
      </c>
      <c r="H167" s="122">
        <v>26</v>
      </c>
      <c r="I167" s="128">
        <f t="shared" ref="I167:I178" si="14">SUM(G167:H167)</f>
        <v>101</v>
      </c>
      <c r="J167" s="128" t="s">
        <v>1509</v>
      </c>
      <c r="K167" s="128">
        <v>10</v>
      </c>
      <c r="L167" s="128" t="s">
        <v>2074</v>
      </c>
      <c r="M167" s="128" t="s">
        <v>1678</v>
      </c>
      <c r="N167" s="128" t="s">
        <v>2075</v>
      </c>
      <c r="O167" s="128">
        <v>638</v>
      </c>
      <c r="P167" s="128">
        <v>125</v>
      </c>
      <c r="Q167" s="128">
        <v>115</v>
      </c>
      <c r="R167" s="128">
        <v>270</v>
      </c>
      <c r="S167" s="128">
        <v>70</v>
      </c>
      <c r="T167" s="128">
        <v>72</v>
      </c>
      <c r="U167" s="121">
        <f t="shared" si="12"/>
        <v>652</v>
      </c>
      <c r="V167" s="122" t="str">
        <f t="shared" si="13"/>
        <v>MADYA</v>
      </c>
    </row>
    <row r="168" spans="1:22" x14ac:dyDescent="0.35">
      <c r="A168" s="118">
        <v>167</v>
      </c>
      <c r="B168" s="128" t="s">
        <v>0</v>
      </c>
      <c r="C168" s="128" t="s">
        <v>180</v>
      </c>
      <c r="D168" s="128" t="s">
        <v>2076</v>
      </c>
      <c r="E168" s="128" t="s">
        <v>44</v>
      </c>
      <c r="F168" s="128">
        <v>1985</v>
      </c>
      <c r="G168" s="122">
        <v>55</v>
      </c>
      <c r="H168" s="122">
        <v>13</v>
      </c>
      <c r="I168" s="128">
        <f t="shared" si="14"/>
        <v>68</v>
      </c>
      <c r="J168" s="128" t="s">
        <v>1509</v>
      </c>
      <c r="K168" s="128">
        <v>11</v>
      </c>
      <c r="L168" s="128" t="s">
        <v>2077</v>
      </c>
      <c r="M168" s="128" t="s">
        <v>2078</v>
      </c>
      <c r="N168" s="128" t="s">
        <v>2079</v>
      </c>
      <c r="O168" s="128">
        <v>573</v>
      </c>
      <c r="P168" s="128">
        <v>120</v>
      </c>
      <c r="Q168" s="128">
        <v>112</v>
      </c>
      <c r="R168" s="128">
        <v>239</v>
      </c>
      <c r="S168" s="128">
        <v>52</v>
      </c>
      <c r="T168" s="128">
        <v>65</v>
      </c>
      <c r="U168" s="121">
        <f t="shared" si="12"/>
        <v>588</v>
      </c>
      <c r="V168" s="122" t="str">
        <f t="shared" si="13"/>
        <v>MADYA</v>
      </c>
    </row>
    <row r="169" spans="1:22" x14ac:dyDescent="0.35">
      <c r="A169" s="118">
        <v>168</v>
      </c>
      <c r="B169" s="128" t="s">
        <v>0</v>
      </c>
      <c r="C169" s="128" t="s">
        <v>180</v>
      </c>
      <c r="D169" s="128" t="s">
        <v>1090</v>
      </c>
      <c r="E169" s="128" t="s">
        <v>62</v>
      </c>
      <c r="F169" s="128">
        <v>1987</v>
      </c>
      <c r="G169" s="122">
        <v>71</v>
      </c>
      <c r="H169" s="122">
        <v>12</v>
      </c>
      <c r="I169" s="128">
        <f t="shared" si="14"/>
        <v>83</v>
      </c>
      <c r="J169" s="128" t="s">
        <v>1509</v>
      </c>
      <c r="K169" s="128">
        <v>12</v>
      </c>
      <c r="L169" s="128" t="s">
        <v>2080</v>
      </c>
      <c r="M169" s="128" t="s">
        <v>2081</v>
      </c>
      <c r="N169" s="128" t="s">
        <v>2082</v>
      </c>
      <c r="O169" s="128">
        <v>545</v>
      </c>
      <c r="P169" s="128">
        <v>115</v>
      </c>
      <c r="Q169" s="128">
        <v>105</v>
      </c>
      <c r="R169" s="128">
        <v>215</v>
      </c>
      <c r="S169" s="128">
        <v>50</v>
      </c>
      <c r="T169" s="128">
        <v>60</v>
      </c>
      <c r="U169" s="121">
        <f t="shared" si="12"/>
        <v>545</v>
      </c>
      <c r="V169" s="122" t="str">
        <f t="shared" si="13"/>
        <v>MADYA</v>
      </c>
    </row>
    <row r="170" spans="1:22" x14ac:dyDescent="0.35">
      <c r="A170" s="118">
        <v>169</v>
      </c>
      <c r="B170" s="128" t="s">
        <v>0</v>
      </c>
      <c r="C170" s="128" t="s">
        <v>180</v>
      </c>
      <c r="D170" s="128" t="s">
        <v>2083</v>
      </c>
      <c r="E170" s="128" t="s">
        <v>79</v>
      </c>
      <c r="F170" s="128">
        <v>1987</v>
      </c>
      <c r="G170" s="122">
        <v>79</v>
      </c>
      <c r="H170" s="122">
        <v>22</v>
      </c>
      <c r="I170" s="128">
        <f t="shared" si="14"/>
        <v>101</v>
      </c>
      <c r="J170" s="128" t="s">
        <v>1509</v>
      </c>
      <c r="K170" s="128">
        <v>16</v>
      </c>
      <c r="L170" s="128" t="s">
        <v>2084</v>
      </c>
      <c r="M170" s="128" t="s">
        <v>2085</v>
      </c>
      <c r="N170" s="128" t="s">
        <v>2086</v>
      </c>
      <c r="O170" s="128">
        <v>550</v>
      </c>
      <c r="P170" s="128">
        <v>120</v>
      </c>
      <c r="Q170" s="128">
        <v>112</v>
      </c>
      <c r="R170" s="128">
        <v>217</v>
      </c>
      <c r="S170" s="128">
        <v>55</v>
      </c>
      <c r="T170" s="128">
        <v>62</v>
      </c>
      <c r="U170" s="121">
        <f t="shared" si="12"/>
        <v>566</v>
      </c>
      <c r="V170" s="122" t="str">
        <f t="shared" si="13"/>
        <v>MADYA</v>
      </c>
    </row>
    <row r="171" spans="1:22" x14ac:dyDescent="0.35">
      <c r="A171" s="118">
        <v>170</v>
      </c>
      <c r="B171" s="128" t="s">
        <v>0</v>
      </c>
      <c r="C171" s="128" t="s">
        <v>180</v>
      </c>
      <c r="D171" s="128" t="s">
        <v>2087</v>
      </c>
      <c r="E171" s="128" t="s">
        <v>8</v>
      </c>
      <c r="F171" s="128">
        <v>2011</v>
      </c>
      <c r="G171" s="122">
        <v>0</v>
      </c>
      <c r="H171" s="122">
        <v>44</v>
      </c>
      <c r="I171" s="128">
        <f t="shared" si="14"/>
        <v>44</v>
      </c>
      <c r="J171" s="128" t="s">
        <v>2088</v>
      </c>
      <c r="K171" s="128"/>
      <c r="L171" s="128" t="s">
        <v>2089</v>
      </c>
      <c r="M171" s="128" t="s">
        <v>2090</v>
      </c>
      <c r="N171" s="128" t="s">
        <v>2091</v>
      </c>
      <c r="O171" s="128">
        <v>610</v>
      </c>
      <c r="P171" s="128">
        <v>125</v>
      </c>
      <c r="Q171" s="128">
        <v>116</v>
      </c>
      <c r="R171" s="128">
        <v>245</v>
      </c>
      <c r="S171" s="128">
        <v>65</v>
      </c>
      <c r="T171" s="128">
        <v>65</v>
      </c>
      <c r="U171" s="121">
        <f t="shared" si="12"/>
        <v>616</v>
      </c>
      <c r="V171" s="122" t="str">
        <f t="shared" si="13"/>
        <v>MADYA</v>
      </c>
    </row>
    <row r="172" spans="1:22" x14ac:dyDescent="0.35">
      <c r="A172" s="118">
        <v>171</v>
      </c>
      <c r="B172" s="128" t="s">
        <v>0</v>
      </c>
      <c r="C172" s="128" t="s">
        <v>190</v>
      </c>
      <c r="D172" s="128" t="s">
        <v>2092</v>
      </c>
      <c r="E172" s="128" t="s">
        <v>36</v>
      </c>
      <c r="F172" s="128">
        <v>1993</v>
      </c>
      <c r="G172" s="122">
        <v>50</v>
      </c>
      <c r="H172" s="122">
        <v>10</v>
      </c>
      <c r="I172" s="128">
        <f t="shared" si="14"/>
        <v>60</v>
      </c>
      <c r="J172" s="128" t="s">
        <v>1509</v>
      </c>
      <c r="K172" s="128">
        <v>12</v>
      </c>
      <c r="L172" s="128" t="s">
        <v>2093</v>
      </c>
      <c r="M172" s="128" t="s">
        <v>2094</v>
      </c>
      <c r="N172" s="128" t="s">
        <v>1682</v>
      </c>
      <c r="O172" s="128">
        <v>630</v>
      </c>
      <c r="P172" s="128">
        <v>122</v>
      </c>
      <c r="Q172" s="128">
        <v>115</v>
      </c>
      <c r="R172" s="128">
        <v>255</v>
      </c>
      <c r="S172" s="128">
        <v>65</v>
      </c>
      <c r="T172" s="128">
        <v>73</v>
      </c>
      <c r="U172" s="121">
        <f t="shared" si="12"/>
        <v>630</v>
      </c>
      <c r="V172" s="122" t="str">
        <f t="shared" si="13"/>
        <v>MADYA</v>
      </c>
    </row>
    <row r="173" spans="1:22" x14ac:dyDescent="0.35">
      <c r="A173" s="118">
        <v>172</v>
      </c>
      <c r="B173" s="128" t="s">
        <v>0</v>
      </c>
      <c r="C173" s="128" t="s">
        <v>190</v>
      </c>
      <c r="D173" s="128" t="s">
        <v>2095</v>
      </c>
      <c r="E173" s="128" t="s">
        <v>54</v>
      </c>
      <c r="F173" s="128">
        <v>1993</v>
      </c>
      <c r="G173" s="122">
        <v>75</v>
      </c>
      <c r="H173" s="122">
        <v>22</v>
      </c>
      <c r="I173" s="128">
        <f t="shared" si="14"/>
        <v>97</v>
      </c>
      <c r="J173" s="128" t="s">
        <v>1509</v>
      </c>
      <c r="K173" s="128">
        <v>11</v>
      </c>
      <c r="L173" s="128" t="s">
        <v>2096</v>
      </c>
      <c r="M173" s="128" t="s">
        <v>2097</v>
      </c>
      <c r="N173" s="128" t="s">
        <v>2098</v>
      </c>
      <c r="O173" s="128">
        <v>605</v>
      </c>
      <c r="P173" s="128">
        <v>115</v>
      </c>
      <c r="Q173" s="128">
        <v>110</v>
      </c>
      <c r="R173" s="128">
        <v>250</v>
      </c>
      <c r="S173" s="128">
        <v>65</v>
      </c>
      <c r="T173" s="128">
        <v>65</v>
      </c>
      <c r="U173" s="121">
        <f t="shared" si="12"/>
        <v>605</v>
      </c>
      <c r="V173" s="122" t="str">
        <f t="shared" si="13"/>
        <v>MADYA</v>
      </c>
    </row>
    <row r="174" spans="1:22" x14ac:dyDescent="0.35">
      <c r="A174" s="118">
        <v>173</v>
      </c>
      <c r="B174" s="128" t="s">
        <v>0</v>
      </c>
      <c r="C174" s="128" t="s">
        <v>190</v>
      </c>
      <c r="D174" s="128" t="s">
        <v>2003</v>
      </c>
      <c r="E174" s="128" t="s">
        <v>72</v>
      </c>
      <c r="F174" s="128">
        <v>1993</v>
      </c>
      <c r="G174" s="122">
        <v>57</v>
      </c>
      <c r="H174" s="122">
        <v>5</v>
      </c>
      <c r="I174" s="128">
        <f t="shared" si="14"/>
        <v>62</v>
      </c>
      <c r="J174" s="128" t="s">
        <v>1509</v>
      </c>
      <c r="K174" s="128">
        <v>9</v>
      </c>
      <c r="L174" s="128" t="s">
        <v>2099</v>
      </c>
      <c r="M174" s="128" t="s">
        <v>2100</v>
      </c>
      <c r="N174" s="128" t="s">
        <v>1926</v>
      </c>
      <c r="O174" s="128">
        <v>560</v>
      </c>
      <c r="P174" s="128">
        <v>105</v>
      </c>
      <c r="Q174" s="128">
        <v>105</v>
      </c>
      <c r="R174" s="128">
        <v>242</v>
      </c>
      <c r="S174" s="128">
        <v>55</v>
      </c>
      <c r="T174" s="128">
        <v>62</v>
      </c>
      <c r="U174" s="121">
        <f t="shared" si="12"/>
        <v>569</v>
      </c>
      <c r="V174" s="122" t="str">
        <f t="shared" si="13"/>
        <v>MADYA</v>
      </c>
    </row>
    <row r="175" spans="1:22" x14ac:dyDescent="0.35">
      <c r="A175" s="118">
        <v>174</v>
      </c>
      <c r="B175" s="128" t="s">
        <v>0</v>
      </c>
      <c r="C175" s="128" t="s">
        <v>190</v>
      </c>
      <c r="D175" s="128" t="s">
        <v>2101</v>
      </c>
      <c r="E175" s="128" t="s">
        <v>88</v>
      </c>
      <c r="F175" s="128">
        <v>1993</v>
      </c>
      <c r="G175" s="122">
        <v>41</v>
      </c>
      <c r="H175" s="122">
        <v>18</v>
      </c>
      <c r="I175" s="128">
        <f t="shared" si="14"/>
        <v>59</v>
      </c>
      <c r="J175" s="128" t="s">
        <v>2102</v>
      </c>
      <c r="K175" s="128">
        <v>8</v>
      </c>
      <c r="L175" s="128" t="s">
        <v>2103</v>
      </c>
      <c r="M175" s="128" t="s">
        <v>2104</v>
      </c>
      <c r="N175" s="128" t="s">
        <v>2105</v>
      </c>
      <c r="O175" s="128">
        <v>610</v>
      </c>
      <c r="P175" s="128">
        <v>120</v>
      </c>
      <c r="Q175" s="128">
        <v>110</v>
      </c>
      <c r="R175" s="128">
        <v>260</v>
      </c>
      <c r="S175" s="128">
        <v>60</v>
      </c>
      <c r="T175" s="128">
        <v>60</v>
      </c>
      <c r="U175" s="121">
        <f t="shared" si="12"/>
        <v>610</v>
      </c>
      <c r="V175" s="122" t="str">
        <f t="shared" si="13"/>
        <v>MADYA</v>
      </c>
    </row>
    <row r="176" spans="1:22" x14ac:dyDescent="0.35">
      <c r="A176" s="118">
        <v>175</v>
      </c>
      <c r="B176" s="128" t="s">
        <v>0</v>
      </c>
      <c r="C176" s="128" t="s">
        <v>190</v>
      </c>
      <c r="D176" s="128" t="s">
        <v>1517</v>
      </c>
      <c r="E176" s="128" t="s">
        <v>102</v>
      </c>
      <c r="F176" s="128">
        <v>2005</v>
      </c>
      <c r="G176" s="122">
        <v>28</v>
      </c>
      <c r="H176" s="122">
        <v>8</v>
      </c>
      <c r="I176" s="128">
        <f t="shared" si="14"/>
        <v>36</v>
      </c>
      <c r="J176" s="128" t="s">
        <v>1509</v>
      </c>
      <c r="K176" s="128">
        <v>7</v>
      </c>
      <c r="L176" s="128" t="s">
        <v>2106</v>
      </c>
      <c r="M176" s="128" t="s">
        <v>2107</v>
      </c>
      <c r="N176" s="128" t="s">
        <v>1709</v>
      </c>
      <c r="O176" s="128">
        <v>590</v>
      </c>
      <c r="P176" s="128">
        <v>120</v>
      </c>
      <c r="Q176" s="128">
        <v>110</v>
      </c>
      <c r="R176" s="128">
        <v>243</v>
      </c>
      <c r="S176" s="128">
        <v>60</v>
      </c>
      <c r="T176" s="128">
        <v>60</v>
      </c>
      <c r="U176" s="121">
        <f t="shared" si="12"/>
        <v>593</v>
      </c>
      <c r="V176" s="122" t="str">
        <f t="shared" si="13"/>
        <v>MADYA</v>
      </c>
    </row>
    <row r="177" spans="1:22" x14ac:dyDescent="0.35">
      <c r="A177" s="118">
        <v>176</v>
      </c>
      <c r="B177" s="128" t="s">
        <v>0</v>
      </c>
      <c r="C177" s="128" t="s">
        <v>190</v>
      </c>
      <c r="D177" s="128" t="s">
        <v>2108</v>
      </c>
      <c r="E177" s="128" t="s">
        <v>111</v>
      </c>
      <c r="F177" s="128">
        <v>2005</v>
      </c>
      <c r="G177" s="122">
        <v>43</v>
      </c>
      <c r="H177" s="122">
        <v>9</v>
      </c>
      <c r="I177" s="128">
        <f t="shared" si="14"/>
        <v>52</v>
      </c>
      <c r="J177" s="128" t="s">
        <v>1509</v>
      </c>
      <c r="K177" s="128">
        <v>7</v>
      </c>
      <c r="L177" s="128" t="s">
        <v>2109</v>
      </c>
      <c r="M177" s="128" t="s">
        <v>2110</v>
      </c>
      <c r="N177" s="128" t="s">
        <v>2111</v>
      </c>
      <c r="O177" s="128">
        <v>570</v>
      </c>
      <c r="P177" s="128">
        <v>115</v>
      </c>
      <c r="Q177" s="128">
        <v>105</v>
      </c>
      <c r="R177" s="128">
        <v>235</v>
      </c>
      <c r="S177" s="128">
        <v>60</v>
      </c>
      <c r="T177" s="128">
        <v>60</v>
      </c>
      <c r="U177" s="121">
        <f t="shared" si="12"/>
        <v>575</v>
      </c>
      <c r="V177" s="122" t="str">
        <f t="shared" si="13"/>
        <v>MADYA</v>
      </c>
    </row>
    <row r="178" spans="1:22" x14ac:dyDescent="0.35">
      <c r="A178" s="118">
        <v>177</v>
      </c>
      <c r="B178" s="128" t="s">
        <v>0</v>
      </c>
      <c r="C178" s="128" t="s">
        <v>190</v>
      </c>
      <c r="D178" s="128" t="s">
        <v>2095</v>
      </c>
      <c r="E178" s="128" t="s">
        <v>2112</v>
      </c>
      <c r="F178" s="128">
        <v>2016</v>
      </c>
      <c r="G178" s="122">
        <v>0</v>
      </c>
      <c r="H178" s="122">
        <v>36</v>
      </c>
      <c r="I178" s="128">
        <f t="shared" si="14"/>
        <v>36</v>
      </c>
      <c r="J178" s="128" t="s">
        <v>2088</v>
      </c>
      <c r="K178" s="128"/>
      <c r="L178" s="128" t="s">
        <v>2113</v>
      </c>
      <c r="M178" s="128" t="s">
        <v>2114</v>
      </c>
      <c r="N178" s="128" t="s">
        <v>2115</v>
      </c>
      <c r="O178" s="128">
        <v>540</v>
      </c>
      <c r="P178" s="128">
        <v>120</v>
      </c>
      <c r="Q178" s="128">
        <v>110</v>
      </c>
      <c r="R178" s="128">
        <v>214</v>
      </c>
      <c r="S178" s="128">
        <v>50</v>
      </c>
      <c r="T178" s="128">
        <v>50</v>
      </c>
      <c r="U178" s="121">
        <f t="shared" si="12"/>
        <v>544</v>
      </c>
      <c r="V178" s="122" t="str">
        <f t="shared" si="13"/>
        <v>MADYA</v>
      </c>
    </row>
    <row r="179" spans="1:22" x14ac:dyDescent="0.35">
      <c r="A179" s="118">
        <v>178</v>
      </c>
      <c r="B179" s="128" t="s">
        <v>0</v>
      </c>
      <c r="C179" s="128" t="s">
        <v>187</v>
      </c>
      <c r="D179" s="128" t="s">
        <v>1517</v>
      </c>
      <c r="E179" s="128" t="s">
        <v>33</v>
      </c>
      <c r="F179" s="128">
        <v>1983</v>
      </c>
      <c r="G179" s="128">
        <v>52</v>
      </c>
      <c r="H179" s="128">
        <v>11</v>
      </c>
      <c r="I179" s="128">
        <v>63</v>
      </c>
      <c r="J179" s="128" t="s">
        <v>1509</v>
      </c>
      <c r="K179" s="128">
        <v>9.3000000000000007</v>
      </c>
      <c r="L179" s="128" t="s">
        <v>2117</v>
      </c>
      <c r="M179" s="128" t="s">
        <v>2118</v>
      </c>
      <c r="N179" s="128" t="s">
        <v>2119</v>
      </c>
      <c r="O179" s="128">
        <v>764</v>
      </c>
      <c r="P179" s="128">
        <v>149</v>
      </c>
      <c r="Q179" s="128">
        <v>137</v>
      </c>
      <c r="R179" s="128">
        <v>311</v>
      </c>
      <c r="S179" s="128">
        <v>83</v>
      </c>
      <c r="T179" s="128">
        <v>86</v>
      </c>
      <c r="U179" s="121">
        <f t="shared" si="12"/>
        <v>766</v>
      </c>
      <c r="V179" s="122" t="str">
        <f t="shared" si="13"/>
        <v>UTAMA</v>
      </c>
    </row>
    <row r="180" spans="1:22" x14ac:dyDescent="0.35">
      <c r="A180" s="118">
        <v>179</v>
      </c>
      <c r="B180" s="128" t="s">
        <v>0</v>
      </c>
      <c r="C180" s="128" t="s">
        <v>187</v>
      </c>
      <c r="D180" s="128" t="s">
        <v>2120</v>
      </c>
      <c r="E180" s="128" t="s">
        <v>2121</v>
      </c>
      <c r="F180" s="128">
        <v>1983</v>
      </c>
      <c r="G180" s="128">
        <v>53</v>
      </c>
      <c r="H180" s="128">
        <v>12</v>
      </c>
      <c r="I180" s="128">
        <v>65</v>
      </c>
      <c r="J180" s="128" t="s">
        <v>1509</v>
      </c>
      <c r="K180" s="128">
        <v>9.8000000000000007</v>
      </c>
      <c r="L180" s="128" t="s">
        <v>2122</v>
      </c>
      <c r="M180" s="128" t="s">
        <v>1568</v>
      </c>
      <c r="N180" s="128" t="s">
        <v>2123</v>
      </c>
      <c r="O180" s="128">
        <v>774</v>
      </c>
      <c r="P180" s="128">
        <v>149</v>
      </c>
      <c r="Q180" s="128">
        <v>143</v>
      </c>
      <c r="R180" s="128">
        <v>314</v>
      </c>
      <c r="S180" s="128">
        <v>85</v>
      </c>
      <c r="T180" s="128">
        <v>85</v>
      </c>
      <c r="U180" s="121">
        <f t="shared" si="12"/>
        <v>776</v>
      </c>
      <c r="V180" s="122" t="str">
        <f t="shared" si="13"/>
        <v>UTAMA</v>
      </c>
    </row>
    <row r="181" spans="1:22" x14ac:dyDescent="0.35">
      <c r="A181" s="118">
        <v>180</v>
      </c>
      <c r="B181" s="128" t="s">
        <v>0</v>
      </c>
      <c r="C181" s="128" t="s">
        <v>187</v>
      </c>
      <c r="D181" s="128" t="s">
        <v>2124</v>
      </c>
      <c r="E181" s="128" t="s">
        <v>51</v>
      </c>
      <c r="F181" s="128">
        <v>1983</v>
      </c>
      <c r="G181" s="128">
        <v>43</v>
      </c>
      <c r="H181" s="128">
        <v>12</v>
      </c>
      <c r="I181" s="128">
        <v>55</v>
      </c>
      <c r="J181" s="128" t="s">
        <v>1509</v>
      </c>
      <c r="K181" s="128">
        <v>9.9</v>
      </c>
      <c r="L181" s="128" t="s">
        <v>2125</v>
      </c>
      <c r="M181" s="128" t="s">
        <v>2126</v>
      </c>
      <c r="N181" s="128" t="s">
        <v>2127</v>
      </c>
      <c r="O181" s="128">
        <v>766</v>
      </c>
      <c r="P181" s="128">
        <v>148</v>
      </c>
      <c r="Q181" s="128">
        <v>141</v>
      </c>
      <c r="R181" s="128">
        <v>311</v>
      </c>
      <c r="S181" s="128">
        <v>82</v>
      </c>
      <c r="T181" s="128">
        <v>86</v>
      </c>
      <c r="U181" s="121">
        <f t="shared" si="12"/>
        <v>768</v>
      </c>
      <c r="V181" s="122" t="str">
        <f t="shared" si="13"/>
        <v>UTAMA</v>
      </c>
    </row>
    <row r="182" spans="1:22" x14ac:dyDescent="0.35">
      <c r="A182" s="118">
        <v>181</v>
      </c>
      <c r="B182" s="128" t="s">
        <v>0</v>
      </c>
      <c r="C182" s="128" t="s">
        <v>187</v>
      </c>
      <c r="D182" s="128" t="s">
        <v>2128</v>
      </c>
      <c r="E182" s="128" t="s">
        <v>69</v>
      </c>
      <c r="F182" s="128">
        <v>1983</v>
      </c>
      <c r="G182" s="128">
        <v>61</v>
      </c>
      <c r="H182" s="128">
        <v>15</v>
      </c>
      <c r="I182" s="128">
        <v>76</v>
      </c>
      <c r="J182" s="128" t="s">
        <v>1509</v>
      </c>
      <c r="K182" s="128">
        <v>4</v>
      </c>
      <c r="L182" s="128" t="s">
        <v>2129</v>
      </c>
      <c r="M182" s="128" t="s">
        <v>2130</v>
      </c>
      <c r="N182" s="128" t="s">
        <v>2131</v>
      </c>
      <c r="O182" s="128">
        <v>616</v>
      </c>
      <c r="P182" s="128">
        <v>124</v>
      </c>
      <c r="Q182" s="128">
        <v>114</v>
      </c>
      <c r="R182" s="128">
        <v>233</v>
      </c>
      <c r="S182" s="128">
        <v>71</v>
      </c>
      <c r="T182" s="128">
        <v>78</v>
      </c>
      <c r="U182" s="121">
        <f t="shared" si="12"/>
        <v>620</v>
      </c>
      <c r="V182" s="122" t="str">
        <f t="shared" si="13"/>
        <v>MADYA</v>
      </c>
    </row>
    <row r="183" spans="1:22" x14ac:dyDescent="0.35">
      <c r="A183" s="118">
        <v>182</v>
      </c>
      <c r="B183" s="128" t="s">
        <v>0</v>
      </c>
      <c r="C183" s="128" t="s">
        <v>187</v>
      </c>
      <c r="D183" s="128" t="s">
        <v>2132</v>
      </c>
      <c r="E183" s="128" t="s">
        <v>85</v>
      </c>
      <c r="F183" s="128">
        <v>1984</v>
      </c>
      <c r="G183" s="128">
        <v>22</v>
      </c>
      <c r="H183" s="128">
        <v>4</v>
      </c>
      <c r="I183" s="128">
        <v>26</v>
      </c>
      <c r="J183" s="128" t="s">
        <v>1509</v>
      </c>
      <c r="K183" s="128">
        <v>1</v>
      </c>
      <c r="L183" s="128" t="s">
        <v>2133</v>
      </c>
      <c r="M183" s="128" t="s">
        <v>2134</v>
      </c>
      <c r="N183" s="128" t="s">
        <v>2135</v>
      </c>
      <c r="O183" s="128">
        <v>531</v>
      </c>
      <c r="P183" s="128">
        <v>111</v>
      </c>
      <c r="Q183" s="128">
        <v>96</v>
      </c>
      <c r="R183" s="128">
        <v>203</v>
      </c>
      <c r="S183" s="128">
        <v>45</v>
      </c>
      <c r="T183" s="128">
        <v>77</v>
      </c>
      <c r="U183" s="121">
        <f t="shared" si="12"/>
        <v>532</v>
      </c>
      <c r="V183" s="122" t="str">
        <f t="shared" si="13"/>
        <v>MADYA</v>
      </c>
    </row>
    <row r="184" spans="1:22" x14ac:dyDescent="0.35">
      <c r="A184" s="118">
        <v>183</v>
      </c>
      <c r="B184" s="128" t="s">
        <v>0</v>
      </c>
      <c r="C184" s="128" t="s">
        <v>187</v>
      </c>
      <c r="D184" s="128" t="s">
        <v>2124</v>
      </c>
      <c r="E184" s="128" t="s">
        <v>10</v>
      </c>
      <c r="F184" s="128">
        <v>2013</v>
      </c>
      <c r="G184" s="128">
        <v>0</v>
      </c>
      <c r="H184" s="128">
        <v>15</v>
      </c>
      <c r="I184" s="128">
        <v>15</v>
      </c>
      <c r="J184" s="128" t="s">
        <v>2136</v>
      </c>
      <c r="K184" s="128">
        <v>0</v>
      </c>
      <c r="L184" s="128" t="s">
        <v>667</v>
      </c>
      <c r="M184" s="128" t="s">
        <v>2137</v>
      </c>
      <c r="N184" s="128" t="s">
        <v>2138</v>
      </c>
      <c r="O184" s="128">
        <v>758</v>
      </c>
      <c r="P184" s="128">
        <v>144</v>
      </c>
      <c r="Q184" s="128">
        <v>141</v>
      </c>
      <c r="R184" s="128">
        <v>310</v>
      </c>
      <c r="S184" s="128">
        <v>83</v>
      </c>
      <c r="T184" s="128">
        <v>83</v>
      </c>
      <c r="U184" s="121">
        <f t="shared" si="12"/>
        <v>761</v>
      </c>
      <c r="V184" s="122" t="str">
        <f t="shared" si="13"/>
        <v>UTAMA</v>
      </c>
    </row>
    <row r="185" spans="1:22" x14ac:dyDescent="0.35">
      <c r="A185" s="118">
        <v>184</v>
      </c>
      <c r="B185" s="128" t="s">
        <v>0</v>
      </c>
      <c r="C185" s="128" t="s">
        <v>176</v>
      </c>
      <c r="D185" s="128" t="s">
        <v>1517</v>
      </c>
      <c r="E185" s="128" t="s">
        <v>41</v>
      </c>
      <c r="F185" s="128">
        <v>1990</v>
      </c>
      <c r="G185" s="128">
        <v>12</v>
      </c>
      <c r="H185" s="128">
        <v>14</v>
      </c>
      <c r="I185" s="128">
        <v>26</v>
      </c>
      <c r="J185" s="128" t="s">
        <v>1509</v>
      </c>
      <c r="K185" s="128">
        <v>7</v>
      </c>
      <c r="L185" s="128" t="s">
        <v>2139</v>
      </c>
      <c r="M185" s="128" t="s">
        <v>2140</v>
      </c>
      <c r="N185" s="128" t="s">
        <v>1536</v>
      </c>
      <c r="O185" s="128">
        <v>542</v>
      </c>
      <c r="P185" s="128">
        <v>117</v>
      </c>
      <c r="Q185" s="128">
        <v>100</v>
      </c>
      <c r="R185" s="128">
        <v>218</v>
      </c>
      <c r="S185" s="128">
        <v>55</v>
      </c>
      <c r="T185" s="128">
        <v>60</v>
      </c>
      <c r="U185" s="121">
        <f t="shared" si="12"/>
        <v>550</v>
      </c>
      <c r="V185" s="122" t="str">
        <f t="shared" si="13"/>
        <v>MADYA</v>
      </c>
    </row>
    <row r="186" spans="1:22" x14ac:dyDescent="0.35">
      <c r="A186" s="118">
        <v>185</v>
      </c>
      <c r="B186" s="128" t="s">
        <v>0</v>
      </c>
      <c r="C186" s="128" t="s">
        <v>176</v>
      </c>
      <c r="D186" s="128" t="s">
        <v>503</v>
      </c>
      <c r="E186" s="128" t="s">
        <v>59</v>
      </c>
      <c r="F186" s="128">
        <v>1990</v>
      </c>
      <c r="G186" s="128">
        <v>82</v>
      </c>
      <c r="H186" s="128">
        <v>49</v>
      </c>
      <c r="I186" s="128">
        <v>131</v>
      </c>
      <c r="J186" s="128" t="s">
        <v>1509</v>
      </c>
      <c r="K186" s="128">
        <v>19</v>
      </c>
      <c r="L186" s="128" t="s">
        <v>1514</v>
      </c>
      <c r="M186" s="128" t="s">
        <v>1770</v>
      </c>
      <c r="N186" s="128" t="s">
        <v>1647</v>
      </c>
      <c r="O186" s="128">
        <v>547</v>
      </c>
      <c r="P186" s="128">
        <v>117</v>
      </c>
      <c r="Q186" s="128">
        <v>103</v>
      </c>
      <c r="R186" s="128">
        <v>219</v>
      </c>
      <c r="S186" s="128">
        <v>57</v>
      </c>
      <c r="T186" s="128">
        <v>60</v>
      </c>
      <c r="U186" s="121">
        <f t="shared" si="12"/>
        <v>556</v>
      </c>
      <c r="V186" s="122" t="str">
        <f t="shared" si="13"/>
        <v>MADYA</v>
      </c>
    </row>
    <row r="187" spans="1:22" x14ac:dyDescent="0.35">
      <c r="A187" s="118">
        <v>186</v>
      </c>
      <c r="B187" s="128" t="s">
        <v>0</v>
      </c>
      <c r="C187" s="128" t="s">
        <v>176</v>
      </c>
      <c r="D187" s="128" t="s">
        <v>2141</v>
      </c>
      <c r="E187" s="128" t="s">
        <v>77</v>
      </c>
      <c r="F187" s="128">
        <v>1990</v>
      </c>
      <c r="G187" s="128">
        <v>37</v>
      </c>
      <c r="H187" s="128">
        <v>10</v>
      </c>
      <c r="I187" s="128">
        <v>47</v>
      </c>
      <c r="J187" s="128" t="s">
        <v>1509</v>
      </c>
      <c r="K187" s="128">
        <v>19</v>
      </c>
      <c r="L187" s="128" t="s">
        <v>2142</v>
      </c>
      <c r="M187" s="128" t="s">
        <v>2143</v>
      </c>
      <c r="N187" s="128" t="s">
        <v>2144</v>
      </c>
      <c r="O187" s="128">
        <v>545</v>
      </c>
      <c r="P187" s="128">
        <v>118</v>
      </c>
      <c r="Q187" s="128">
        <v>100</v>
      </c>
      <c r="R187" s="128">
        <v>219</v>
      </c>
      <c r="S187" s="128">
        <v>58</v>
      </c>
      <c r="T187" s="128">
        <v>59</v>
      </c>
      <c r="U187" s="121">
        <f t="shared" si="12"/>
        <v>554</v>
      </c>
      <c r="V187" s="122" t="str">
        <f t="shared" si="13"/>
        <v>MADYA</v>
      </c>
    </row>
    <row r="188" spans="1:22" x14ac:dyDescent="0.35">
      <c r="A188" s="118">
        <v>187</v>
      </c>
      <c r="B188" s="128" t="s">
        <v>0</v>
      </c>
      <c r="C188" s="128" t="s">
        <v>176</v>
      </c>
      <c r="D188" s="128" t="s">
        <v>2145</v>
      </c>
      <c r="E188" s="128" t="s">
        <v>92</v>
      </c>
      <c r="F188" s="128">
        <v>2007</v>
      </c>
      <c r="G188" s="128">
        <v>52</v>
      </c>
      <c r="H188" s="128">
        <v>28</v>
      </c>
      <c r="I188" s="128">
        <v>80</v>
      </c>
      <c r="J188" s="128" t="s">
        <v>1509</v>
      </c>
      <c r="K188" s="128">
        <v>19</v>
      </c>
      <c r="L188" s="128" t="s">
        <v>2146</v>
      </c>
      <c r="M188" s="128" t="s">
        <v>2147</v>
      </c>
      <c r="N188" s="128" t="s">
        <v>1757</v>
      </c>
      <c r="O188" s="128">
        <v>540</v>
      </c>
      <c r="P188" s="128">
        <v>118</v>
      </c>
      <c r="Q188" s="128">
        <v>100</v>
      </c>
      <c r="R188" s="128">
        <v>217</v>
      </c>
      <c r="S188" s="128">
        <v>55</v>
      </c>
      <c r="T188" s="128">
        <v>58</v>
      </c>
      <c r="U188" s="121">
        <f t="shared" si="12"/>
        <v>548</v>
      </c>
      <c r="V188" s="122" t="str">
        <f t="shared" si="13"/>
        <v>MADYA</v>
      </c>
    </row>
    <row r="189" spans="1:22" x14ac:dyDescent="0.35">
      <c r="A189" s="118">
        <v>188</v>
      </c>
      <c r="B189" s="128" t="s">
        <v>0</v>
      </c>
      <c r="C189" s="128" t="s">
        <v>176</v>
      </c>
      <c r="D189" s="128" t="s">
        <v>2148</v>
      </c>
      <c r="E189" s="128" t="s">
        <v>105</v>
      </c>
      <c r="F189" s="128">
        <v>2007</v>
      </c>
      <c r="G189" s="128">
        <v>63</v>
      </c>
      <c r="H189" s="128">
        <v>31</v>
      </c>
      <c r="I189" s="128">
        <v>94</v>
      </c>
      <c r="J189" s="128" t="s">
        <v>1509</v>
      </c>
      <c r="K189" s="128">
        <v>9</v>
      </c>
      <c r="L189" s="128" t="s">
        <v>2149</v>
      </c>
      <c r="M189" s="128" t="s">
        <v>1615</v>
      </c>
      <c r="N189" s="128" t="s">
        <v>2150</v>
      </c>
      <c r="O189" s="128">
        <v>532</v>
      </c>
      <c r="P189" s="128">
        <v>116</v>
      </c>
      <c r="Q189" s="128">
        <v>95</v>
      </c>
      <c r="R189" s="128">
        <v>217</v>
      </c>
      <c r="S189" s="128">
        <v>53</v>
      </c>
      <c r="T189" s="128">
        <v>57</v>
      </c>
      <c r="U189" s="121">
        <f t="shared" si="12"/>
        <v>538</v>
      </c>
      <c r="V189" s="122" t="str">
        <f t="shared" si="13"/>
        <v>MADYA</v>
      </c>
    </row>
    <row r="190" spans="1:22" x14ac:dyDescent="0.35">
      <c r="A190" s="118">
        <v>189</v>
      </c>
      <c r="B190" s="128" t="s">
        <v>0</v>
      </c>
      <c r="C190" s="128" t="s">
        <v>176</v>
      </c>
      <c r="D190" s="128" t="s">
        <v>1595</v>
      </c>
      <c r="E190" s="128" t="s">
        <v>92</v>
      </c>
      <c r="F190" s="128">
        <v>2007</v>
      </c>
      <c r="G190" s="128">
        <v>30</v>
      </c>
      <c r="H190" s="128">
        <v>25</v>
      </c>
      <c r="I190" s="128">
        <v>55</v>
      </c>
      <c r="J190" s="128" t="s">
        <v>1509</v>
      </c>
      <c r="K190" s="128">
        <v>7</v>
      </c>
      <c r="L190" s="128" t="s">
        <v>2151</v>
      </c>
      <c r="M190" s="128" t="s">
        <v>2152</v>
      </c>
      <c r="N190" s="128" t="s">
        <v>2153</v>
      </c>
      <c r="O190" s="128">
        <v>532</v>
      </c>
      <c r="P190" s="128">
        <v>116</v>
      </c>
      <c r="Q190" s="128">
        <v>95</v>
      </c>
      <c r="R190" s="128">
        <v>218</v>
      </c>
      <c r="S190" s="128">
        <v>53</v>
      </c>
      <c r="T190" s="128">
        <v>57</v>
      </c>
      <c r="U190" s="121">
        <f t="shared" si="12"/>
        <v>539</v>
      </c>
      <c r="V190" s="122" t="str">
        <f t="shared" si="13"/>
        <v>MADYA</v>
      </c>
    </row>
    <row r="191" spans="1:22" x14ac:dyDescent="0.35">
      <c r="A191" s="118">
        <v>190</v>
      </c>
      <c r="B191" s="128" t="s">
        <v>0</v>
      </c>
      <c r="C191" s="128" t="s">
        <v>176</v>
      </c>
      <c r="D191" s="128" t="s">
        <v>2145</v>
      </c>
      <c r="E191" s="128" t="s">
        <v>2154</v>
      </c>
      <c r="F191" s="128">
        <v>2013</v>
      </c>
      <c r="G191" s="128">
        <v>0</v>
      </c>
      <c r="H191" s="128">
        <v>22</v>
      </c>
      <c r="I191" s="128">
        <v>22</v>
      </c>
      <c r="J191" s="128" t="s">
        <v>2136</v>
      </c>
      <c r="K191" s="128">
        <v>0</v>
      </c>
      <c r="L191" s="128" t="s">
        <v>2155</v>
      </c>
      <c r="M191" s="128" t="s">
        <v>2156</v>
      </c>
      <c r="N191" s="128" t="s">
        <v>2157</v>
      </c>
      <c r="O191" s="128">
        <v>313</v>
      </c>
      <c r="P191" s="128">
        <v>82</v>
      </c>
      <c r="Q191" s="128">
        <v>62</v>
      </c>
      <c r="R191" s="128">
        <v>128</v>
      </c>
      <c r="S191" s="128">
        <v>15</v>
      </c>
      <c r="T191" s="128">
        <v>34</v>
      </c>
      <c r="U191" s="121">
        <f t="shared" si="12"/>
        <v>321</v>
      </c>
      <c r="V191" s="122" t="str">
        <f t="shared" si="13"/>
        <v>LANJUT</v>
      </c>
    </row>
    <row r="192" spans="1:22" x14ac:dyDescent="0.35">
      <c r="A192" s="118">
        <v>191</v>
      </c>
      <c r="B192" s="128" t="s">
        <v>0</v>
      </c>
      <c r="C192" s="128" t="s">
        <v>176</v>
      </c>
      <c r="D192" s="128" t="s">
        <v>2141</v>
      </c>
      <c r="E192" s="128" t="s">
        <v>2158</v>
      </c>
      <c r="F192" s="128">
        <v>2013</v>
      </c>
      <c r="G192" s="128">
        <v>0</v>
      </c>
      <c r="H192" s="128">
        <v>19</v>
      </c>
      <c r="I192" s="128">
        <v>19</v>
      </c>
      <c r="J192" s="128" t="s">
        <v>2136</v>
      </c>
      <c r="K192" s="128">
        <v>0</v>
      </c>
      <c r="L192" s="128" t="s">
        <v>2159</v>
      </c>
      <c r="M192" s="128" t="s">
        <v>2160</v>
      </c>
      <c r="N192" s="128" t="s">
        <v>2144</v>
      </c>
      <c r="O192" s="128">
        <v>314</v>
      </c>
      <c r="P192" s="128">
        <v>81</v>
      </c>
      <c r="Q192" s="128">
        <v>64</v>
      </c>
      <c r="R192" s="128">
        <v>127</v>
      </c>
      <c r="S192" s="128">
        <v>15</v>
      </c>
      <c r="T192" s="128">
        <v>34</v>
      </c>
      <c r="U192" s="121">
        <f t="shared" si="12"/>
        <v>321</v>
      </c>
      <c r="V192" s="122" t="str">
        <f t="shared" si="13"/>
        <v>LANJUT</v>
      </c>
    </row>
    <row r="193" spans="1:22" x14ac:dyDescent="0.35">
      <c r="A193" s="118">
        <v>192</v>
      </c>
      <c r="B193" s="128" t="s">
        <v>0</v>
      </c>
      <c r="C193" s="128" t="s">
        <v>183</v>
      </c>
      <c r="D193" s="128" t="s">
        <v>1517</v>
      </c>
      <c r="E193" s="128" t="s">
        <v>11</v>
      </c>
      <c r="F193" s="128">
        <v>2004</v>
      </c>
      <c r="G193" s="128">
        <v>33</v>
      </c>
      <c r="H193" s="128">
        <v>29</v>
      </c>
      <c r="I193" s="128">
        <v>62</v>
      </c>
      <c r="J193" s="128" t="s">
        <v>1509</v>
      </c>
      <c r="K193" s="128">
        <v>7</v>
      </c>
      <c r="L193" s="128" t="s">
        <v>2162</v>
      </c>
      <c r="M193" s="128" t="s">
        <v>2163</v>
      </c>
      <c r="N193" s="128" t="s">
        <v>2164</v>
      </c>
      <c r="O193" s="128">
        <v>552</v>
      </c>
      <c r="P193" s="128">
        <v>115</v>
      </c>
      <c r="Q193" s="128">
        <v>101</v>
      </c>
      <c r="R193" s="128">
        <v>223</v>
      </c>
      <c r="S193" s="128">
        <v>60</v>
      </c>
      <c r="T193" s="128">
        <v>62</v>
      </c>
      <c r="U193" s="121">
        <f t="shared" si="12"/>
        <v>561</v>
      </c>
      <c r="V193" s="122" t="str">
        <f t="shared" si="13"/>
        <v>MADYA</v>
      </c>
    </row>
    <row r="194" spans="1:22" x14ac:dyDescent="0.35">
      <c r="A194" s="118">
        <v>193</v>
      </c>
      <c r="B194" s="128" t="s">
        <v>0</v>
      </c>
      <c r="C194" s="128" t="s">
        <v>183</v>
      </c>
      <c r="D194" s="128" t="s">
        <v>2165</v>
      </c>
      <c r="E194" s="128" t="s">
        <v>29</v>
      </c>
      <c r="F194" s="128">
        <v>2004</v>
      </c>
      <c r="G194" s="128">
        <v>76</v>
      </c>
      <c r="H194" s="128">
        <v>23</v>
      </c>
      <c r="I194" s="128">
        <v>99</v>
      </c>
      <c r="J194" s="128" t="s">
        <v>1509</v>
      </c>
      <c r="K194" s="128">
        <v>4</v>
      </c>
      <c r="L194" s="128" t="s">
        <v>1776</v>
      </c>
      <c r="M194" s="128" t="s">
        <v>2166</v>
      </c>
      <c r="N194" s="128" t="s">
        <v>2167</v>
      </c>
      <c r="O194" s="128">
        <v>536</v>
      </c>
      <c r="P194" s="128">
        <v>110</v>
      </c>
      <c r="Q194" s="128">
        <v>100</v>
      </c>
      <c r="R194" s="128">
        <v>215</v>
      </c>
      <c r="S194" s="128">
        <v>55</v>
      </c>
      <c r="T194" s="128">
        <v>58</v>
      </c>
      <c r="U194" s="121">
        <f t="shared" si="12"/>
        <v>538</v>
      </c>
      <c r="V194" s="122" t="str">
        <f t="shared" si="13"/>
        <v>MADYA</v>
      </c>
    </row>
    <row r="195" spans="1:22" x14ac:dyDescent="0.35">
      <c r="A195" s="118">
        <v>194</v>
      </c>
      <c r="B195" s="128" t="s">
        <v>0</v>
      </c>
      <c r="C195" s="128" t="s">
        <v>183</v>
      </c>
      <c r="D195" s="128" t="s">
        <v>2168</v>
      </c>
      <c r="E195" s="128" t="s">
        <v>47</v>
      </c>
      <c r="F195" s="128">
        <v>2004</v>
      </c>
      <c r="G195" s="128">
        <v>106</v>
      </c>
      <c r="H195" s="128">
        <v>59</v>
      </c>
      <c r="I195" s="128">
        <v>165</v>
      </c>
      <c r="J195" s="128" t="s">
        <v>1509</v>
      </c>
      <c r="K195" s="128">
        <v>9</v>
      </c>
      <c r="L195" s="128" t="s">
        <v>2169</v>
      </c>
      <c r="M195" s="128" t="s">
        <v>2170</v>
      </c>
      <c r="N195" s="128" t="s">
        <v>2171</v>
      </c>
      <c r="O195" s="128">
        <v>546</v>
      </c>
      <c r="P195" s="128">
        <v>115</v>
      </c>
      <c r="Q195" s="128">
        <v>103</v>
      </c>
      <c r="R195" s="128">
        <v>217</v>
      </c>
      <c r="S195" s="128">
        <v>55</v>
      </c>
      <c r="T195" s="128">
        <v>58</v>
      </c>
      <c r="U195" s="121">
        <f t="shared" si="12"/>
        <v>548</v>
      </c>
      <c r="V195" s="122" t="str">
        <f t="shared" si="13"/>
        <v>MADYA</v>
      </c>
    </row>
    <row r="196" spans="1:22" x14ac:dyDescent="0.35">
      <c r="A196" s="118">
        <v>195</v>
      </c>
      <c r="B196" s="128" t="s">
        <v>0</v>
      </c>
      <c r="C196" s="128" t="s">
        <v>183</v>
      </c>
      <c r="D196" s="128" t="s">
        <v>2172</v>
      </c>
      <c r="E196" s="128" t="s">
        <v>65</v>
      </c>
      <c r="F196" s="128">
        <v>2007</v>
      </c>
      <c r="G196" s="128">
        <v>37</v>
      </c>
      <c r="H196" s="128">
        <v>26</v>
      </c>
      <c r="I196" s="128">
        <v>63</v>
      </c>
      <c r="J196" s="128" t="s">
        <v>1509</v>
      </c>
      <c r="K196" s="128">
        <v>7</v>
      </c>
      <c r="L196" s="128" t="s">
        <v>2173</v>
      </c>
      <c r="M196" s="128" t="s">
        <v>2174</v>
      </c>
      <c r="N196" s="128" t="s">
        <v>2175</v>
      </c>
      <c r="O196" s="128">
        <v>551</v>
      </c>
      <c r="P196" s="128">
        <v>116</v>
      </c>
      <c r="Q196" s="128">
        <v>104</v>
      </c>
      <c r="R196" s="128">
        <v>218</v>
      </c>
      <c r="S196" s="128">
        <v>60</v>
      </c>
      <c r="T196" s="128">
        <v>58</v>
      </c>
      <c r="U196" s="121">
        <f t="shared" si="12"/>
        <v>556</v>
      </c>
      <c r="V196" s="122" t="str">
        <f t="shared" si="13"/>
        <v>MADYA</v>
      </c>
    </row>
    <row r="197" spans="1:22" x14ac:dyDescent="0.35">
      <c r="A197" s="118">
        <v>196</v>
      </c>
      <c r="B197" s="128" t="s">
        <v>0</v>
      </c>
      <c r="C197" s="128" t="s">
        <v>183</v>
      </c>
      <c r="D197" s="128" t="s">
        <v>2176</v>
      </c>
      <c r="E197" s="128" t="s">
        <v>81</v>
      </c>
      <c r="F197" s="128">
        <v>2007</v>
      </c>
      <c r="G197" s="128">
        <v>73</v>
      </c>
      <c r="H197" s="128">
        <v>67</v>
      </c>
      <c r="I197" s="128">
        <v>140</v>
      </c>
      <c r="J197" s="128" t="s">
        <v>1509</v>
      </c>
      <c r="K197" s="128">
        <v>5</v>
      </c>
      <c r="L197" s="128" t="s">
        <v>2177</v>
      </c>
      <c r="M197" s="128" t="s">
        <v>2178</v>
      </c>
      <c r="N197" s="128" t="s">
        <v>2179</v>
      </c>
      <c r="O197" s="128">
        <v>554</v>
      </c>
      <c r="P197" s="128">
        <v>117</v>
      </c>
      <c r="Q197" s="128">
        <v>105</v>
      </c>
      <c r="R197" s="128">
        <v>219</v>
      </c>
      <c r="S197" s="128">
        <v>60</v>
      </c>
      <c r="T197" s="128">
        <v>61</v>
      </c>
      <c r="U197" s="121">
        <f t="shared" si="12"/>
        <v>562</v>
      </c>
      <c r="V197" s="122" t="str">
        <f t="shared" si="13"/>
        <v>MADYA</v>
      </c>
    </row>
    <row r="198" spans="1:22" x14ac:dyDescent="0.35">
      <c r="A198" s="118">
        <v>197</v>
      </c>
      <c r="B198" s="128" t="s">
        <v>0</v>
      </c>
      <c r="C198" s="128" t="s">
        <v>183</v>
      </c>
      <c r="D198" s="128" t="s">
        <v>2180</v>
      </c>
      <c r="E198" s="128" t="s">
        <v>95</v>
      </c>
      <c r="F198" s="128">
        <v>2008</v>
      </c>
      <c r="G198" s="128">
        <v>53</v>
      </c>
      <c r="H198" s="128">
        <v>18</v>
      </c>
      <c r="I198" s="128">
        <v>71</v>
      </c>
      <c r="J198" s="128" t="s">
        <v>1509</v>
      </c>
      <c r="K198" s="128">
        <v>7</v>
      </c>
      <c r="L198" s="128" t="s">
        <v>2181</v>
      </c>
      <c r="M198" s="128" t="s">
        <v>2182</v>
      </c>
      <c r="N198" s="128" t="s">
        <v>2183</v>
      </c>
      <c r="O198" s="128">
        <v>553</v>
      </c>
      <c r="P198" s="128">
        <v>116</v>
      </c>
      <c r="Q198" s="128">
        <v>105</v>
      </c>
      <c r="R198" s="128">
        <v>218</v>
      </c>
      <c r="S198" s="128">
        <v>60</v>
      </c>
      <c r="T198" s="128">
        <v>60</v>
      </c>
      <c r="U198" s="121">
        <f t="shared" si="12"/>
        <v>559</v>
      </c>
      <c r="V198" s="122" t="str">
        <f t="shared" si="13"/>
        <v>MADYA</v>
      </c>
    </row>
    <row r="199" spans="1:22" x14ac:dyDescent="0.35">
      <c r="A199" s="118">
        <v>198</v>
      </c>
      <c r="B199" s="128" t="s">
        <v>0</v>
      </c>
      <c r="C199" s="128" t="s">
        <v>179</v>
      </c>
      <c r="D199" s="128" t="s">
        <v>2184</v>
      </c>
      <c r="E199" s="128" t="s">
        <v>43</v>
      </c>
      <c r="F199" s="128">
        <v>1993</v>
      </c>
      <c r="G199" s="128">
        <v>122</v>
      </c>
      <c r="H199" s="128">
        <v>19</v>
      </c>
      <c r="I199" s="128">
        <v>141</v>
      </c>
      <c r="J199" s="128" t="s">
        <v>1509</v>
      </c>
      <c r="K199" s="128">
        <v>8</v>
      </c>
      <c r="L199" s="128" t="s">
        <v>2185</v>
      </c>
      <c r="M199" s="128" t="s">
        <v>2186</v>
      </c>
      <c r="N199" s="128" t="s">
        <v>2187</v>
      </c>
      <c r="O199" s="128">
        <v>723</v>
      </c>
      <c r="P199" s="128">
        <v>140</v>
      </c>
      <c r="Q199" s="128">
        <v>122</v>
      </c>
      <c r="R199" s="128">
        <v>300</v>
      </c>
      <c r="S199" s="128">
        <v>82</v>
      </c>
      <c r="T199" s="128">
        <v>82</v>
      </c>
      <c r="U199" s="121">
        <f t="shared" si="12"/>
        <v>726</v>
      </c>
      <c r="V199" s="122" t="str">
        <f t="shared" si="13"/>
        <v>UTAMA</v>
      </c>
    </row>
    <row r="200" spans="1:22" x14ac:dyDescent="0.35">
      <c r="A200" s="118">
        <v>199</v>
      </c>
      <c r="B200" s="128" t="s">
        <v>0</v>
      </c>
      <c r="C200" s="128" t="s">
        <v>179</v>
      </c>
      <c r="D200" s="128" t="s">
        <v>2188</v>
      </c>
      <c r="E200" s="128" t="s">
        <v>61</v>
      </c>
      <c r="F200" s="128">
        <v>1993</v>
      </c>
      <c r="G200" s="128">
        <v>72</v>
      </c>
      <c r="H200" s="128">
        <v>25</v>
      </c>
      <c r="I200" s="128">
        <v>97</v>
      </c>
      <c r="J200" s="128" t="s">
        <v>1509</v>
      </c>
      <c r="K200" s="128">
        <v>10</v>
      </c>
      <c r="L200" s="128" t="s">
        <v>2189</v>
      </c>
      <c r="M200" s="128" t="s">
        <v>2190</v>
      </c>
      <c r="N200" s="128" t="s">
        <v>2191</v>
      </c>
      <c r="O200" s="128">
        <v>577</v>
      </c>
      <c r="P200" s="128">
        <v>119</v>
      </c>
      <c r="Q200" s="128">
        <v>107</v>
      </c>
      <c r="R200" s="128">
        <v>237</v>
      </c>
      <c r="S200" s="128">
        <v>46</v>
      </c>
      <c r="T200" s="128">
        <v>69</v>
      </c>
      <c r="U200" s="121">
        <f t="shared" si="12"/>
        <v>578</v>
      </c>
      <c r="V200" s="122" t="str">
        <f t="shared" si="13"/>
        <v>MADYA</v>
      </c>
    </row>
    <row r="201" spans="1:22" x14ac:dyDescent="0.35">
      <c r="A201" s="118">
        <v>200</v>
      </c>
      <c r="B201" s="128" t="s">
        <v>0</v>
      </c>
      <c r="C201" s="128" t="s">
        <v>179</v>
      </c>
      <c r="D201" s="128" t="s">
        <v>2192</v>
      </c>
      <c r="E201" s="128" t="s">
        <v>78</v>
      </c>
      <c r="F201" s="128">
        <v>1993</v>
      </c>
      <c r="G201" s="128">
        <v>31</v>
      </c>
      <c r="H201" s="128">
        <v>5</v>
      </c>
      <c r="I201" s="128">
        <v>36</v>
      </c>
      <c r="J201" s="128" t="s">
        <v>1509</v>
      </c>
      <c r="K201" s="128">
        <v>11</v>
      </c>
      <c r="L201" s="128" t="s">
        <v>2193</v>
      </c>
      <c r="M201" s="128" t="s">
        <v>2194</v>
      </c>
      <c r="N201" s="128" t="s">
        <v>2160</v>
      </c>
      <c r="O201" s="128">
        <v>525</v>
      </c>
      <c r="P201" s="128">
        <v>112</v>
      </c>
      <c r="Q201" s="128">
        <v>94</v>
      </c>
      <c r="R201" s="128">
        <v>219</v>
      </c>
      <c r="S201" s="128">
        <v>46</v>
      </c>
      <c r="T201" s="128">
        <v>56</v>
      </c>
      <c r="U201" s="121">
        <f t="shared" si="12"/>
        <v>527</v>
      </c>
      <c r="V201" s="122" t="str">
        <f t="shared" si="13"/>
        <v>MADYA</v>
      </c>
    </row>
    <row r="202" spans="1:22" x14ac:dyDescent="0.35">
      <c r="A202" s="118">
        <v>201</v>
      </c>
      <c r="B202" s="128" t="s">
        <v>0</v>
      </c>
      <c r="C202" s="128" t="s">
        <v>179</v>
      </c>
      <c r="D202" s="128" t="s">
        <v>1517</v>
      </c>
      <c r="E202" s="128" t="s">
        <v>93</v>
      </c>
      <c r="F202" s="128">
        <v>1993</v>
      </c>
      <c r="G202" s="128">
        <v>111</v>
      </c>
      <c r="H202" s="128">
        <v>26</v>
      </c>
      <c r="I202" s="128">
        <v>137</v>
      </c>
      <c r="J202" s="128" t="s">
        <v>2195</v>
      </c>
      <c r="K202" s="128">
        <v>14</v>
      </c>
      <c r="L202" s="128" t="s">
        <v>2196</v>
      </c>
      <c r="M202" s="128" t="s">
        <v>2197</v>
      </c>
      <c r="N202" s="128" t="s">
        <v>2198</v>
      </c>
      <c r="O202" s="128">
        <v>789</v>
      </c>
      <c r="P202" s="128">
        <v>154</v>
      </c>
      <c r="Q202" s="128">
        <v>150</v>
      </c>
      <c r="R202" s="128">
        <v>306</v>
      </c>
      <c r="S202" s="128">
        <v>83</v>
      </c>
      <c r="T202" s="128">
        <v>97</v>
      </c>
      <c r="U202" s="121">
        <f t="shared" si="12"/>
        <v>790</v>
      </c>
      <c r="V202" s="122" t="str">
        <f t="shared" si="13"/>
        <v>UTAMA</v>
      </c>
    </row>
    <row r="203" spans="1:22" x14ac:dyDescent="0.35">
      <c r="A203" s="118">
        <v>202</v>
      </c>
      <c r="B203" s="128" t="s">
        <v>0</v>
      </c>
      <c r="C203" s="128" t="s">
        <v>179</v>
      </c>
      <c r="D203" s="128" t="s">
        <v>1517</v>
      </c>
      <c r="E203" s="128" t="s">
        <v>25</v>
      </c>
      <c r="F203" s="128">
        <v>2012</v>
      </c>
      <c r="G203" s="128">
        <v>0</v>
      </c>
      <c r="H203" s="128">
        <v>30</v>
      </c>
      <c r="I203" s="128">
        <v>30</v>
      </c>
      <c r="J203" s="128" t="s">
        <v>2136</v>
      </c>
      <c r="K203" s="128">
        <v>0.5</v>
      </c>
      <c r="L203" s="128" t="s">
        <v>2199</v>
      </c>
      <c r="M203" s="128" t="s">
        <v>2200</v>
      </c>
      <c r="N203" s="128" t="s">
        <v>2201</v>
      </c>
      <c r="O203" s="128">
        <v>512</v>
      </c>
      <c r="P203" s="128">
        <v>111</v>
      </c>
      <c r="Q203" s="128">
        <v>87</v>
      </c>
      <c r="R203" s="128">
        <v>201</v>
      </c>
      <c r="S203" s="128">
        <v>44</v>
      </c>
      <c r="T203" s="128">
        <v>73</v>
      </c>
      <c r="U203" s="121">
        <f t="shared" si="12"/>
        <v>516</v>
      </c>
      <c r="V203" s="122" t="str">
        <f t="shared" si="13"/>
        <v>MADYA</v>
      </c>
    </row>
    <row r="204" spans="1:22" x14ac:dyDescent="0.35">
      <c r="A204" s="118">
        <v>203</v>
      </c>
      <c r="B204" s="128" t="s">
        <v>0</v>
      </c>
      <c r="C204" s="128" t="s">
        <v>179</v>
      </c>
      <c r="D204" s="128" t="s">
        <v>2188</v>
      </c>
      <c r="E204" s="128" t="s">
        <v>7</v>
      </c>
      <c r="F204" s="128">
        <v>2003</v>
      </c>
      <c r="G204" s="128">
        <v>0</v>
      </c>
      <c r="H204" s="128">
        <v>30</v>
      </c>
      <c r="I204" s="128">
        <v>30</v>
      </c>
      <c r="J204" s="128" t="s">
        <v>2136</v>
      </c>
      <c r="K204" s="128">
        <v>0.5</v>
      </c>
      <c r="L204" s="128" t="s">
        <v>2202</v>
      </c>
      <c r="M204" s="128" t="s">
        <v>2203</v>
      </c>
      <c r="N204" s="128" t="s">
        <v>2204</v>
      </c>
      <c r="O204" s="128">
        <v>562</v>
      </c>
      <c r="P204" s="128">
        <v>128</v>
      </c>
      <c r="Q204" s="128">
        <v>106</v>
      </c>
      <c r="R204" s="128">
        <v>226</v>
      </c>
      <c r="S204" s="128">
        <v>46</v>
      </c>
      <c r="T204" s="128">
        <v>58</v>
      </c>
      <c r="U204" s="121">
        <f t="shared" ref="U204:U267" si="15">SUM(P204:T204)</f>
        <v>564</v>
      </c>
      <c r="V204" s="122" t="str">
        <f t="shared" ref="V204:V267" si="16">IF(U204&lt;=245,"PEMULA",IF(U204&lt;=455,"LANJUT",IF(U204&lt;=700,"MADYA","UTAMA")))</f>
        <v>MADYA</v>
      </c>
    </row>
    <row r="205" spans="1:22" x14ac:dyDescent="0.35">
      <c r="A205" s="118">
        <v>204</v>
      </c>
      <c r="B205" s="128" t="s">
        <v>0</v>
      </c>
      <c r="C205" s="128" t="s">
        <v>178</v>
      </c>
      <c r="D205" s="128" t="s">
        <v>2205</v>
      </c>
      <c r="E205" s="128" t="s">
        <v>11</v>
      </c>
      <c r="F205" s="128">
        <v>1984</v>
      </c>
      <c r="G205" s="128">
        <v>54</v>
      </c>
      <c r="H205" s="128">
        <v>6</v>
      </c>
      <c r="I205" s="128">
        <v>60</v>
      </c>
      <c r="J205" s="128" t="s">
        <v>1509</v>
      </c>
      <c r="K205" s="128">
        <v>8</v>
      </c>
      <c r="L205" s="128" t="s">
        <v>1869</v>
      </c>
      <c r="M205" s="128" t="s">
        <v>2206</v>
      </c>
      <c r="N205" s="128" t="s">
        <v>2207</v>
      </c>
      <c r="O205" s="128">
        <v>766</v>
      </c>
      <c r="P205" s="128">
        <v>153</v>
      </c>
      <c r="Q205" s="128">
        <v>129</v>
      </c>
      <c r="R205" s="128">
        <v>314</v>
      </c>
      <c r="S205" s="128">
        <v>83</v>
      </c>
      <c r="T205" s="128">
        <v>87</v>
      </c>
      <c r="U205" s="121">
        <f t="shared" si="15"/>
        <v>766</v>
      </c>
      <c r="V205" s="122" t="str">
        <f t="shared" si="16"/>
        <v>UTAMA</v>
      </c>
    </row>
    <row r="206" spans="1:22" x14ac:dyDescent="0.35">
      <c r="A206" s="118">
        <v>205</v>
      </c>
      <c r="B206" s="128" t="s">
        <v>0</v>
      </c>
      <c r="C206" s="128" t="s">
        <v>178</v>
      </c>
      <c r="D206" s="128" t="s">
        <v>1517</v>
      </c>
      <c r="E206" s="128" t="s">
        <v>29</v>
      </c>
      <c r="F206" s="128">
        <v>1984</v>
      </c>
      <c r="G206" s="128">
        <v>54</v>
      </c>
      <c r="H206" s="128">
        <v>6</v>
      </c>
      <c r="I206" s="128">
        <v>60</v>
      </c>
      <c r="J206" s="128" t="s">
        <v>1509</v>
      </c>
      <c r="K206" s="128">
        <v>7</v>
      </c>
      <c r="L206" s="128" t="s">
        <v>2208</v>
      </c>
      <c r="M206" s="128" t="s">
        <v>2209</v>
      </c>
      <c r="N206" s="128" t="s">
        <v>2210</v>
      </c>
      <c r="O206" s="128">
        <v>583</v>
      </c>
      <c r="P206" s="128">
        <v>116</v>
      </c>
      <c r="Q206" s="128">
        <v>107</v>
      </c>
      <c r="R206" s="128">
        <v>218</v>
      </c>
      <c r="S206" s="128">
        <v>70</v>
      </c>
      <c r="T206" s="128">
        <v>72</v>
      </c>
      <c r="U206" s="121">
        <f t="shared" si="15"/>
        <v>583</v>
      </c>
      <c r="V206" s="122" t="str">
        <f t="shared" si="16"/>
        <v>MADYA</v>
      </c>
    </row>
    <row r="207" spans="1:22" x14ac:dyDescent="0.35">
      <c r="A207" s="118">
        <v>206</v>
      </c>
      <c r="B207" s="128" t="s">
        <v>0</v>
      </c>
      <c r="C207" s="128" t="s">
        <v>178</v>
      </c>
      <c r="D207" s="128" t="s">
        <v>2211</v>
      </c>
      <c r="E207" s="128" t="s">
        <v>47</v>
      </c>
      <c r="F207" s="128">
        <v>2003</v>
      </c>
      <c r="G207" s="128">
        <v>29</v>
      </c>
      <c r="H207" s="128">
        <v>4</v>
      </c>
      <c r="I207" s="128">
        <v>33</v>
      </c>
      <c r="J207" s="128" t="s">
        <v>1509</v>
      </c>
      <c r="K207" s="128">
        <v>6</v>
      </c>
      <c r="L207" s="128" t="s">
        <v>2212</v>
      </c>
      <c r="M207" s="128" t="s">
        <v>2213</v>
      </c>
      <c r="N207" s="128" t="s">
        <v>2214</v>
      </c>
      <c r="O207" s="128">
        <v>588</v>
      </c>
      <c r="P207" s="128">
        <v>121</v>
      </c>
      <c r="Q207" s="128">
        <v>102</v>
      </c>
      <c r="R207" s="128">
        <v>255</v>
      </c>
      <c r="S207" s="128">
        <v>53</v>
      </c>
      <c r="T207" s="128">
        <v>66</v>
      </c>
      <c r="U207" s="121">
        <f t="shared" si="15"/>
        <v>597</v>
      </c>
      <c r="V207" s="122" t="str">
        <f t="shared" si="16"/>
        <v>MADYA</v>
      </c>
    </row>
    <row r="208" spans="1:22" x14ac:dyDescent="0.35">
      <c r="A208" s="118">
        <v>207</v>
      </c>
      <c r="B208" s="128" t="s">
        <v>0</v>
      </c>
      <c r="C208" s="128" t="s">
        <v>178</v>
      </c>
      <c r="D208" s="128" t="s">
        <v>2215</v>
      </c>
      <c r="E208" s="128" t="s">
        <v>65</v>
      </c>
      <c r="F208" s="128">
        <v>1985</v>
      </c>
      <c r="G208" s="128">
        <v>71</v>
      </c>
      <c r="H208" s="128">
        <v>5</v>
      </c>
      <c r="I208" s="128">
        <v>76</v>
      </c>
      <c r="J208" s="128" t="s">
        <v>1509</v>
      </c>
      <c r="K208" s="128">
        <v>8</v>
      </c>
      <c r="L208" s="128" t="s">
        <v>2216</v>
      </c>
      <c r="M208" s="128" t="s">
        <v>1800</v>
      </c>
      <c r="N208" s="128" t="s">
        <v>2217</v>
      </c>
      <c r="O208" s="128">
        <v>757</v>
      </c>
      <c r="P208" s="128">
        <v>153</v>
      </c>
      <c r="Q208" s="128">
        <v>128</v>
      </c>
      <c r="R208" s="128">
        <v>305</v>
      </c>
      <c r="S208" s="128">
        <v>85</v>
      </c>
      <c r="T208" s="128">
        <v>86</v>
      </c>
      <c r="U208" s="121">
        <f t="shared" si="15"/>
        <v>757</v>
      </c>
      <c r="V208" s="122" t="str">
        <f t="shared" si="16"/>
        <v>UTAMA</v>
      </c>
    </row>
    <row r="209" spans="1:22" x14ac:dyDescent="0.35">
      <c r="A209" s="118">
        <v>208</v>
      </c>
      <c r="B209" s="128" t="s">
        <v>0</v>
      </c>
      <c r="C209" s="128" t="s">
        <v>178</v>
      </c>
      <c r="D209" s="128" t="s">
        <v>2218</v>
      </c>
      <c r="E209" s="128" t="s">
        <v>81</v>
      </c>
      <c r="F209" s="128">
        <v>1985</v>
      </c>
      <c r="G209" s="128">
        <v>127</v>
      </c>
      <c r="H209" s="128">
        <v>22</v>
      </c>
      <c r="I209" s="128">
        <v>149</v>
      </c>
      <c r="J209" s="128" t="s">
        <v>2219</v>
      </c>
      <c r="K209" s="128">
        <v>8</v>
      </c>
      <c r="L209" s="128" t="s">
        <v>1831</v>
      </c>
      <c r="M209" s="128" t="s">
        <v>2220</v>
      </c>
      <c r="N209" s="128" t="s">
        <v>2221</v>
      </c>
      <c r="O209" s="128">
        <v>568</v>
      </c>
      <c r="P209" s="128">
        <v>110</v>
      </c>
      <c r="Q209" s="128">
        <v>102</v>
      </c>
      <c r="R209" s="128">
        <v>238</v>
      </c>
      <c r="S209" s="128">
        <v>51</v>
      </c>
      <c r="T209" s="128">
        <v>68</v>
      </c>
      <c r="U209" s="121">
        <f t="shared" si="15"/>
        <v>569</v>
      </c>
      <c r="V209" s="122" t="str">
        <f t="shared" si="16"/>
        <v>MADYA</v>
      </c>
    </row>
    <row r="210" spans="1:22" x14ac:dyDescent="0.35">
      <c r="A210" s="118">
        <v>209</v>
      </c>
      <c r="B210" s="128" t="s">
        <v>0</v>
      </c>
      <c r="C210" s="128" t="s">
        <v>178</v>
      </c>
      <c r="D210" s="128" t="s">
        <v>2218</v>
      </c>
      <c r="E210" s="128" t="s">
        <v>95</v>
      </c>
      <c r="F210" s="128">
        <v>2015</v>
      </c>
      <c r="G210" s="128">
        <v>66</v>
      </c>
      <c r="H210" s="128">
        <v>14</v>
      </c>
      <c r="I210" s="128">
        <v>80</v>
      </c>
      <c r="J210" s="128" t="s">
        <v>2222</v>
      </c>
      <c r="K210" s="128">
        <v>4</v>
      </c>
      <c r="L210" s="128" t="s">
        <v>2223</v>
      </c>
      <c r="M210" s="128" t="s">
        <v>2224</v>
      </c>
      <c r="N210" s="128" t="s">
        <v>2086</v>
      </c>
      <c r="O210" s="128">
        <v>519</v>
      </c>
      <c r="P210" s="128">
        <v>115</v>
      </c>
      <c r="Q210" s="128">
        <v>100</v>
      </c>
      <c r="R210" s="128">
        <v>211</v>
      </c>
      <c r="S210" s="128">
        <v>44</v>
      </c>
      <c r="T210" s="128">
        <v>54</v>
      </c>
      <c r="U210" s="121">
        <f t="shared" si="15"/>
        <v>524</v>
      </c>
      <c r="V210" s="122" t="str">
        <f t="shared" si="16"/>
        <v>MADYA</v>
      </c>
    </row>
    <row r="211" spans="1:22" x14ac:dyDescent="0.35">
      <c r="A211" s="118">
        <v>210</v>
      </c>
      <c r="B211" s="128" t="s">
        <v>0</v>
      </c>
      <c r="C211" s="128" t="s">
        <v>178</v>
      </c>
      <c r="D211" s="128" t="s">
        <v>2211</v>
      </c>
      <c r="E211" s="128" t="s">
        <v>6</v>
      </c>
      <c r="F211" s="128">
        <v>2013</v>
      </c>
      <c r="G211" s="128">
        <v>0</v>
      </c>
      <c r="H211" s="128">
        <v>30</v>
      </c>
      <c r="I211" s="128">
        <v>30</v>
      </c>
      <c r="J211" s="128" t="s">
        <v>2136</v>
      </c>
      <c r="K211" s="128">
        <v>0.5</v>
      </c>
      <c r="L211" s="128" t="s">
        <v>2207</v>
      </c>
      <c r="M211" s="128" t="s">
        <v>2225</v>
      </c>
      <c r="N211" s="128" t="s">
        <v>2226</v>
      </c>
      <c r="O211" s="128">
        <v>280</v>
      </c>
      <c r="P211" s="128">
        <v>75</v>
      </c>
      <c r="Q211" s="128">
        <v>53</v>
      </c>
      <c r="R211" s="128">
        <v>107</v>
      </c>
      <c r="S211" s="128">
        <v>12</v>
      </c>
      <c r="T211" s="128">
        <v>33</v>
      </c>
      <c r="U211" s="121">
        <f t="shared" si="15"/>
        <v>280</v>
      </c>
      <c r="V211" s="122" t="str">
        <f t="shared" si="16"/>
        <v>LANJUT</v>
      </c>
    </row>
    <row r="212" spans="1:22" x14ac:dyDescent="0.35">
      <c r="A212" s="118">
        <v>211</v>
      </c>
      <c r="B212" s="128" t="s">
        <v>0</v>
      </c>
      <c r="C212" s="128" t="s">
        <v>178</v>
      </c>
      <c r="D212" s="128" t="s">
        <v>2205</v>
      </c>
      <c r="E212" s="128" t="s">
        <v>24</v>
      </c>
      <c r="F212" s="128">
        <v>2013</v>
      </c>
      <c r="G212" s="128">
        <v>0</v>
      </c>
      <c r="H212" s="128">
        <v>30</v>
      </c>
      <c r="I212" s="128">
        <v>30</v>
      </c>
      <c r="J212" s="128" t="s">
        <v>2136</v>
      </c>
      <c r="K212" s="128">
        <v>0.5</v>
      </c>
      <c r="L212" s="128" t="s">
        <v>2227</v>
      </c>
      <c r="M212" s="128" t="s">
        <v>2228</v>
      </c>
      <c r="N212" s="128" t="s">
        <v>2229</v>
      </c>
      <c r="O212" s="128">
        <v>281</v>
      </c>
      <c r="P212" s="128">
        <v>74</v>
      </c>
      <c r="Q212" s="128">
        <v>54</v>
      </c>
      <c r="R212" s="128">
        <v>110</v>
      </c>
      <c r="S212" s="128">
        <v>12</v>
      </c>
      <c r="T212" s="128">
        <v>31</v>
      </c>
      <c r="U212" s="121">
        <f t="shared" si="15"/>
        <v>281</v>
      </c>
      <c r="V212" s="122" t="str">
        <f t="shared" si="16"/>
        <v>LANJUT</v>
      </c>
    </row>
    <row r="213" spans="1:22" x14ac:dyDescent="0.35">
      <c r="A213" s="118">
        <v>212</v>
      </c>
      <c r="B213" s="128" t="s">
        <v>0</v>
      </c>
      <c r="C213" s="128" t="s">
        <v>175</v>
      </c>
      <c r="D213" s="128" t="s">
        <v>1517</v>
      </c>
      <c r="E213" s="128" t="s">
        <v>2230</v>
      </c>
      <c r="F213" s="128">
        <v>1999</v>
      </c>
      <c r="G213" s="128">
        <v>52</v>
      </c>
      <c r="H213" s="128">
        <v>19</v>
      </c>
      <c r="I213" s="128">
        <v>71</v>
      </c>
      <c r="J213" s="128" t="s">
        <v>1509</v>
      </c>
      <c r="K213" s="128">
        <v>10</v>
      </c>
      <c r="L213" s="128" t="s">
        <v>2231</v>
      </c>
      <c r="M213" s="128" t="s">
        <v>2232</v>
      </c>
      <c r="N213" s="128" t="s">
        <v>2233</v>
      </c>
      <c r="O213" s="128">
        <v>790</v>
      </c>
      <c r="P213" s="128">
        <v>165</v>
      </c>
      <c r="Q213" s="128">
        <v>129</v>
      </c>
      <c r="R213" s="128">
        <v>318</v>
      </c>
      <c r="S213" s="128">
        <v>90</v>
      </c>
      <c r="T213" s="128">
        <v>90</v>
      </c>
      <c r="U213" s="121">
        <f t="shared" si="15"/>
        <v>792</v>
      </c>
      <c r="V213" s="122" t="str">
        <f t="shared" si="16"/>
        <v>UTAMA</v>
      </c>
    </row>
    <row r="214" spans="1:22" x14ac:dyDescent="0.35">
      <c r="A214" s="118">
        <v>213</v>
      </c>
      <c r="B214" s="128" t="s">
        <v>0</v>
      </c>
      <c r="C214" s="128" t="s">
        <v>175</v>
      </c>
      <c r="D214" s="128" t="s">
        <v>2234</v>
      </c>
      <c r="E214" s="128" t="s">
        <v>40</v>
      </c>
      <c r="F214" s="128">
        <v>1990</v>
      </c>
      <c r="G214" s="128">
        <v>33</v>
      </c>
      <c r="H214" s="128">
        <v>28</v>
      </c>
      <c r="I214" s="128">
        <v>61</v>
      </c>
      <c r="J214" s="128" t="s">
        <v>1509</v>
      </c>
      <c r="K214" s="128">
        <v>8</v>
      </c>
      <c r="L214" s="128" t="s">
        <v>1604</v>
      </c>
      <c r="M214" s="128" t="s">
        <v>2029</v>
      </c>
      <c r="N214" s="128" t="s">
        <v>2235</v>
      </c>
      <c r="O214" s="128">
        <v>604</v>
      </c>
      <c r="P214" s="128">
        <v>121</v>
      </c>
      <c r="Q214" s="128">
        <v>110</v>
      </c>
      <c r="R214" s="128">
        <v>234</v>
      </c>
      <c r="S214" s="128">
        <v>71</v>
      </c>
      <c r="T214" s="128">
        <v>70</v>
      </c>
      <c r="U214" s="121">
        <f t="shared" si="15"/>
        <v>606</v>
      </c>
      <c r="V214" s="122" t="str">
        <f t="shared" si="16"/>
        <v>MADYA</v>
      </c>
    </row>
    <row r="215" spans="1:22" x14ac:dyDescent="0.35">
      <c r="A215" s="118">
        <v>214</v>
      </c>
      <c r="B215" s="128" t="s">
        <v>0</v>
      </c>
      <c r="C215" s="128" t="s">
        <v>175</v>
      </c>
      <c r="D215" s="128" t="s">
        <v>2236</v>
      </c>
      <c r="E215" s="128" t="s">
        <v>58</v>
      </c>
      <c r="F215" s="128">
        <v>2007</v>
      </c>
      <c r="G215" s="128">
        <v>23</v>
      </c>
      <c r="H215" s="128">
        <v>28</v>
      </c>
      <c r="I215" s="128">
        <v>51</v>
      </c>
      <c r="J215" s="128" t="s">
        <v>1509</v>
      </c>
      <c r="K215" s="128">
        <v>7</v>
      </c>
      <c r="L215" s="128" t="s">
        <v>2237</v>
      </c>
      <c r="M215" s="128" t="s">
        <v>1886</v>
      </c>
      <c r="N215" s="128" t="s">
        <v>1551</v>
      </c>
      <c r="O215" s="128">
        <v>464</v>
      </c>
      <c r="P215" s="128">
        <v>109</v>
      </c>
      <c r="Q215" s="128">
        <v>89</v>
      </c>
      <c r="R215" s="128">
        <v>174</v>
      </c>
      <c r="S215" s="128">
        <v>41</v>
      </c>
      <c r="T215" s="128">
        <v>55</v>
      </c>
      <c r="U215" s="121">
        <f t="shared" si="15"/>
        <v>468</v>
      </c>
      <c r="V215" s="122" t="str">
        <f t="shared" si="16"/>
        <v>MADYA</v>
      </c>
    </row>
    <row r="216" spans="1:22" x14ac:dyDescent="0.35">
      <c r="A216" s="118">
        <v>215</v>
      </c>
      <c r="B216" s="128" t="s">
        <v>0</v>
      </c>
      <c r="C216" s="128" t="s">
        <v>175</v>
      </c>
      <c r="D216" s="128" t="s">
        <v>2238</v>
      </c>
      <c r="E216" s="128" t="s">
        <v>76</v>
      </c>
      <c r="F216" s="128">
        <v>2005</v>
      </c>
      <c r="G216" s="128">
        <v>76</v>
      </c>
      <c r="H216" s="128">
        <v>24</v>
      </c>
      <c r="I216" s="128">
        <v>100</v>
      </c>
      <c r="J216" s="128" t="s">
        <v>2195</v>
      </c>
      <c r="K216" s="128">
        <v>8.6999999999999993</v>
      </c>
      <c r="L216" s="128" t="s">
        <v>2239</v>
      </c>
      <c r="M216" s="128" t="s">
        <v>2240</v>
      </c>
      <c r="N216" s="128" t="s">
        <v>2241</v>
      </c>
      <c r="O216" s="128">
        <v>519</v>
      </c>
      <c r="P216" s="128">
        <v>112</v>
      </c>
      <c r="Q216" s="128">
        <v>103</v>
      </c>
      <c r="R216" s="128">
        <v>203</v>
      </c>
      <c r="S216" s="128">
        <v>45</v>
      </c>
      <c r="T216" s="128">
        <v>58</v>
      </c>
      <c r="U216" s="121">
        <f t="shared" si="15"/>
        <v>521</v>
      </c>
      <c r="V216" s="122" t="str">
        <f t="shared" si="16"/>
        <v>MADYA</v>
      </c>
    </row>
    <row r="217" spans="1:22" x14ac:dyDescent="0.35">
      <c r="A217" s="118">
        <v>216</v>
      </c>
      <c r="B217" s="128" t="s">
        <v>0</v>
      </c>
      <c r="C217" s="128" t="s">
        <v>175</v>
      </c>
      <c r="D217" s="128" t="s">
        <v>2242</v>
      </c>
      <c r="E217" s="128" t="s">
        <v>91</v>
      </c>
      <c r="F217" s="128">
        <v>2005</v>
      </c>
      <c r="G217" s="128">
        <v>33</v>
      </c>
      <c r="H217" s="128">
        <v>25</v>
      </c>
      <c r="I217" s="128">
        <v>58</v>
      </c>
      <c r="J217" s="128" t="s">
        <v>2195</v>
      </c>
      <c r="K217" s="128">
        <v>10</v>
      </c>
      <c r="L217" s="128" t="s">
        <v>2243</v>
      </c>
      <c r="M217" s="128" t="s">
        <v>2244</v>
      </c>
      <c r="N217" s="128" t="s">
        <v>2245</v>
      </c>
      <c r="O217" s="128">
        <v>529</v>
      </c>
      <c r="P217" s="128">
        <v>112</v>
      </c>
      <c r="Q217" s="128">
        <v>93</v>
      </c>
      <c r="R217" s="128">
        <v>223</v>
      </c>
      <c r="S217" s="128">
        <v>45</v>
      </c>
      <c r="T217" s="128">
        <v>59</v>
      </c>
      <c r="U217" s="121">
        <f t="shared" si="15"/>
        <v>532</v>
      </c>
      <c r="V217" s="122" t="str">
        <f t="shared" si="16"/>
        <v>MADYA</v>
      </c>
    </row>
    <row r="218" spans="1:22" x14ac:dyDescent="0.35">
      <c r="A218" s="118">
        <v>217</v>
      </c>
      <c r="B218" s="128" t="s">
        <v>0</v>
      </c>
      <c r="C218" s="128" t="s">
        <v>175</v>
      </c>
      <c r="D218" s="128" t="s">
        <v>2246</v>
      </c>
      <c r="E218" s="128" t="s">
        <v>2247</v>
      </c>
      <c r="F218" s="128">
        <v>2015</v>
      </c>
      <c r="G218" s="128">
        <v>0</v>
      </c>
      <c r="H218" s="128">
        <v>30</v>
      </c>
      <c r="I218" s="128">
        <v>30</v>
      </c>
      <c r="J218" s="128" t="s">
        <v>2136</v>
      </c>
      <c r="K218" s="128">
        <v>0.3</v>
      </c>
      <c r="L218" s="128" t="s">
        <v>2248</v>
      </c>
      <c r="M218" s="128" t="s">
        <v>428</v>
      </c>
      <c r="N218" s="128" t="s">
        <v>2232</v>
      </c>
      <c r="O218" s="128">
        <v>376</v>
      </c>
      <c r="P218" s="128">
        <v>97</v>
      </c>
      <c r="Q218" s="128">
        <v>75</v>
      </c>
      <c r="R218" s="128">
        <v>127</v>
      </c>
      <c r="S218" s="128">
        <v>28</v>
      </c>
      <c r="T218" s="128">
        <v>50</v>
      </c>
      <c r="U218" s="121">
        <f t="shared" si="15"/>
        <v>377</v>
      </c>
      <c r="V218" s="122" t="str">
        <f t="shared" si="16"/>
        <v>LANJUT</v>
      </c>
    </row>
    <row r="219" spans="1:22" x14ac:dyDescent="0.35">
      <c r="A219" s="118">
        <v>218</v>
      </c>
      <c r="B219" s="128" t="s">
        <v>0</v>
      </c>
      <c r="C219" s="128" t="s">
        <v>177</v>
      </c>
      <c r="D219" s="128" t="s">
        <v>2249</v>
      </c>
      <c r="E219" s="128" t="s">
        <v>42</v>
      </c>
      <c r="F219" s="128">
        <v>2002</v>
      </c>
      <c r="G219" s="128">
        <v>33</v>
      </c>
      <c r="H219" s="128">
        <v>9</v>
      </c>
      <c r="I219" s="128">
        <v>42</v>
      </c>
      <c r="J219" s="128" t="s">
        <v>2250</v>
      </c>
      <c r="K219" s="128">
        <v>5</v>
      </c>
      <c r="L219" s="128" t="s">
        <v>2251</v>
      </c>
      <c r="M219" s="128" t="s">
        <v>2252</v>
      </c>
      <c r="N219" s="128" t="s">
        <v>2253</v>
      </c>
      <c r="O219" s="128">
        <v>675</v>
      </c>
      <c r="P219" s="128">
        <v>134</v>
      </c>
      <c r="Q219" s="128">
        <v>115</v>
      </c>
      <c r="R219" s="128">
        <v>274</v>
      </c>
      <c r="S219" s="128">
        <v>75</v>
      </c>
      <c r="T219" s="128">
        <v>80</v>
      </c>
      <c r="U219" s="121">
        <f t="shared" si="15"/>
        <v>678</v>
      </c>
      <c r="V219" s="122" t="str">
        <f t="shared" si="16"/>
        <v>MADYA</v>
      </c>
    </row>
    <row r="220" spans="1:22" x14ac:dyDescent="0.35">
      <c r="A220" s="118">
        <v>219</v>
      </c>
      <c r="B220" s="128" t="s">
        <v>0</v>
      </c>
      <c r="C220" s="128" t="s">
        <v>177</v>
      </c>
      <c r="D220" s="128" t="s">
        <v>2254</v>
      </c>
      <c r="E220" s="128" t="s">
        <v>23</v>
      </c>
      <c r="F220" s="128">
        <v>1990</v>
      </c>
      <c r="G220" s="128">
        <v>25</v>
      </c>
      <c r="H220" s="128">
        <v>14</v>
      </c>
      <c r="I220" s="128">
        <v>39</v>
      </c>
      <c r="J220" s="128" t="s">
        <v>2250</v>
      </c>
      <c r="K220" s="128">
        <v>5</v>
      </c>
      <c r="L220" s="128" t="s">
        <v>2255</v>
      </c>
      <c r="M220" s="128" t="s">
        <v>2256</v>
      </c>
      <c r="N220" s="128" t="s">
        <v>1997</v>
      </c>
      <c r="O220" s="128">
        <v>664</v>
      </c>
      <c r="P220" s="128">
        <v>133</v>
      </c>
      <c r="Q220" s="128">
        <v>113</v>
      </c>
      <c r="R220" s="128">
        <v>274</v>
      </c>
      <c r="S220" s="128">
        <v>76</v>
      </c>
      <c r="T220" s="128">
        <v>70</v>
      </c>
      <c r="U220" s="121">
        <f t="shared" si="15"/>
        <v>666</v>
      </c>
      <c r="V220" s="122" t="str">
        <f t="shared" si="16"/>
        <v>MADYA</v>
      </c>
    </row>
    <row r="221" spans="1:22" x14ac:dyDescent="0.35">
      <c r="A221" s="118">
        <v>220</v>
      </c>
      <c r="B221" s="128" t="s">
        <v>0</v>
      </c>
      <c r="C221" s="128" t="s">
        <v>177</v>
      </c>
      <c r="D221" s="128" t="s">
        <v>2257</v>
      </c>
      <c r="E221" s="128" t="s">
        <v>60</v>
      </c>
      <c r="F221" s="128">
        <v>1997</v>
      </c>
      <c r="G221" s="128">
        <v>23</v>
      </c>
      <c r="H221" s="128">
        <v>7</v>
      </c>
      <c r="I221" s="128">
        <v>30</v>
      </c>
      <c r="J221" s="128" t="s">
        <v>2250</v>
      </c>
      <c r="K221" s="128">
        <v>3.5</v>
      </c>
      <c r="L221" s="128" t="s">
        <v>2244</v>
      </c>
      <c r="M221" s="128" t="s">
        <v>1882</v>
      </c>
      <c r="N221" s="128" t="s">
        <v>2122</v>
      </c>
      <c r="O221" s="128">
        <v>542</v>
      </c>
      <c r="P221" s="128">
        <v>111</v>
      </c>
      <c r="Q221" s="128">
        <v>102</v>
      </c>
      <c r="R221" s="128">
        <v>224</v>
      </c>
      <c r="S221" s="128">
        <v>46</v>
      </c>
      <c r="T221" s="128">
        <v>60</v>
      </c>
      <c r="U221" s="121">
        <f t="shared" si="15"/>
        <v>543</v>
      </c>
      <c r="V221" s="122" t="str">
        <f t="shared" si="16"/>
        <v>MADYA</v>
      </c>
    </row>
    <row r="222" spans="1:22" x14ac:dyDescent="0.35">
      <c r="A222" s="118">
        <v>221</v>
      </c>
      <c r="B222" s="128" t="s">
        <v>0</v>
      </c>
      <c r="C222" s="128" t="s">
        <v>177</v>
      </c>
      <c r="D222" s="128" t="s">
        <v>2087</v>
      </c>
      <c r="E222" s="128" t="s">
        <v>5</v>
      </c>
      <c r="F222" s="128">
        <v>2015</v>
      </c>
      <c r="G222" s="128">
        <v>0</v>
      </c>
      <c r="H222" s="128">
        <v>30</v>
      </c>
      <c r="I222" s="128">
        <v>30</v>
      </c>
      <c r="J222" s="128" t="s">
        <v>2136</v>
      </c>
      <c r="K222" s="128">
        <v>0.5</v>
      </c>
      <c r="L222" s="128" t="s">
        <v>2258</v>
      </c>
      <c r="M222" s="128" t="s">
        <v>2259</v>
      </c>
      <c r="N222" s="128" t="s">
        <v>2260</v>
      </c>
      <c r="O222" s="128">
        <v>327</v>
      </c>
      <c r="P222" s="128">
        <v>84</v>
      </c>
      <c r="Q222" s="128">
        <v>62</v>
      </c>
      <c r="R222" s="128">
        <v>130</v>
      </c>
      <c r="S222" s="128">
        <v>40</v>
      </c>
      <c r="T222" s="128">
        <v>37</v>
      </c>
      <c r="U222" s="121">
        <f t="shared" si="15"/>
        <v>353</v>
      </c>
      <c r="V222" s="122" t="str">
        <f t="shared" si="16"/>
        <v>LANJUT</v>
      </c>
    </row>
    <row r="223" spans="1:22" x14ac:dyDescent="0.35">
      <c r="A223" s="118">
        <v>222</v>
      </c>
      <c r="B223" s="128" t="s">
        <v>0</v>
      </c>
      <c r="C223" s="128" t="s">
        <v>184</v>
      </c>
      <c r="D223" s="128" t="s">
        <v>1517</v>
      </c>
      <c r="E223" s="128" t="s">
        <v>48</v>
      </c>
      <c r="F223" s="128">
        <v>2007</v>
      </c>
      <c r="G223" s="128">
        <v>47</v>
      </c>
      <c r="H223" s="128">
        <v>9</v>
      </c>
      <c r="I223" s="128">
        <v>56</v>
      </c>
      <c r="J223" s="128" t="s">
        <v>1509</v>
      </c>
      <c r="K223" s="128">
        <v>1</v>
      </c>
      <c r="L223" s="128" t="s">
        <v>2261</v>
      </c>
      <c r="M223" s="128" t="s">
        <v>2047</v>
      </c>
      <c r="N223" s="128" t="s">
        <v>1614</v>
      </c>
      <c r="O223" s="128">
        <v>563</v>
      </c>
      <c r="P223" s="128">
        <v>120</v>
      </c>
      <c r="Q223" s="128">
        <v>96</v>
      </c>
      <c r="R223" s="128">
        <v>242</v>
      </c>
      <c r="S223" s="128">
        <v>55</v>
      </c>
      <c r="T223" s="128">
        <v>60</v>
      </c>
      <c r="U223" s="121">
        <f t="shared" si="15"/>
        <v>573</v>
      </c>
      <c r="V223" s="122" t="str">
        <f t="shared" si="16"/>
        <v>MADYA</v>
      </c>
    </row>
    <row r="224" spans="1:22" x14ac:dyDescent="0.35">
      <c r="A224" s="118">
        <v>223</v>
      </c>
      <c r="B224" s="128" t="s">
        <v>0</v>
      </c>
      <c r="C224" s="128" t="s">
        <v>184</v>
      </c>
      <c r="D224" s="128" t="s">
        <v>2262</v>
      </c>
      <c r="E224" s="128" t="s">
        <v>66</v>
      </c>
      <c r="F224" s="128">
        <v>2007</v>
      </c>
      <c r="G224" s="128">
        <v>69</v>
      </c>
      <c r="H224" s="128">
        <v>6</v>
      </c>
      <c r="I224" s="128">
        <v>75</v>
      </c>
      <c r="J224" s="128" t="s">
        <v>1509</v>
      </c>
      <c r="K224" s="128">
        <v>8</v>
      </c>
      <c r="L224" s="128" t="s">
        <v>1576</v>
      </c>
      <c r="M224" s="128" t="s">
        <v>2263</v>
      </c>
      <c r="N224" s="128" t="s">
        <v>2264</v>
      </c>
      <c r="O224" s="128">
        <v>528</v>
      </c>
      <c r="P224" s="128">
        <v>119</v>
      </c>
      <c r="Q224" s="128">
        <v>78</v>
      </c>
      <c r="R224" s="128">
        <v>233</v>
      </c>
      <c r="S224" s="128">
        <v>45</v>
      </c>
      <c r="T224" s="128">
        <v>60</v>
      </c>
      <c r="U224" s="121">
        <f t="shared" si="15"/>
        <v>535</v>
      </c>
      <c r="V224" s="122" t="str">
        <f t="shared" si="16"/>
        <v>MADYA</v>
      </c>
    </row>
    <row r="225" spans="1:22" x14ac:dyDescent="0.35">
      <c r="A225" s="118">
        <v>224</v>
      </c>
      <c r="B225" s="128" t="s">
        <v>0</v>
      </c>
      <c r="C225" s="128" t="s">
        <v>184</v>
      </c>
      <c r="D225" s="128" t="s">
        <v>2218</v>
      </c>
      <c r="E225" s="128" t="s">
        <v>2265</v>
      </c>
      <c r="F225" s="128">
        <v>2007</v>
      </c>
      <c r="G225" s="128">
        <v>36</v>
      </c>
      <c r="H225" s="128">
        <v>9</v>
      </c>
      <c r="I225" s="128">
        <v>45</v>
      </c>
      <c r="J225" s="128" t="s">
        <v>1509</v>
      </c>
      <c r="K225" s="128">
        <v>8.5</v>
      </c>
      <c r="L225" s="128" t="s">
        <v>2266</v>
      </c>
      <c r="M225" s="128" t="s">
        <v>2267</v>
      </c>
      <c r="N225" s="128" t="s">
        <v>2268</v>
      </c>
      <c r="O225" s="128">
        <v>705</v>
      </c>
      <c r="P225" s="128">
        <v>135</v>
      </c>
      <c r="Q225" s="128">
        <v>115</v>
      </c>
      <c r="R225" s="128">
        <v>295</v>
      </c>
      <c r="S225" s="128">
        <v>80</v>
      </c>
      <c r="T225" s="128">
        <v>80</v>
      </c>
      <c r="U225" s="121">
        <f t="shared" si="15"/>
        <v>705</v>
      </c>
      <c r="V225" s="122" t="str">
        <f t="shared" si="16"/>
        <v>UTAMA</v>
      </c>
    </row>
    <row r="226" spans="1:22" x14ac:dyDescent="0.35">
      <c r="A226" s="118">
        <v>225</v>
      </c>
      <c r="B226" s="128" t="s">
        <v>0</v>
      </c>
      <c r="C226" s="128" t="s">
        <v>184</v>
      </c>
      <c r="D226" s="128" t="s">
        <v>2269</v>
      </c>
      <c r="E226" s="128" t="s">
        <v>82</v>
      </c>
      <c r="F226" s="128">
        <v>2007</v>
      </c>
      <c r="G226" s="128">
        <v>25</v>
      </c>
      <c r="H226" s="128">
        <v>7</v>
      </c>
      <c r="I226" s="128">
        <v>32</v>
      </c>
      <c r="J226" s="128" t="s">
        <v>1509</v>
      </c>
      <c r="K226" s="128">
        <v>7</v>
      </c>
      <c r="L226" s="128" t="s">
        <v>2270</v>
      </c>
      <c r="M226" s="128" t="s">
        <v>2271</v>
      </c>
      <c r="N226" s="128" t="s">
        <v>2272</v>
      </c>
      <c r="O226" s="128">
        <v>599</v>
      </c>
      <c r="P226" s="128">
        <v>117</v>
      </c>
      <c r="Q226" s="128">
        <v>98</v>
      </c>
      <c r="R226" s="128">
        <v>250</v>
      </c>
      <c r="S226" s="128">
        <v>70</v>
      </c>
      <c r="T226" s="128">
        <v>70</v>
      </c>
      <c r="U226" s="121">
        <f t="shared" si="15"/>
        <v>605</v>
      </c>
      <c r="V226" s="122" t="str">
        <f t="shared" si="16"/>
        <v>MADYA</v>
      </c>
    </row>
    <row r="227" spans="1:22" x14ac:dyDescent="0.35">
      <c r="A227" s="118">
        <v>226</v>
      </c>
      <c r="B227" s="128" t="s">
        <v>0</v>
      </c>
      <c r="C227" s="128" t="s">
        <v>184</v>
      </c>
      <c r="D227" s="128" t="s">
        <v>1553</v>
      </c>
      <c r="E227" s="128" t="s">
        <v>96</v>
      </c>
      <c r="F227" s="128">
        <v>2007</v>
      </c>
      <c r="G227" s="128">
        <v>64</v>
      </c>
      <c r="H227" s="128">
        <v>50</v>
      </c>
      <c r="I227" s="128">
        <v>114</v>
      </c>
      <c r="J227" s="128" t="s">
        <v>2273</v>
      </c>
      <c r="K227" s="128">
        <v>1</v>
      </c>
      <c r="L227" s="128" t="s">
        <v>2274</v>
      </c>
      <c r="M227" s="128" t="s">
        <v>2275</v>
      </c>
      <c r="N227" s="128" t="s">
        <v>2276</v>
      </c>
      <c r="O227" s="128">
        <v>542</v>
      </c>
      <c r="P227" s="128">
        <v>110</v>
      </c>
      <c r="Q227" s="128">
        <v>91</v>
      </c>
      <c r="R227" s="128">
        <v>227</v>
      </c>
      <c r="S227" s="128">
        <v>60</v>
      </c>
      <c r="T227" s="128">
        <v>60</v>
      </c>
      <c r="U227" s="121">
        <f t="shared" si="15"/>
        <v>548</v>
      </c>
      <c r="V227" s="122" t="str">
        <f t="shared" si="16"/>
        <v>MADYA</v>
      </c>
    </row>
    <row r="228" spans="1:22" x14ac:dyDescent="0.35">
      <c r="A228" s="118">
        <v>227</v>
      </c>
      <c r="B228" s="128" t="s">
        <v>0</v>
      </c>
      <c r="C228" s="128" t="s">
        <v>184</v>
      </c>
      <c r="D228" s="128" t="s">
        <v>2277</v>
      </c>
      <c r="E228" s="128" t="s">
        <v>107</v>
      </c>
      <c r="F228" s="128">
        <v>2007</v>
      </c>
      <c r="G228" s="128">
        <v>44</v>
      </c>
      <c r="H228" s="128">
        <v>7</v>
      </c>
      <c r="I228" s="128">
        <v>51</v>
      </c>
      <c r="J228" s="128" t="s">
        <v>2273</v>
      </c>
      <c r="K228" s="128">
        <v>1.5</v>
      </c>
      <c r="L228" s="128" t="s">
        <v>1600</v>
      </c>
      <c r="M228" s="128" t="s">
        <v>1734</v>
      </c>
      <c r="N228" s="128" t="s">
        <v>2278</v>
      </c>
      <c r="O228" s="128">
        <v>556</v>
      </c>
      <c r="P228" s="128">
        <v>120</v>
      </c>
      <c r="Q228" s="128">
        <v>97</v>
      </c>
      <c r="R228" s="128">
        <v>239</v>
      </c>
      <c r="S228" s="128">
        <v>55</v>
      </c>
      <c r="T228" s="128">
        <v>55</v>
      </c>
      <c r="U228" s="121">
        <f t="shared" si="15"/>
        <v>566</v>
      </c>
      <c r="V228" s="122" t="str">
        <f t="shared" si="16"/>
        <v>MADYA</v>
      </c>
    </row>
    <row r="229" spans="1:22" x14ac:dyDescent="0.35">
      <c r="A229" s="118">
        <v>228</v>
      </c>
      <c r="B229" s="128" t="s">
        <v>0</v>
      </c>
      <c r="C229" s="128" t="s">
        <v>184</v>
      </c>
      <c r="D229" s="128" t="s">
        <v>2279</v>
      </c>
      <c r="E229" s="128" t="s">
        <v>2280</v>
      </c>
      <c r="F229" s="128">
        <v>2007</v>
      </c>
      <c r="G229" s="128">
        <v>33</v>
      </c>
      <c r="H229" s="128">
        <v>11</v>
      </c>
      <c r="I229" s="128">
        <v>44</v>
      </c>
      <c r="J229" s="128" t="s">
        <v>2273</v>
      </c>
      <c r="K229" s="128">
        <v>1</v>
      </c>
      <c r="L229" s="128" t="s">
        <v>2281</v>
      </c>
      <c r="M229" s="128" t="s">
        <v>1823</v>
      </c>
      <c r="N229" s="128" t="s">
        <v>2282</v>
      </c>
      <c r="O229" s="128">
        <v>551</v>
      </c>
      <c r="P229" s="128">
        <v>109</v>
      </c>
      <c r="Q229" s="128">
        <v>97</v>
      </c>
      <c r="R229" s="128">
        <v>239</v>
      </c>
      <c r="S229" s="128">
        <v>55</v>
      </c>
      <c r="T229" s="128">
        <v>60</v>
      </c>
      <c r="U229" s="121">
        <f t="shared" si="15"/>
        <v>560</v>
      </c>
      <c r="V229" s="122" t="str">
        <f t="shared" si="16"/>
        <v>MADYA</v>
      </c>
    </row>
    <row r="230" spans="1:22" x14ac:dyDescent="0.35">
      <c r="A230" s="118">
        <v>229</v>
      </c>
      <c r="B230" s="128" t="s">
        <v>0</v>
      </c>
      <c r="C230" s="128" t="s">
        <v>184</v>
      </c>
      <c r="D230" s="128" t="s">
        <v>2262</v>
      </c>
      <c r="E230" s="128" t="s">
        <v>42</v>
      </c>
      <c r="F230" s="128">
        <v>2007</v>
      </c>
      <c r="G230" s="128">
        <v>0</v>
      </c>
      <c r="H230" s="128">
        <v>23</v>
      </c>
      <c r="I230" s="128">
        <v>23</v>
      </c>
      <c r="J230" s="128" t="s">
        <v>2283</v>
      </c>
      <c r="K230" s="128">
        <v>0</v>
      </c>
      <c r="L230" s="128" t="s">
        <v>2284</v>
      </c>
      <c r="M230" s="128" t="s">
        <v>2225</v>
      </c>
      <c r="N230" s="128" t="s">
        <v>2285</v>
      </c>
      <c r="O230" s="128">
        <v>513</v>
      </c>
      <c r="P230" s="128">
        <v>110</v>
      </c>
      <c r="Q230" s="128">
        <v>100</v>
      </c>
      <c r="R230" s="128">
        <v>220</v>
      </c>
      <c r="S230" s="128">
        <v>50</v>
      </c>
      <c r="T230" s="128">
        <v>60</v>
      </c>
      <c r="U230" s="121">
        <f t="shared" si="15"/>
        <v>540</v>
      </c>
      <c r="V230" s="122" t="str">
        <f t="shared" si="16"/>
        <v>MADYA</v>
      </c>
    </row>
    <row r="231" spans="1:22" x14ac:dyDescent="0.35">
      <c r="A231" s="118">
        <v>230</v>
      </c>
      <c r="B231" s="128" t="s">
        <v>0</v>
      </c>
      <c r="C231" s="128" t="s">
        <v>181</v>
      </c>
      <c r="D231" s="128" t="s">
        <v>1517</v>
      </c>
      <c r="E231" s="128" t="s">
        <v>9</v>
      </c>
      <c r="F231" s="128">
        <v>2007</v>
      </c>
      <c r="G231" s="128">
        <v>81</v>
      </c>
      <c r="H231" s="128">
        <v>19</v>
      </c>
      <c r="I231" s="128">
        <v>100</v>
      </c>
      <c r="J231" s="128" t="s">
        <v>1509</v>
      </c>
      <c r="K231" s="128">
        <v>1</v>
      </c>
      <c r="L231" s="128" t="s">
        <v>2286</v>
      </c>
      <c r="M231" s="128" t="s">
        <v>2287</v>
      </c>
      <c r="N231" s="128" t="s">
        <v>2288</v>
      </c>
      <c r="O231" s="128">
        <v>528</v>
      </c>
      <c r="P231" s="128">
        <v>106</v>
      </c>
      <c r="Q231" s="128">
        <v>98</v>
      </c>
      <c r="R231" s="128">
        <v>235</v>
      </c>
      <c r="S231" s="128">
        <v>50</v>
      </c>
      <c r="T231" s="128">
        <v>60</v>
      </c>
      <c r="U231" s="121">
        <f t="shared" si="15"/>
        <v>549</v>
      </c>
      <c r="V231" s="122" t="str">
        <f t="shared" si="16"/>
        <v>MADYA</v>
      </c>
    </row>
    <row r="232" spans="1:22" x14ac:dyDescent="0.35">
      <c r="A232" s="118">
        <v>231</v>
      </c>
      <c r="B232" s="128" t="s">
        <v>0</v>
      </c>
      <c r="C232" s="128" t="s">
        <v>181</v>
      </c>
      <c r="D232" s="128" t="s">
        <v>2289</v>
      </c>
      <c r="E232" s="128" t="s">
        <v>27</v>
      </c>
      <c r="F232" s="128">
        <v>2007</v>
      </c>
      <c r="G232" s="128">
        <v>76</v>
      </c>
      <c r="H232" s="128">
        <v>14</v>
      </c>
      <c r="I232" s="128">
        <v>90</v>
      </c>
      <c r="J232" s="128" t="s">
        <v>2273</v>
      </c>
      <c r="K232" s="128">
        <v>1</v>
      </c>
      <c r="L232" s="128" t="s">
        <v>2290</v>
      </c>
      <c r="M232" s="128" t="s">
        <v>2291</v>
      </c>
      <c r="N232" s="128" t="s">
        <v>2292</v>
      </c>
      <c r="O232" s="128">
        <v>527</v>
      </c>
      <c r="P232" s="128">
        <v>106</v>
      </c>
      <c r="Q232" s="128">
        <v>98</v>
      </c>
      <c r="R232" s="128">
        <v>235</v>
      </c>
      <c r="S232" s="128">
        <v>48</v>
      </c>
      <c r="T232" s="128">
        <v>60</v>
      </c>
      <c r="U232" s="121">
        <f t="shared" si="15"/>
        <v>547</v>
      </c>
      <c r="V232" s="122" t="str">
        <f t="shared" si="16"/>
        <v>MADYA</v>
      </c>
    </row>
    <row r="233" spans="1:22" x14ac:dyDescent="0.35">
      <c r="A233" s="118">
        <v>232</v>
      </c>
      <c r="B233" s="128" t="s">
        <v>0</v>
      </c>
      <c r="C233" s="128" t="s">
        <v>181</v>
      </c>
      <c r="D233" s="128" t="s">
        <v>2293</v>
      </c>
      <c r="E233" s="128" t="s">
        <v>45</v>
      </c>
      <c r="F233" s="128">
        <v>2007</v>
      </c>
      <c r="G233" s="128">
        <v>52</v>
      </c>
      <c r="H233" s="128">
        <v>5</v>
      </c>
      <c r="I233" s="128">
        <v>57</v>
      </c>
      <c r="J233" s="128" t="s">
        <v>1509</v>
      </c>
      <c r="K233" s="128">
        <v>8</v>
      </c>
      <c r="L233" s="128" t="s">
        <v>2294</v>
      </c>
      <c r="M233" s="128" t="s">
        <v>2295</v>
      </c>
      <c r="N233" s="128" t="s">
        <v>2296</v>
      </c>
      <c r="O233" s="128">
        <v>513</v>
      </c>
      <c r="P233" s="128">
        <v>113</v>
      </c>
      <c r="Q233" s="128">
        <v>105</v>
      </c>
      <c r="R233" s="128">
        <v>218</v>
      </c>
      <c r="S233" s="128">
        <v>50</v>
      </c>
      <c r="T233" s="128">
        <v>60</v>
      </c>
      <c r="U233" s="121">
        <f t="shared" si="15"/>
        <v>546</v>
      </c>
      <c r="V233" s="122" t="str">
        <f t="shared" si="16"/>
        <v>MADYA</v>
      </c>
    </row>
    <row r="234" spans="1:22" x14ac:dyDescent="0.35">
      <c r="A234" s="118">
        <v>233</v>
      </c>
      <c r="B234" s="128" t="s">
        <v>0</v>
      </c>
      <c r="C234" s="128" t="s">
        <v>181</v>
      </c>
      <c r="D234" s="128" t="s">
        <v>2297</v>
      </c>
      <c r="E234" s="128" t="s">
        <v>63</v>
      </c>
      <c r="F234" s="128">
        <v>2007</v>
      </c>
      <c r="G234" s="128">
        <v>66</v>
      </c>
      <c r="H234" s="128">
        <v>16</v>
      </c>
      <c r="I234" s="128">
        <v>82</v>
      </c>
      <c r="J234" s="128" t="s">
        <v>2273</v>
      </c>
      <c r="K234" s="128">
        <v>1</v>
      </c>
      <c r="L234" s="128" t="s">
        <v>2298</v>
      </c>
      <c r="M234" s="128" t="s">
        <v>2299</v>
      </c>
      <c r="N234" s="128" t="s">
        <v>2300</v>
      </c>
      <c r="O234" s="128">
        <v>513</v>
      </c>
      <c r="P234" s="128">
        <v>110</v>
      </c>
      <c r="Q234" s="128">
        <v>99</v>
      </c>
      <c r="R234" s="128">
        <v>206</v>
      </c>
      <c r="S234" s="128">
        <v>45</v>
      </c>
      <c r="T234" s="128">
        <v>60</v>
      </c>
      <c r="U234" s="121">
        <f t="shared" si="15"/>
        <v>520</v>
      </c>
      <c r="V234" s="122" t="str">
        <f t="shared" si="16"/>
        <v>MADYA</v>
      </c>
    </row>
    <row r="235" spans="1:22" x14ac:dyDescent="0.35">
      <c r="A235" s="118">
        <v>234</v>
      </c>
      <c r="B235" s="128" t="s">
        <v>0</v>
      </c>
      <c r="C235" s="128" t="s">
        <v>185</v>
      </c>
      <c r="D235" s="128" t="s">
        <v>1517</v>
      </c>
      <c r="E235" s="128" t="s">
        <v>31</v>
      </c>
      <c r="F235" s="128">
        <v>2007</v>
      </c>
      <c r="G235" s="128">
        <v>60</v>
      </c>
      <c r="H235" s="128">
        <v>22</v>
      </c>
      <c r="I235" s="128">
        <v>82</v>
      </c>
      <c r="J235" s="128" t="s">
        <v>1509</v>
      </c>
      <c r="K235" s="128">
        <v>14</v>
      </c>
      <c r="L235" s="128" t="s">
        <v>2301</v>
      </c>
      <c r="M235" s="128" t="s">
        <v>2302</v>
      </c>
      <c r="N235" s="128" t="s">
        <v>2303</v>
      </c>
      <c r="O235" s="128">
        <v>666</v>
      </c>
      <c r="P235" s="128">
        <v>135</v>
      </c>
      <c r="Q235" s="128">
        <v>95</v>
      </c>
      <c r="R235" s="128">
        <v>288</v>
      </c>
      <c r="S235" s="128">
        <v>75</v>
      </c>
      <c r="T235" s="128">
        <v>75</v>
      </c>
      <c r="U235" s="121">
        <f t="shared" si="15"/>
        <v>668</v>
      </c>
      <c r="V235" s="122" t="str">
        <f t="shared" si="16"/>
        <v>MADYA</v>
      </c>
    </row>
    <row r="236" spans="1:22" x14ac:dyDescent="0.35">
      <c r="A236" s="118">
        <v>235</v>
      </c>
      <c r="B236" s="128" t="s">
        <v>0</v>
      </c>
      <c r="C236" s="128" t="s">
        <v>185</v>
      </c>
      <c r="D236" s="128" t="s">
        <v>2304</v>
      </c>
      <c r="E236" s="128" t="s">
        <v>49</v>
      </c>
      <c r="F236" s="128">
        <v>2007</v>
      </c>
      <c r="G236" s="128">
        <v>29</v>
      </c>
      <c r="H236" s="128">
        <v>4</v>
      </c>
      <c r="I236" s="128">
        <v>33</v>
      </c>
      <c r="J236" s="128" t="s">
        <v>1509</v>
      </c>
      <c r="K236" s="128">
        <v>7.5</v>
      </c>
      <c r="L236" s="128" t="s">
        <v>1530</v>
      </c>
      <c r="M236" s="128" t="s">
        <v>2305</v>
      </c>
      <c r="N236" s="128" t="s">
        <v>1699</v>
      </c>
      <c r="O236" s="128">
        <v>564</v>
      </c>
      <c r="P236" s="128">
        <v>115</v>
      </c>
      <c r="Q236" s="128">
        <v>100</v>
      </c>
      <c r="R236" s="128">
        <v>245</v>
      </c>
      <c r="S236" s="128">
        <v>75</v>
      </c>
      <c r="T236" s="128">
        <v>65</v>
      </c>
      <c r="U236" s="121">
        <f t="shared" si="15"/>
        <v>600</v>
      </c>
      <c r="V236" s="122" t="str">
        <f t="shared" si="16"/>
        <v>MADYA</v>
      </c>
    </row>
    <row r="237" spans="1:22" x14ac:dyDescent="0.35">
      <c r="A237" s="118">
        <v>236</v>
      </c>
      <c r="B237" s="128" t="s">
        <v>0</v>
      </c>
      <c r="C237" s="128" t="s">
        <v>185</v>
      </c>
      <c r="D237" s="128" t="s">
        <v>1507</v>
      </c>
      <c r="E237" s="128" t="s">
        <v>67</v>
      </c>
      <c r="F237" s="128">
        <v>2007</v>
      </c>
      <c r="G237" s="128">
        <v>64</v>
      </c>
      <c r="H237" s="128">
        <v>19</v>
      </c>
      <c r="I237" s="128">
        <v>83</v>
      </c>
      <c r="J237" s="128" t="s">
        <v>1509</v>
      </c>
      <c r="K237" s="128">
        <v>9.5</v>
      </c>
      <c r="L237" s="128" t="s">
        <v>1580</v>
      </c>
      <c r="M237" s="128" t="s">
        <v>2306</v>
      </c>
      <c r="N237" s="128" t="s">
        <v>2307</v>
      </c>
      <c r="O237" s="128">
        <v>661</v>
      </c>
      <c r="P237" s="128">
        <v>126</v>
      </c>
      <c r="Q237" s="128">
        <v>111</v>
      </c>
      <c r="R237" s="128">
        <v>287</v>
      </c>
      <c r="S237" s="128">
        <v>70</v>
      </c>
      <c r="T237" s="128">
        <v>70</v>
      </c>
      <c r="U237" s="121">
        <f t="shared" si="15"/>
        <v>664</v>
      </c>
      <c r="V237" s="122" t="str">
        <f t="shared" si="16"/>
        <v>MADYA</v>
      </c>
    </row>
    <row r="238" spans="1:22" x14ac:dyDescent="0.35">
      <c r="A238" s="118">
        <v>237</v>
      </c>
      <c r="B238" s="128" t="s">
        <v>0</v>
      </c>
      <c r="C238" s="128" t="s">
        <v>185</v>
      </c>
      <c r="D238" s="128" t="s">
        <v>2308</v>
      </c>
      <c r="E238" s="128" t="s">
        <v>83</v>
      </c>
      <c r="F238" s="128">
        <v>2007</v>
      </c>
      <c r="G238" s="128">
        <v>62</v>
      </c>
      <c r="H238" s="128">
        <v>20</v>
      </c>
      <c r="I238" s="128">
        <v>82</v>
      </c>
      <c r="J238" s="128" t="s">
        <v>1509</v>
      </c>
      <c r="K238" s="128">
        <v>11.5</v>
      </c>
      <c r="L238" s="128" t="s">
        <v>1593</v>
      </c>
      <c r="M238" s="128" t="s">
        <v>2309</v>
      </c>
      <c r="N238" s="128" t="s">
        <v>1559</v>
      </c>
      <c r="O238" s="128">
        <v>564</v>
      </c>
      <c r="P238" s="128">
        <v>120</v>
      </c>
      <c r="Q238" s="128">
        <v>105</v>
      </c>
      <c r="R238" s="128">
        <v>222</v>
      </c>
      <c r="S238" s="128">
        <v>60</v>
      </c>
      <c r="T238" s="128">
        <v>60</v>
      </c>
      <c r="U238" s="121">
        <f t="shared" si="15"/>
        <v>567</v>
      </c>
      <c r="V238" s="122" t="str">
        <f t="shared" si="16"/>
        <v>MADYA</v>
      </c>
    </row>
    <row r="239" spans="1:22" x14ac:dyDescent="0.35">
      <c r="A239" s="118">
        <v>238</v>
      </c>
      <c r="B239" s="128" t="s">
        <v>0</v>
      </c>
      <c r="C239" s="128" t="s">
        <v>185</v>
      </c>
      <c r="D239" s="128" t="s">
        <v>2310</v>
      </c>
      <c r="E239" s="128" t="s">
        <v>97</v>
      </c>
      <c r="F239" s="128">
        <v>2007</v>
      </c>
      <c r="G239" s="128">
        <v>42</v>
      </c>
      <c r="H239" s="128">
        <v>3</v>
      </c>
      <c r="I239" s="128">
        <v>45</v>
      </c>
      <c r="J239" s="128" t="s">
        <v>1509</v>
      </c>
      <c r="K239" s="128">
        <v>5.5</v>
      </c>
      <c r="L239" s="128" t="s">
        <v>1709</v>
      </c>
      <c r="M239" s="128" t="s">
        <v>1856</v>
      </c>
      <c r="N239" s="128" t="s">
        <v>2311</v>
      </c>
      <c r="O239" s="128">
        <v>563</v>
      </c>
      <c r="P239" s="128">
        <v>110</v>
      </c>
      <c r="Q239" s="128">
        <v>100</v>
      </c>
      <c r="R239" s="128">
        <v>245</v>
      </c>
      <c r="S239" s="128">
        <v>55</v>
      </c>
      <c r="T239" s="128">
        <v>65</v>
      </c>
      <c r="U239" s="121">
        <f t="shared" si="15"/>
        <v>575</v>
      </c>
      <c r="V239" s="122" t="str">
        <f t="shared" si="16"/>
        <v>MADYA</v>
      </c>
    </row>
    <row r="240" spans="1:22" x14ac:dyDescent="0.35">
      <c r="A240" s="118">
        <v>239</v>
      </c>
      <c r="B240" s="128" t="s">
        <v>0</v>
      </c>
      <c r="C240" s="128" t="s">
        <v>185</v>
      </c>
      <c r="D240" s="128" t="s">
        <v>1507</v>
      </c>
      <c r="E240" s="128" t="s">
        <v>2312</v>
      </c>
      <c r="F240" s="128">
        <v>2008</v>
      </c>
      <c r="G240" s="128">
        <v>0</v>
      </c>
      <c r="H240" s="128">
        <v>30</v>
      </c>
      <c r="I240" s="128">
        <v>30</v>
      </c>
      <c r="J240" s="128" t="s">
        <v>2283</v>
      </c>
      <c r="K240" s="128">
        <v>0</v>
      </c>
      <c r="L240" s="128" t="s">
        <v>2313</v>
      </c>
      <c r="M240" s="128" t="s">
        <v>2314</v>
      </c>
      <c r="N240" s="128" t="s">
        <v>2315</v>
      </c>
      <c r="O240" s="128">
        <v>513</v>
      </c>
      <c r="P240" s="128">
        <v>115</v>
      </c>
      <c r="Q240" s="128">
        <v>93</v>
      </c>
      <c r="R240" s="128">
        <v>115</v>
      </c>
      <c r="S240" s="128">
        <v>50</v>
      </c>
      <c r="T240" s="128">
        <v>60</v>
      </c>
      <c r="U240" s="121">
        <f t="shared" si="15"/>
        <v>433</v>
      </c>
      <c r="V240" s="122" t="str">
        <f t="shared" si="16"/>
        <v>LANJUT</v>
      </c>
    </row>
    <row r="241" spans="1:22" x14ac:dyDescent="0.35">
      <c r="A241" s="118">
        <v>240</v>
      </c>
      <c r="B241" s="128" t="s">
        <v>0</v>
      </c>
      <c r="C241" s="128" t="s">
        <v>189</v>
      </c>
      <c r="D241" s="128" t="s">
        <v>2317</v>
      </c>
      <c r="E241" s="128" t="s">
        <v>2318</v>
      </c>
      <c r="F241" s="128">
        <v>2001</v>
      </c>
      <c r="G241" s="128">
        <v>60</v>
      </c>
      <c r="H241" s="128">
        <v>10</v>
      </c>
      <c r="I241" s="128">
        <v>70</v>
      </c>
      <c r="J241" s="128" t="s">
        <v>2319</v>
      </c>
      <c r="K241" s="128">
        <v>0</v>
      </c>
      <c r="L241" s="128" t="s">
        <v>2320</v>
      </c>
      <c r="M241" s="128" t="s">
        <v>2321</v>
      </c>
      <c r="N241" s="128" t="s">
        <v>2322</v>
      </c>
      <c r="O241" s="128">
        <v>409</v>
      </c>
      <c r="P241" s="128">
        <v>98</v>
      </c>
      <c r="Q241" s="128">
        <v>80</v>
      </c>
      <c r="R241" s="128">
        <v>160</v>
      </c>
      <c r="S241" s="128">
        <v>40</v>
      </c>
      <c r="T241" s="128">
        <v>40</v>
      </c>
      <c r="U241" s="121">
        <f t="shared" si="15"/>
        <v>418</v>
      </c>
      <c r="V241" s="122" t="str">
        <f t="shared" si="16"/>
        <v>LANJUT</v>
      </c>
    </row>
    <row r="242" spans="1:22" x14ac:dyDescent="0.35">
      <c r="A242" s="118">
        <v>241</v>
      </c>
      <c r="B242" s="128" t="s">
        <v>0</v>
      </c>
      <c r="C242" s="128" t="s">
        <v>189</v>
      </c>
      <c r="D242" s="128" t="s">
        <v>1921</v>
      </c>
      <c r="E242" s="128" t="s">
        <v>2323</v>
      </c>
      <c r="F242" s="128">
        <v>2004</v>
      </c>
      <c r="G242" s="128">
        <v>54</v>
      </c>
      <c r="H242" s="128">
        <v>6</v>
      </c>
      <c r="I242" s="128">
        <v>60</v>
      </c>
      <c r="J242" s="128" t="s">
        <v>2324</v>
      </c>
      <c r="K242" s="128">
        <v>5</v>
      </c>
      <c r="L242" s="128" t="s">
        <v>2086</v>
      </c>
      <c r="M242" s="128" t="s">
        <v>1678</v>
      </c>
      <c r="N242" s="128" t="s">
        <v>2325</v>
      </c>
      <c r="O242" s="128">
        <v>428</v>
      </c>
      <c r="P242" s="128">
        <v>97</v>
      </c>
      <c r="Q242" s="128">
        <v>80</v>
      </c>
      <c r="R242" s="128">
        <v>173</v>
      </c>
      <c r="S242" s="128">
        <v>36</v>
      </c>
      <c r="T242" s="128">
        <v>50</v>
      </c>
      <c r="U242" s="121">
        <f t="shared" si="15"/>
        <v>436</v>
      </c>
      <c r="V242" s="122" t="str">
        <f t="shared" si="16"/>
        <v>LANJUT</v>
      </c>
    </row>
    <row r="243" spans="1:22" x14ac:dyDescent="0.35">
      <c r="A243" s="118">
        <v>242</v>
      </c>
      <c r="B243" s="128" t="s">
        <v>0</v>
      </c>
      <c r="C243" s="128" t="s">
        <v>189</v>
      </c>
      <c r="D243" s="128" t="s">
        <v>1909</v>
      </c>
      <c r="E243" s="128" t="s">
        <v>2326</v>
      </c>
      <c r="F243" s="128">
        <v>2005</v>
      </c>
      <c r="G243" s="128">
        <v>31</v>
      </c>
      <c r="H243" s="128">
        <v>12</v>
      </c>
      <c r="I243" s="128">
        <v>43</v>
      </c>
      <c r="J243" s="128" t="s">
        <v>2324</v>
      </c>
      <c r="K243" s="128">
        <v>2</v>
      </c>
      <c r="L243" s="128" t="s">
        <v>2327</v>
      </c>
      <c r="M243" s="128" t="s">
        <v>2328</v>
      </c>
      <c r="N243" s="128" t="s">
        <v>1594</v>
      </c>
      <c r="O243" s="128">
        <v>389</v>
      </c>
      <c r="P243" s="128">
        <v>94</v>
      </c>
      <c r="Q243" s="128">
        <v>80</v>
      </c>
      <c r="R243" s="128">
        <v>150</v>
      </c>
      <c r="S243" s="128">
        <v>38</v>
      </c>
      <c r="T243" s="128">
        <v>46</v>
      </c>
      <c r="U243" s="121">
        <f t="shared" si="15"/>
        <v>408</v>
      </c>
      <c r="V243" s="122" t="str">
        <f t="shared" si="16"/>
        <v>LANJUT</v>
      </c>
    </row>
    <row r="244" spans="1:22" x14ac:dyDescent="0.35">
      <c r="A244" s="118">
        <v>243</v>
      </c>
      <c r="B244" s="128" t="s">
        <v>0</v>
      </c>
      <c r="C244" s="128" t="s">
        <v>189</v>
      </c>
      <c r="D244" s="128" t="s">
        <v>2329</v>
      </c>
      <c r="E244" s="128" t="s">
        <v>2330</v>
      </c>
      <c r="F244" s="128">
        <v>2006</v>
      </c>
      <c r="G244" s="128">
        <v>70</v>
      </c>
      <c r="H244" s="128">
        <v>20</v>
      </c>
      <c r="I244" s="128">
        <v>90</v>
      </c>
      <c r="J244" s="128" t="s">
        <v>2324</v>
      </c>
      <c r="K244" s="128">
        <v>14</v>
      </c>
      <c r="L244" s="128" t="s">
        <v>2331</v>
      </c>
      <c r="M244" s="128" t="s">
        <v>2332</v>
      </c>
      <c r="N244" s="128" t="s">
        <v>2333</v>
      </c>
      <c r="O244" s="128">
        <v>434</v>
      </c>
      <c r="P244" s="128">
        <v>100</v>
      </c>
      <c r="Q244" s="128">
        <v>80</v>
      </c>
      <c r="R244" s="128">
        <v>173</v>
      </c>
      <c r="S244" s="128">
        <v>40</v>
      </c>
      <c r="T244" s="128">
        <v>45</v>
      </c>
      <c r="U244" s="121">
        <f t="shared" si="15"/>
        <v>438</v>
      </c>
      <c r="V244" s="122" t="str">
        <f t="shared" si="16"/>
        <v>LANJUT</v>
      </c>
    </row>
    <row r="245" spans="1:22" x14ac:dyDescent="0.35">
      <c r="A245" s="118">
        <v>244</v>
      </c>
      <c r="B245" s="128" t="s">
        <v>0</v>
      </c>
      <c r="C245" s="128" t="s">
        <v>189</v>
      </c>
      <c r="D245" s="128" t="s">
        <v>2334</v>
      </c>
      <c r="E245" s="128" t="s">
        <v>2335</v>
      </c>
      <c r="F245" s="128">
        <v>2006</v>
      </c>
      <c r="G245" s="128">
        <v>59</v>
      </c>
      <c r="H245" s="128">
        <v>10</v>
      </c>
      <c r="I245" s="128">
        <v>69</v>
      </c>
      <c r="J245" s="128" t="s">
        <v>2319</v>
      </c>
      <c r="K245" s="128">
        <v>0</v>
      </c>
      <c r="L245" s="128" t="s">
        <v>2336</v>
      </c>
      <c r="M245" s="128" t="s">
        <v>1614</v>
      </c>
      <c r="N245" s="128" t="s">
        <v>2337</v>
      </c>
      <c r="O245" s="128">
        <v>430</v>
      </c>
      <c r="P245" s="128">
        <v>99</v>
      </c>
      <c r="Q245" s="128">
        <v>80</v>
      </c>
      <c r="R245" s="128">
        <v>169</v>
      </c>
      <c r="S245" s="128">
        <v>40</v>
      </c>
      <c r="T245" s="128">
        <v>45</v>
      </c>
      <c r="U245" s="121">
        <f t="shared" si="15"/>
        <v>433</v>
      </c>
      <c r="V245" s="122" t="str">
        <f t="shared" si="16"/>
        <v>LANJUT</v>
      </c>
    </row>
    <row r="246" spans="1:22" x14ac:dyDescent="0.35">
      <c r="A246" s="118">
        <v>245</v>
      </c>
      <c r="B246" s="128" t="s">
        <v>0</v>
      </c>
      <c r="C246" s="128" t="s">
        <v>189</v>
      </c>
      <c r="D246" s="128" t="s">
        <v>2338</v>
      </c>
      <c r="E246" s="128" t="s">
        <v>2339</v>
      </c>
      <c r="F246" s="128">
        <v>2006</v>
      </c>
      <c r="G246" s="128">
        <v>89</v>
      </c>
      <c r="H246" s="128">
        <v>23</v>
      </c>
      <c r="I246" s="128">
        <v>112</v>
      </c>
      <c r="J246" s="128" t="s">
        <v>2319</v>
      </c>
      <c r="K246" s="128">
        <v>0</v>
      </c>
      <c r="L246" s="128" t="s">
        <v>2340</v>
      </c>
      <c r="M246" s="128" t="s">
        <v>2341</v>
      </c>
      <c r="N246" s="128" t="s">
        <v>2342</v>
      </c>
      <c r="O246" s="128">
        <v>408</v>
      </c>
      <c r="P246" s="128">
        <v>95</v>
      </c>
      <c r="Q246" s="128">
        <v>80</v>
      </c>
      <c r="R246" s="128">
        <v>163</v>
      </c>
      <c r="S246" s="128">
        <v>40</v>
      </c>
      <c r="T246" s="128">
        <v>43</v>
      </c>
      <c r="U246" s="121">
        <f t="shared" si="15"/>
        <v>421</v>
      </c>
      <c r="V246" s="122" t="str">
        <f t="shared" si="16"/>
        <v>LANJUT</v>
      </c>
    </row>
    <row r="247" spans="1:22" x14ac:dyDescent="0.35">
      <c r="A247" s="118">
        <v>246</v>
      </c>
      <c r="B247" s="128" t="s">
        <v>0</v>
      </c>
      <c r="C247" s="128" t="s">
        <v>189</v>
      </c>
      <c r="D247" s="128" t="s">
        <v>1909</v>
      </c>
      <c r="E247" s="128" t="s">
        <v>2343</v>
      </c>
      <c r="F247" s="128">
        <v>2015</v>
      </c>
      <c r="G247" s="128">
        <v>87</v>
      </c>
      <c r="H247" s="128">
        <v>26</v>
      </c>
      <c r="I247" s="128">
        <v>113</v>
      </c>
      <c r="J247" s="128" t="s">
        <v>2324</v>
      </c>
      <c r="K247" s="128">
        <v>8</v>
      </c>
      <c r="L247" s="128" t="s">
        <v>2344</v>
      </c>
      <c r="M247" s="128" t="s">
        <v>2345</v>
      </c>
      <c r="N247" s="128" t="s">
        <v>2346</v>
      </c>
      <c r="O247" s="128">
        <v>413</v>
      </c>
      <c r="P247" s="128">
        <v>91</v>
      </c>
      <c r="Q247" s="128">
        <v>80</v>
      </c>
      <c r="R247" s="128">
        <v>167</v>
      </c>
      <c r="S247" s="128">
        <v>40</v>
      </c>
      <c r="T247" s="128">
        <v>40</v>
      </c>
      <c r="U247" s="121">
        <f t="shared" si="15"/>
        <v>418</v>
      </c>
      <c r="V247" s="122" t="str">
        <f t="shared" si="16"/>
        <v>LANJUT</v>
      </c>
    </row>
    <row r="248" spans="1:22" x14ac:dyDescent="0.35">
      <c r="A248" s="118">
        <v>247</v>
      </c>
      <c r="B248" s="128" t="s">
        <v>0</v>
      </c>
      <c r="C248" s="128" t="s">
        <v>189</v>
      </c>
      <c r="D248" s="128" t="s">
        <v>2317</v>
      </c>
      <c r="E248" s="128" t="s">
        <v>2347</v>
      </c>
      <c r="F248" s="128">
        <v>2018</v>
      </c>
      <c r="G248" s="128">
        <v>84</v>
      </c>
      <c r="H248" s="128">
        <v>14</v>
      </c>
      <c r="I248" s="128">
        <v>98</v>
      </c>
      <c r="J248" s="128" t="s">
        <v>2324</v>
      </c>
      <c r="K248" s="128">
        <v>2</v>
      </c>
      <c r="L248" s="128" t="s">
        <v>2348</v>
      </c>
      <c r="M248" s="128" t="s">
        <v>2349</v>
      </c>
      <c r="N248" s="128" t="s">
        <v>2350</v>
      </c>
      <c r="O248" s="128">
        <v>412</v>
      </c>
      <c r="P248" s="128">
        <v>90</v>
      </c>
      <c r="Q248" s="128">
        <v>79</v>
      </c>
      <c r="R248" s="128">
        <v>165</v>
      </c>
      <c r="S248" s="128">
        <v>40</v>
      </c>
      <c r="T248" s="128">
        <v>43</v>
      </c>
      <c r="U248" s="121">
        <f t="shared" si="15"/>
        <v>417</v>
      </c>
      <c r="V248" s="122" t="str">
        <f t="shared" si="16"/>
        <v>LANJUT</v>
      </c>
    </row>
    <row r="249" spans="1:22" x14ac:dyDescent="0.35">
      <c r="A249" s="118">
        <v>248</v>
      </c>
      <c r="B249" s="128" t="s">
        <v>0</v>
      </c>
      <c r="C249" s="128" t="s">
        <v>189</v>
      </c>
      <c r="D249" s="128" t="s">
        <v>2317</v>
      </c>
      <c r="E249" s="128" t="s">
        <v>2351</v>
      </c>
      <c r="F249" s="128">
        <v>2018</v>
      </c>
      <c r="G249" s="128">
        <v>51</v>
      </c>
      <c r="H249" s="128">
        <v>10</v>
      </c>
      <c r="I249" s="128">
        <v>61</v>
      </c>
      <c r="J249" s="128" t="s">
        <v>2324</v>
      </c>
      <c r="K249" s="128">
        <v>4</v>
      </c>
      <c r="L249" s="128" t="s">
        <v>2296</v>
      </c>
      <c r="M249" s="128" t="s">
        <v>2352</v>
      </c>
      <c r="N249" s="128" t="s">
        <v>2353</v>
      </c>
      <c r="O249" s="128">
        <v>392</v>
      </c>
      <c r="P249" s="128">
        <v>90</v>
      </c>
      <c r="Q249" s="128">
        <v>68</v>
      </c>
      <c r="R249" s="128">
        <v>168</v>
      </c>
      <c r="S249" s="128">
        <v>38</v>
      </c>
      <c r="T249" s="128">
        <v>38</v>
      </c>
      <c r="U249" s="121">
        <f t="shared" si="15"/>
        <v>402</v>
      </c>
      <c r="V249" s="122" t="str">
        <f t="shared" si="16"/>
        <v>LANJUT</v>
      </c>
    </row>
    <row r="250" spans="1:22" x14ac:dyDescent="0.35">
      <c r="A250" s="118">
        <v>249</v>
      </c>
      <c r="B250" s="128" t="s">
        <v>0</v>
      </c>
      <c r="C250" s="128" t="s">
        <v>189</v>
      </c>
      <c r="D250" s="128" t="s">
        <v>1921</v>
      </c>
      <c r="E250" s="128" t="s">
        <v>2354</v>
      </c>
      <c r="F250" s="128">
        <v>2018</v>
      </c>
      <c r="G250" s="128">
        <v>61</v>
      </c>
      <c r="H250" s="128">
        <v>12</v>
      </c>
      <c r="I250" s="128">
        <v>73</v>
      </c>
      <c r="J250" s="128" t="s">
        <v>2324</v>
      </c>
      <c r="K250" s="128">
        <v>6</v>
      </c>
      <c r="L250" s="128" t="s">
        <v>1798</v>
      </c>
      <c r="M250" s="128" t="s">
        <v>1689</v>
      </c>
      <c r="N250" s="128" t="s">
        <v>1815</v>
      </c>
      <c r="O250" s="128">
        <v>386</v>
      </c>
      <c r="P250" s="128">
        <v>88</v>
      </c>
      <c r="Q250" s="128">
        <v>65</v>
      </c>
      <c r="R250" s="128">
        <v>158</v>
      </c>
      <c r="S250" s="128">
        <v>37</v>
      </c>
      <c r="T250" s="128">
        <v>45</v>
      </c>
      <c r="U250" s="121">
        <f t="shared" si="15"/>
        <v>393</v>
      </c>
      <c r="V250" s="122" t="str">
        <f t="shared" si="16"/>
        <v>LANJUT</v>
      </c>
    </row>
    <row r="251" spans="1:22" x14ac:dyDescent="0.35">
      <c r="A251" s="118">
        <v>250</v>
      </c>
      <c r="B251" s="128" t="s">
        <v>0</v>
      </c>
      <c r="C251" s="128" t="s">
        <v>189</v>
      </c>
      <c r="D251" s="128" t="s">
        <v>2334</v>
      </c>
      <c r="E251" s="128" t="s">
        <v>2355</v>
      </c>
      <c r="F251" s="128">
        <v>2018</v>
      </c>
      <c r="G251" s="128">
        <v>68</v>
      </c>
      <c r="H251" s="128">
        <v>76</v>
      </c>
      <c r="I251" s="128">
        <v>144</v>
      </c>
      <c r="J251" s="128" t="s">
        <v>2319</v>
      </c>
      <c r="K251" s="128">
        <v>0</v>
      </c>
      <c r="L251" s="128" t="s">
        <v>2356</v>
      </c>
      <c r="M251" s="128" t="s">
        <v>2357</v>
      </c>
      <c r="N251" s="128" t="s">
        <v>2358</v>
      </c>
      <c r="O251" s="128">
        <v>405</v>
      </c>
      <c r="P251" s="128">
        <v>93</v>
      </c>
      <c r="Q251" s="128">
        <v>80</v>
      </c>
      <c r="R251" s="128">
        <v>165</v>
      </c>
      <c r="S251" s="128">
        <v>36</v>
      </c>
      <c r="T251" s="128">
        <v>40</v>
      </c>
      <c r="U251" s="121">
        <f t="shared" si="15"/>
        <v>414</v>
      </c>
      <c r="V251" s="122" t="str">
        <f t="shared" si="16"/>
        <v>LANJUT</v>
      </c>
    </row>
    <row r="252" spans="1:22" x14ac:dyDescent="0.35">
      <c r="A252" s="118">
        <v>251</v>
      </c>
      <c r="B252" s="128" t="s">
        <v>0</v>
      </c>
      <c r="C252" s="128" t="s">
        <v>189</v>
      </c>
      <c r="D252" s="128" t="s">
        <v>1921</v>
      </c>
      <c r="E252" s="128" t="s">
        <v>139</v>
      </c>
      <c r="F252" s="128">
        <v>2018</v>
      </c>
      <c r="G252" s="128">
        <v>19</v>
      </c>
      <c r="H252" s="128">
        <v>1</v>
      </c>
      <c r="I252" s="128">
        <v>20</v>
      </c>
      <c r="J252" s="128" t="s">
        <v>2324</v>
      </c>
      <c r="K252" s="128">
        <v>5</v>
      </c>
      <c r="L252" s="128" t="s">
        <v>1815</v>
      </c>
      <c r="M252" s="128" t="s">
        <v>2359</v>
      </c>
      <c r="N252" s="128" t="s">
        <v>2360</v>
      </c>
      <c r="O252" s="128">
        <v>408</v>
      </c>
      <c r="P252" s="128">
        <v>93</v>
      </c>
      <c r="Q252" s="128">
        <v>80</v>
      </c>
      <c r="R252" s="128">
        <v>165</v>
      </c>
      <c r="S252" s="128">
        <v>37</v>
      </c>
      <c r="T252" s="128">
        <v>40</v>
      </c>
      <c r="U252" s="121">
        <f t="shared" si="15"/>
        <v>415</v>
      </c>
      <c r="V252" s="122" t="str">
        <f t="shared" si="16"/>
        <v>LANJUT</v>
      </c>
    </row>
    <row r="253" spans="1:22" x14ac:dyDescent="0.35">
      <c r="A253" s="118">
        <v>252</v>
      </c>
      <c r="B253" s="128" t="s">
        <v>0</v>
      </c>
      <c r="C253" s="128" t="s">
        <v>189</v>
      </c>
      <c r="D253" s="128" t="s">
        <v>1921</v>
      </c>
      <c r="E253" s="128" t="s">
        <v>2361</v>
      </c>
      <c r="F253" s="128">
        <v>2020</v>
      </c>
      <c r="G253" s="128">
        <v>18</v>
      </c>
      <c r="H253" s="128">
        <v>23</v>
      </c>
      <c r="I253" s="128">
        <v>41</v>
      </c>
      <c r="J253" s="128" t="s">
        <v>2319</v>
      </c>
      <c r="K253" s="128">
        <v>0</v>
      </c>
      <c r="L253" s="128" t="s">
        <v>2362</v>
      </c>
      <c r="M253" s="128" t="s">
        <v>2258</v>
      </c>
      <c r="N253" s="128" t="s">
        <v>2363</v>
      </c>
      <c r="O253" s="128">
        <v>246</v>
      </c>
      <c r="P253" s="128">
        <v>70</v>
      </c>
      <c r="Q253" s="128">
        <v>53</v>
      </c>
      <c r="R253" s="128">
        <v>104</v>
      </c>
      <c r="S253" s="128">
        <v>20</v>
      </c>
      <c r="T253" s="128">
        <v>35</v>
      </c>
      <c r="U253" s="121">
        <f t="shared" si="15"/>
        <v>282</v>
      </c>
      <c r="V253" s="122" t="str">
        <f t="shared" si="16"/>
        <v>LANJUT</v>
      </c>
    </row>
    <row r="254" spans="1:22" x14ac:dyDescent="0.35">
      <c r="A254" s="118">
        <v>253</v>
      </c>
      <c r="B254" s="128" t="s">
        <v>0</v>
      </c>
      <c r="C254" s="128" t="s">
        <v>182</v>
      </c>
      <c r="D254" s="128" t="s">
        <v>1517</v>
      </c>
      <c r="E254" s="128" t="s">
        <v>28</v>
      </c>
      <c r="F254" s="128">
        <v>2005</v>
      </c>
      <c r="G254" s="128">
        <v>69</v>
      </c>
      <c r="H254" s="128">
        <v>15</v>
      </c>
      <c r="I254" s="128">
        <v>84</v>
      </c>
      <c r="J254" s="128" t="s">
        <v>1509</v>
      </c>
      <c r="K254" s="128">
        <v>5</v>
      </c>
      <c r="L254" s="128" t="s">
        <v>1678</v>
      </c>
      <c r="M254" s="128" t="s">
        <v>2135</v>
      </c>
      <c r="N254" s="128" t="s">
        <v>1696</v>
      </c>
      <c r="O254" s="128">
        <v>499</v>
      </c>
      <c r="P254" s="128">
        <v>112</v>
      </c>
      <c r="Q254" s="128">
        <v>92</v>
      </c>
      <c r="R254" s="128">
        <v>205</v>
      </c>
      <c r="S254" s="128">
        <v>45</v>
      </c>
      <c r="T254" s="128">
        <v>55</v>
      </c>
      <c r="U254" s="121">
        <f t="shared" si="15"/>
        <v>509</v>
      </c>
      <c r="V254" s="122" t="str">
        <f t="shared" si="16"/>
        <v>MADYA</v>
      </c>
    </row>
    <row r="255" spans="1:22" x14ac:dyDescent="0.35">
      <c r="A255" s="118">
        <v>254</v>
      </c>
      <c r="B255" s="128" t="s">
        <v>0</v>
      </c>
      <c r="C255" s="128" t="s">
        <v>182</v>
      </c>
      <c r="D255" s="128" t="s">
        <v>2364</v>
      </c>
      <c r="E255" s="128" t="s">
        <v>46</v>
      </c>
      <c r="F255" s="128">
        <v>2005</v>
      </c>
      <c r="G255" s="128">
        <v>97</v>
      </c>
      <c r="H255" s="128">
        <v>8</v>
      </c>
      <c r="I255" s="128">
        <v>105</v>
      </c>
      <c r="J255" s="128" t="s">
        <v>1509</v>
      </c>
      <c r="K255" s="128">
        <v>5</v>
      </c>
      <c r="L255" s="128" t="s">
        <v>1946</v>
      </c>
      <c r="M255" s="128" t="s">
        <v>2365</v>
      </c>
      <c r="N255" s="128" t="s">
        <v>1899</v>
      </c>
      <c r="O255" s="128">
        <v>493</v>
      </c>
      <c r="P255" s="128">
        <v>109</v>
      </c>
      <c r="Q255" s="128">
        <v>90</v>
      </c>
      <c r="R255" s="128">
        <v>200</v>
      </c>
      <c r="S255" s="128">
        <v>45</v>
      </c>
      <c r="T255" s="128">
        <v>55</v>
      </c>
      <c r="U255" s="121">
        <f t="shared" si="15"/>
        <v>499</v>
      </c>
      <c r="V255" s="122" t="str">
        <f t="shared" si="16"/>
        <v>MADYA</v>
      </c>
    </row>
    <row r="256" spans="1:22" x14ac:dyDescent="0.35">
      <c r="A256" s="118">
        <v>255</v>
      </c>
      <c r="B256" s="128" t="s">
        <v>0</v>
      </c>
      <c r="C256" s="128" t="s">
        <v>182</v>
      </c>
      <c r="D256" s="128" t="s">
        <v>2366</v>
      </c>
      <c r="E256" s="128" t="s">
        <v>64</v>
      </c>
      <c r="F256" s="128">
        <v>2005</v>
      </c>
      <c r="G256" s="128">
        <v>143</v>
      </c>
      <c r="H256" s="128">
        <v>13</v>
      </c>
      <c r="I256" s="128">
        <v>156</v>
      </c>
      <c r="J256" s="128" t="s">
        <v>1509</v>
      </c>
      <c r="K256" s="128">
        <v>19</v>
      </c>
      <c r="L256" s="128" t="s">
        <v>2367</v>
      </c>
      <c r="M256" s="128" t="s">
        <v>2368</v>
      </c>
      <c r="N256" s="128" t="s">
        <v>2369</v>
      </c>
      <c r="O256" s="128">
        <v>540</v>
      </c>
      <c r="P256" s="128">
        <v>112</v>
      </c>
      <c r="Q256" s="128">
        <v>113</v>
      </c>
      <c r="R256" s="128">
        <v>215</v>
      </c>
      <c r="S256" s="128">
        <v>52</v>
      </c>
      <c r="T256" s="128">
        <v>55</v>
      </c>
      <c r="U256" s="121">
        <f t="shared" si="15"/>
        <v>547</v>
      </c>
      <c r="V256" s="122" t="str">
        <f t="shared" si="16"/>
        <v>MADYA</v>
      </c>
    </row>
    <row r="257" spans="1:22" x14ac:dyDescent="0.35">
      <c r="A257" s="118">
        <v>256</v>
      </c>
      <c r="B257" s="128" t="s">
        <v>0</v>
      </c>
      <c r="C257" s="128" t="s">
        <v>182</v>
      </c>
      <c r="D257" s="128" t="s">
        <v>2370</v>
      </c>
      <c r="E257" s="128" t="s">
        <v>80</v>
      </c>
      <c r="F257" s="128">
        <v>2005</v>
      </c>
      <c r="G257" s="128">
        <v>104</v>
      </c>
      <c r="H257" s="128">
        <v>20</v>
      </c>
      <c r="I257" s="128">
        <v>124</v>
      </c>
      <c r="J257" s="128" t="s">
        <v>1509</v>
      </c>
      <c r="K257" s="128">
        <v>28</v>
      </c>
      <c r="L257" s="128" t="s">
        <v>2371</v>
      </c>
      <c r="M257" s="128" t="s">
        <v>2372</v>
      </c>
      <c r="N257" s="128" t="s">
        <v>2373</v>
      </c>
      <c r="O257" s="128">
        <v>532</v>
      </c>
      <c r="P257" s="128">
        <v>113</v>
      </c>
      <c r="Q257" s="128">
        <v>108</v>
      </c>
      <c r="R257" s="128">
        <v>215</v>
      </c>
      <c r="S257" s="128">
        <v>47</v>
      </c>
      <c r="T257" s="128">
        <v>54</v>
      </c>
      <c r="U257" s="121">
        <f t="shared" si="15"/>
        <v>537</v>
      </c>
      <c r="V257" s="122" t="str">
        <f t="shared" si="16"/>
        <v>MADYA</v>
      </c>
    </row>
    <row r="258" spans="1:22" x14ac:dyDescent="0.35">
      <c r="A258" s="118">
        <v>257</v>
      </c>
      <c r="B258" s="128" t="s">
        <v>0</v>
      </c>
      <c r="C258" s="128" t="s">
        <v>182</v>
      </c>
      <c r="D258" s="128" t="s">
        <v>2374</v>
      </c>
      <c r="E258" s="128" t="s">
        <v>106</v>
      </c>
      <c r="F258" s="128">
        <v>2005</v>
      </c>
      <c r="G258" s="128">
        <v>88</v>
      </c>
      <c r="H258" s="128">
        <v>14</v>
      </c>
      <c r="I258" s="128">
        <v>102</v>
      </c>
      <c r="J258" s="128" t="s">
        <v>1509</v>
      </c>
      <c r="K258" s="128">
        <v>3</v>
      </c>
      <c r="L258" s="128" t="s">
        <v>1555</v>
      </c>
      <c r="M258" s="128" t="s">
        <v>2375</v>
      </c>
      <c r="N258" s="128" t="s">
        <v>2244</v>
      </c>
      <c r="O258" s="128">
        <v>511</v>
      </c>
      <c r="P258" s="128">
        <v>110</v>
      </c>
      <c r="Q258" s="128">
        <v>92</v>
      </c>
      <c r="R258" s="128">
        <v>214</v>
      </c>
      <c r="S258" s="128">
        <v>48</v>
      </c>
      <c r="T258" s="128">
        <v>55</v>
      </c>
      <c r="U258" s="121">
        <f t="shared" si="15"/>
        <v>519</v>
      </c>
      <c r="V258" s="122" t="str">
        <f t="shared" si="16"/>
        <v>MADYA</v>
      </c>
    </row>
    <row r="259" spans="1:22" x14ac:dyDescent="0.35">
      <c r="A259" s="118">
        <v>258</v>
      </c>
      <c r="B259" s="128" t="s">
        <v>0</v>
      </c>
      <c r="C259" s="128" t="s">
        <v>182</v>
      </c>
      <c r="D259" s="128" t="s">
        <v>2376</v>
      </c>
      <c r="E259" s="128" t="s">
        <v>115</v>
      </c>
      <c r="F259" s="128">
        <v>2005</v>
      </c>
      <c r="G259" s="128">
        <v>103</v>
      </c>
      <c r="H259" s="128">
        <v>14</v>
      </c>
      <c r="I259" s="128">
        <v>117</v>
      </c>
      <c r="J259" s="128" t="s">
        <v>1509</v>
      </c>
      <c r="K259" s="128">
        <v>1</v>
      </c>
      <c r="L259" s="128" t="s">
        <v>2377</v>
      </c>
      <c r="M259" s="128" t="s">
        <v>2378</v>
      </c>
      <c r="N259" s="128" t="s">
        <v>2379</v>
      </c>
      <c r="O259" s="128">
        <v>562</v>
      </c>
      <c r="P259" s="128">
        <v>115</v>
      </c>
      <c r="Q259" s="128">
        <v>108</v>
      </c>
      <c r="R259" s="128">
        <v>220</v>
      </c>
      <c r="S259" s="128">
        <v>52</v>
      </c>
      <c r="T259" s="128">
        <v>75</v>
      </c>
      <c r="U259" s="121">
        <f t="shared" si="15"/>
        <v>570</v>
      </c>
      <c r="V259" s="122" t="str">
        <f t="shared" si="16"/>
        <v>MADYA</v>
      </c>
    </row>
    <row r="260" spans="1:22" x14ac:dyDescent="0.35">
      <c r="A260" s="118">
        <v>259</v>
      </c>
      <c r="B260" s="128" t="s">
        <v>0</v>
      </c>
      <c r="C260" s="128" t="s">
        <v>182</v>
      </c>
      <c r="D260" s="128" t="s">
        <v>503</v>
      </c>
      <c r="E260" s="128" t="s">
        <v>122</v>
      </c>
      <c r="F260" s="128">
        <v>2005</v>
      </c>
      <c r="G260" s="128">
        <v>98</v>
      </c>
      <c r="H260" s="128">
        <v>14</v>
      </c>
      <c r="I260" s="128">
        <v>112</v>
      </c>
      <c r="J260" s="128" t="s">
        <v>1509</v>
      </c>
      <c r="K260" s="128">
        <v>9</v>
      </c>
      <c r="L260" s="128" t="s">
        <v>2380</v>
      </c>
      <c r="M260" s="128" t="s">
        <v>2381</v>
      </c>
      <c r="N260" s="128" t="s">
        <v>2382</v>
      </c>
      <c r="O260" s="128">
        <v>521</v>
      </c>
      <c r="P260" s="128">
        <v>115</v>
      </c>
      <c r="Q260" s="128">
        <v>95</v>
      </c>
      <c r="R260" s="128">
        <v>213</v>
      </c>
      <c r="S260" s="128">
        <v>50</v>
      </c>
      <c r="T260" s="128">
        <v>55</v>
      </c>
      <c r="U260" s="121">
        <f t="shared" si="15"/>
        <v>528</v>
      </c>
      <c r="V260" s="122" t="str">
        <f t="shared" si="16"/>
        <v>MADYA</v>
      </c>
    </row>
    <row r="261" spans="1:22" x14ac:dyDescent="0.35">
      <c r="A261" s="118">
        <v>260</v>
      </c>
      <c r="B261" s="128" t="s">
        <v>0</v>
      </c>
      <c r="C261" s="128" t="s">
        <v>182</v>
      </c>
      <c r="D261" s="128" t="s">
        <v>1927</v>
      </c>
      <c r="E261" s="128" t="s">
        <v>128</v>
      </c>
      <c r="F261" s="128">
        <v>2007</v>
      </c>
      <c r="G261" s="128">
        <v>29</v>
      </c>
      <c r="H261" s="128">
        <v>1</v>
      </c>
      <c r="I261" s="128">
        <v>30</v>
      </c>
      <c r="J261" s="128" t="s">
        <v>1509</v>
      </c>
      <c r="K261" s="128">
        <v>1</v>
      </c>
      <c r="L261" s="128" t="s">
        <v>2383</v>
      </c>
      <c r="M261" s="128" t="s">
        <v>1702</v>
      </c>
      <c r="N261" s="128" t="s">
        <v>2384</v>
      </c>
      <c r="O261" s="128">
        <v>498</v>
      </c>
      <c r="P261" s="128">
        <v>110</v>
      </c>
      <c r="Q261" s="128">
        <v>92</v>
      </c>
      <c r="R261" s="128">
        <v>207</v>
      </c>
      <c r="S261" s="128">
        <v>45</v>
      </c>
      <c r="T261" s="128">
        <v>52</v>
      </c>
      <c r="U261" s="121">
        <f t="shared" si="15"/>
        <v>506</v>
      </c>
      <c r="V261" s="122" t="str">
        <f t="shared" si="16"/>
        <v>MADYA</v>
      </c>
    </row>
    <row r="262" spans="1:22" x14ac:dyDescent="0.35">
      <c r="A262" s="118">
        <v>261</v>
      </c>
      <c r="B262" s="128" t="s">
        <v>0</v>
      </c>
      <c r="C262" s="128" t="s">
        <v>182</v>
      </c>
      <c r="D262" s="128" t="s">
        <v>2385</v>
      </c>
      <c r="E262" s="128" t="s">
        <v>94</v>
      </c>
      <c r="F262" s="128">
        <v>2007</v>
      </c>
      <c r="G262" s="128">
        <v>78</v>
      </c>
      <c r="H262" s="128">
        <v>15</v>
      </c>
      <c r="I262" s="128">
        <v>93</v>
      </c>
      <c r="J262" s="128" t="s">
        <v>1509</v>
      </c>
      <c r="K262" s="128">
        <v>5</v>
      </c>
      <c r="L262" s="128" t="s">
        <v>2386</v>
      </c>
      <c r="M262" s="128" t="s">
        <v>2387</v>
      </c>
      <c r="N262" s="128" t="s">
        <v>1540</v>
      </c>
      <c r="O262" s="128">
        <v>502</v>
      </c>
      <c r="P262" s="128">
        <v>106</v>
      </c>
      <c r="Q262" s="128">
        <v>90</v>
      </c>
      <c r="R262" s="128">
        <v>210</v>
      </c>
      <c r="S262" s="128">
        <v>47</v>
      </c>
      <c r="T262" s="128">
        <v>54</v>
      </c>
      <c r="U262" s="121">
        <f t="shared" si="15"/>
        <v>507</v>
      </c>
      <c r="V262" s="122" t="str">
        <f t="shared" si="16"/>
        <v>MADYA</v>
      </c>
    </row>
    <row r="263" spans="1:22" x14ac:dyDescent="0.35">
      <c r="A263" s="118">
        <v>262</v>
      </c>
      <c r="B263" s="128" t="s">
        <v>0</v>
      </c>
      <c r="C263" s="128" t="s">
        <v>182</v>
      </c>
      <c r="D263" s="128" t="s">
        <v>1517</v>
      </c>
      <c r="E263" s="128" t="s">
        <v>665</v>
      </c>
      <c r="F263" s="128">
        <v>2018</v>
      </c>
      <c r="G263" s="128">
        <v>0</v>
      </c>
      <c r="H263" s="128">
        <v>24</v>
      </c>
      <c r="I263" s="128">
        <v>24</v>
      </c>
      <c r="J263" s="128" t="s">
        <v>1728</v>
      </c>
      <c r="K263" s="128">
        <v>0</v>
      </c>
      <c r="L263" s="128" t="s">
        <v>2388</v>
      </c>
      <c r="M263" s="128" t="s">
        <v>2389</v>
      </c>
      <c r="N263" s="128" t="s">
        <v>2390</v>
      </c>
      <c r="O263" s="128">
        <v>197</v>
      </c>
      <c r="P263" s="128">
        <v>60</v>
      </c>
      <c r="Q263" s="128">
        <v>41</v>
      </c>
      <c r="R263" s="128">
        <v>75</v>
      </c>
      <c r="S263" s="128">
        <v>10</v>
      </c>
      <c r="T263" s="128">
        <v>26</v>
      </c>
      <c r="U263" s="121">
        <f t="shared" si="15"/>
        <v>212</v>
      </c>
      <c r="V263" s="122" t="str">
        <f t="shared" si="16"/>
        <v>PEMULA</v>
      </c>
    </row>
    <row r="264" spans="1:22" x14ac:dyDescent="0.35">
      <c r="A264" s="118">
        <v>263</v>
      </c>
      <c r="B264" s="128" t="s">
        <v>163</v>
      </c>
      <c r="C264" s="128" t="s">
        <v>201</v>
      </c>
      <c r="D264" s="128" t="s">
        <v>2391</v>
      </c>
      <c r="E264" s="128" t="s">
        <v>2392</v>
      </c>
      <c r="F264" s="128">
        <v>1990</v>
      </c>
      <c r="G264" s="128">
        <v>38</v>
      </c>
      <c r="H264" s="128">
        <v>20</v>
      </c>
      <c r="I264" s="128">
        <v>58</v>
      </c>
      <c r="J264" s="128" t="s">
        <v>2393</v>
      </c>
      <c r="K264" s="128" t="s">
        <v>2394</v>
      </c>
      <c r="L264" s="128" t="s">
        <v>2395</v>
      </c>
      <c r="M264" s="128" t="s">
        <v>2396</v>
      </c>
      <c r="N264" s="128" t="s">
        <v>2397</v>
      </c>
      <c r="O264" s="128">
        <v>608</v>
      </c>
      <c r="P264" s="128">
        <v>132</v>
      </c>
      <c r="Q264" s="128">
        <v>76</v>
      </c>
      <c r="R264" s="128">
        <v>242</v>
      </c>
      <c r="S264" s="128">
        <v>88</v>
      </c>
      <c r="T264" s="128">
        <v>82</v>
      </c>
      <c r="U264" s="121">
        <f t="shared" si="15"/>
        <v>620</v>
      </c>
      <c r="V264" s="122" t="str">
        <f t="shared" si="16"/>
        <v>MADYA</v>
      </c>
    </row>
    <row r="265" spans="1:22" x14ac:dyDescent="0.35">
      <c r="A265" s="118">
        <v>264</v>
      </c>
      <c r="B265" s="128" t="s">
        <v>163</v>
      </c>
      <c r="C265" s="128" t="s">
        <v>201</v>
      </c>
      <c r="D265" s="128" t="s">
        <v>2398</v>
      </c>
      <c r="E265" s="128" t="s">
        <v>144</v>
      </c>
      <c r="F265" s="128">
        <v>1990</v>
      </c>
      <c r="G265" s="128">
        <v>52</v>
      </c>
      <c r="H265" s="128">
        <v>11</v>
      </c>
      <c r="I265" s="128">
        <v>63</v>
      </c>
      <c r="J265" s="128" t="s">
        <v>2393</v>
      </c>
      <c r="K265" s="128" t="s">
        <v>2399</v>
      </c>
      <c r="L265" s="128" t="s">
        <v>2400</v>
      </c>
      <c r="M265" s="128" t="s">
        <v>2401</v>
      </c>
      <c r="N265" s="128" t="s">
        <v>2402</v>
      </c>
      <c r="O265" s="128">
        <v>576</v>
      </c>
      <c r="P265" s="128">
        <v>134</v>
      </c>
      <c r="Q265" s="128">
        <v>68</v>
      </c>
      <c r="R265" s="128">
        <v>219</v>
      </c>
      <c r="S265" s="128">
        <v>83</v>
      </c>
      <c r="T265" s="128">
        <v>81</v>
      </c>
      <c r="U265" s="121">
        <f t="shared" si="15"/>
        <v>585</v>
      </c>
      <c r="V265" s="122" t="str">
        <f t="shared" si="16"/>
        <v>MADYA</v>
      </c>
    </row>
    <row r="266" spans="1:22" x14ac:dyDescent="0.35">
      <c r="A266" s="118">
        <v>265</v>
      </c>
      <c r="B266" s="128" t="s">
        <v>163</v>
      </c>
      <c r="C266" s="128" t="s">
        <v>201</v>
      </c>
      <c r="D266" s="128" t="s">
        <v>2403</v>
      </c>
      <c r="E266" s="128" t="s">
        <v>2404</v>
      </c>
      <c r="F266" s="128">
        <v>1995</v>
      </c>
      <c r="G266" s="128">
        <v>53</v>
      </c>
      <c r="H266" s="128">
        <v>5</v>
      </c>
      <c r="I266" s="128">
        <v>58</v>
      </c>
      <c r="J266" s="128" t="s">
        <v>2393</v>
      </c>
      <c r="K266" s="128" t="s">
        <v>2405</v>
      </c>
      <c r="L266" s="128" t="s">
        <v>2406</v>
      </c>
      <c r="M266" s="128" t="s">
        <v>2407</v>
      </c>
      <c r="N266" s="128" t="s">
        <v>2408</v>
      </c>
      <c r="O266" s="128">
        <v>555</v>
      </c>
      <c r="P266" s="128">
        <v>113</v>
      </c>
      <c r="Q266" s="128">
        <v>73</v>
      </c>
      <c r="R266" s="128">
        <v>211</v>
      </c>
      <c r="S266" s="128">
        <v>82</v>
      </c>
      <c r="T266" s="128">
        <v>89</v>
      </c>
      <c r="U266" s="121">
        <f t="shared" si="15"/>
        <v>568</v>
      </c>
      <c r="V266" s="122" t="str">
        <f t="shared" si="16"/>
        <v>MADYA</v>
      </c>
    </row>
    <row r="267" spans="1:22" x14ac:dyDescent="0.35">
      <c r="A267" s="118">
        <v>266</v>
      </c>
      <c r="B267" s="128" t="s">
        <v>163</v>
      </c>
      <c r="C267" s="128" t="s">
        <v>201</v>
      </c>
      <c r="D267" s="128" t="s">
        <v>2409</v>
      </c>
      <c r="E267" s="128" t="s">
        <v>2410</v>
      </c>
      <c r="F267" s="128">
        <v>1995</v>
      </c>
      <c r="G267" s="128">
        <v>18</v>
      </c>
      <c r="H267" s="128">
        <v>4</v>
      </c>
      <c r="I267" s="128">
        <v>22</v>
      </c>
      <c r="J267" s="128" t="s">
        <v>2393</v>
      </c>
      <c r="K267" s="128" t="s">
        <v>2411</v>
      </c>
      <c r="L267" s="128" t="s">
        <v>2412</v>
      </c>
      <c r="M267" s="128" t="s">
        <v>2413</v>
      </c>
      <c r="N267" s="128" t="s">
        <v>2414</v>
      </c>
      <c r="O267" s="128">
        <v>561</v>
      </c>
      <c r="P267" s="128">
        <v>123</v>
      </c>
      <c r="Q267" s="128">
        <v>73</v>
      </c>
      <c r="R267" s="128">
        <v>212</v>
      </c>
      <c r="S267" s="128">
        <v>83</v>
      </c>
      <c r="T267" s="128">
        <v>82</v>
      </c>
      <c r="U267" s="121">
        <f t="shared" si="15"/>
        <v>573</v>
      </c>
      <c r="V267" s="122" t="str">
        <f t="shared" si="16"/>
        <v>MADYA</v>
      </c>
    </row>
    <row r="268" spans="1:22" x14ac:dyDescent="0.35">
      <c r="A268" s="118">
        <v>267</v>
      </c>
      <c r="B268" s="128" t="s">
        <v>163</v>
      </c>
      <c r="C268" s="128" t="s">
        <v>201</v>
      </c>
      <c r="D268" s="128" t="s">
        <v>2415</v>
      </c>
      <c r="E268" s="128" t="s">
        <v>2416</v>
      </c>
      <c r="F268" s="128">
        <v>1990</v>
      </c>
      <c r="G268" s="128">
        <v>57</v>
      </c>
      <c r="H268" s="128">
        <v>5</v>
      </c>
      <c r="I268" s="128">
        <v>62</v>
      </c>
      <c r="J268" s="128" t="s">
        <v>2393</v>
      </c>
      <c r="K268" s="128" t="s">
        <v>2417</v>
      </c>
      <c r="L268" s="128" t="s">
        <v>2418</v>
      </c>
      <c r="M268" s="128" t="s">
        <v>2419</v>
      </c>
      <c r="N268" s="128" t="s">
        <v>2420</v>
      </c>
      <c r="O268" s="128">
        <v>562</v>
      </c>
      <c r="P268" s="128">
        <v>122</v>
      </c>
      <c r="Q268" s="128">
        <v>73</v>
      </c>
      <c r="R268" s="128">
        <v>212</v>
      </c>
      <c r="S268" s="128">
        <v>84</v>
      </c>
      <c r="T268" s="128">
        <v>83</v>
      </c>
      <c r="U268" s="121">
        <f t="shared" ref="U268:U327" si="17">SUM(P268:T268)</f>
        <v>574</v>
      </c>
      <c r="V268" s="122" t="str">
        <f t="shared" ref="V268:V327" si="18">IF(U268&lt;=245,"PEMULA",IF(U268&lt;=455,"LANJUT",IF(U268&lt;=700,"MADYA","UTAMA")))</f>
        <v>MADYA</v>
      </c>
    </row>
    <row r="269" spans="1:22" x14ac:dyDescent="0.35">
      <c r="A269" s="118">
        <v>268</v>
      </c>
      <c r="B269" s="128" t="s">
        <v>163</v>
      </c>
      <c r="C269" s="128" t="s">
        <v>201</v>
      </c>
      <c r="D269" s="128" t="s">
        <v>2421</v>
      </c>
      <c r="E269" s="128" t="s">
        <v>2422</v>
      </c>
      <c r="F269" s="128">
        <v>1995</v>
      </c>
      <c r="G269" s="128">
        <v>57</v>
      </c>
      <c r="H269" s="128">
        <v>14</v>
      </c>
      <c r="I269" s="128">
        <v>71</v>
      </c>
      <c r="J269" s="128" t="s">
        <v>2393</v>
      </c>
      <c r="K269" s="128" t="s">
        <v>2423</v>
      </c>
      <c r="L269" s="128" t="s">
        <v>2424</v>
      </c>
      <c r="M269" s="128" t="s">
        <v>2425</v>
      </c>
      <c r="N269" s="128" t="s">
        <v>2426</v>
      </c>
      <c r="O269" s="128">
        <v>543</v>
      </c>
      <c r="P269" s="128">
        <v>106</v>
      </c>
      <c r="Q269" s="128">
        <v>68</v>
      </c>
      <c r="R269" s="128">
        <v>210</v>
      </c>
      <c r="S269" s="128">
        <v>91</v>
      </c>
      <c r="T269" s="128">
        <v>80</v>
      </c>
      <c r="U269" s="121">
        <f t="shared" si="17"/>
        <v>555</v>
      </c>
      <c r="V269" s="122" t="str">
        <f t="shared" si="18"/>
        <v>MADYA</v>
      </c>
    </row>
    <row r="270" spans="1:22" x14ac:dyDescent="0.35">
      <c r="A270" s="118">
        <v>269</v>
      </c>
      <c r="B270" s="128" t="s">
        <v>163</v>
      </c>
      <c r="C270" s="128" t="s">
        <v>201</v>
      </c>
      <c r="D270" s="128" t="s">
        <v>2427</v>
      </c>
      <c r="E270" s="128" t="s">
        <v>2428</v>
      </c>
      <c r="F270" s="128">
        <v>1995</v>
      </c>
      <c r="G270" s="128">
        <v>29</v>
      </c>
      <c r="H270" s="128">
        <v>5</v>
      </c>
      <c r="I270" s="128">
        <v>34</v>
      </c>
      <c r="J270" s="128" t="s">
        <v>2393</v>
      </c>
      <c r="K270" s="128" t="s">
        <v>2429</v>
      </c>
      <c r="L270" s="128" t="s">
        <v>2430</v>
      </c>
      <c r="M270" s="128" t="s">
        <v>2431</v>
      </c>
      <c r="N270" s="128" t="s">
        <v>2432</v>
      </c>
      <c r="O270" s="128">
        <v>549</v>
      </c>
      <c r="P270" s="128">
        <v>107</v>
      </c>
      <c r="Q270" s="128">
        <v>66</v>
      </c>
      <c r="R270" s="128">
        <v>208</v>
      </c>
      <c r="S270" s="128">
        <v>96</v>
      </c>
      <c r="T270" s="128">
        <v>84</v>
      </c>
      <c r="U270" s="121">
        <f t="shared" si="17"/>
        <v>561</v>
      </c>
      <c r="V270" s="122" t="str">
        <f t="shared" si="18"/>
        <v>MADYA</v>
      </c>
    </row>
    <row r="271" spans="1:22" x14ac:dyDescent="0.35">
      <c r="A271" s="118">
        <v>270</v>
      </c>
      <c r="B271" s="128" t="s">
        <v>163</v>
      </c>
      <c r="C271" s="128" t="s">
        <v>201</v>
      </c>
      <c r="D271" s="128" t="s">
        <v>2433</v>
      </c>
      <c r="E271" s="128" t="s">
        <v>2434</v>
      </c>
      <c r="F271" s="128">
        <v>1995</v>
      </c>
      <c r="G271" s="128">
        <v>36</v>
      </c>
      <c r="H271" s="128">
        <v>7</v>
      </c>
      <c r="I271" s="128">
        <v>43</v>
      </c>
      <c r="J271" s="128" t="s">
        <v>2393</v>
      </c>
      <c r="K271" s="128" t="s">
        <v>2435</v>
      </c>
      <c r="L271" s="128" t="s">
        <v>2436</v>
      </c>
      <c r="M271" s="128" t="s">
        <v>2437</v>
      </c>
      <c r="N271" s="128" t="s">
        <v>2438</v>
      </c>
      <c r="O271" s="128">
        <v>550</v>
      </c>
      <c r="P271" s="128">
        <v>109</v>
      </c>
      <c r="Q271" s="128">
        <v>67</v>
      </c>
      <c r="R271" s="128">
        <v>207</v>
      </c>
      <c r="S271" s="128">
        <v>98</v>
      </c>
      <c r="T271" s="128">
        <v>81</v>
      </c>
      <c r="U271" s="121">
        <f t="shared" si="17"/>
        <v>562</v>
      </c>
      <c r="V271" s="122" t="str">
        <f t="shared" si="18"/>
        <v>MADYA</v>
      </c>
    </row>
    <row r="272" spans="1:22" x14ac:dyDescent="0.35">
      <c r="A272" s="118">
        <v>271</v>
      </c>
      <c r="B272" s="128" t="s">
        <v>163</v>
      </c>
      <c r="C272" s="128" t="s">
        <v>201</v>
      </c>
      <c r="D272" s="128" t="s">
        <v>2439</v>
      </c>
      <c r="E272" s="128" t="s">
        <v>354</v>
      </c>
      <c r="F272" s="128">
        <v>1995</v>
      </c>
      <c r="G272" s="128">
        <v>77</v>
      </c>
      <c r="H272" s="128">
        <v>18</v>
      </c>
      <c r="I272" s="128">
        <v>95</v>
      </c>
      <c r="J272" s="128" t="s">
        <v>2393</v>
      </c>
      <c r="K272" s="128" t="s">
        <v>2440</v>
      </c>
      <c r="L272" s="128" t="s">
        <v>2441</v>
      </c>
      <c r="M272" s="128" t="s">
        <v>2407</v>
      </c>
      <c r="N272" s="128" t="s">
        <v>2425</v>
      </c>
      <c r="O272" s="128">
        <v>559</v>
      </c>
      <c r="P272" s="128">
        <v>110</v>
      </c>
      <c r="Q272" s="128">
        <v>68</v>
      </c>
      <c r="R272" s="128">
        <v>209</v>
      </c>
      <c r="S272" s="128">
        <v>101</v>
      </c>
      <c r="T272" s="128">
        <v>83</v>
      </c>
      <c r="U272" s="121">
        <f t="shared" si="17"/>
        <v>571</v>
      </c>
      <c r="V272" s="122" t="str">
        <f t="shared" si="18"/>
        <v>MADYA</v>
      </c>
    </row>
    <row r="273" spans="1:22" x14ac:dyDescent="0.35">
      <c r="A273" s="118">
        <v>272</v>
      </c>
      <c r="B273" s="128" t="s">
        <v>163</v>
      </c>
      <c r="C273" s="128" t="s">
        <v>201</v>
      </c>
      <c r="D273" s="128" t="s">
        <v>2442</v>
      </c>
      <c r="E273" s="128" t="s">
        <v>2443</v>
      </c>
      <c r="F273" s="128">
        <v>1995</v>
      </c>
      <c r="G273" s="128">
        <v>55</v>
      </c>
      <c r="H273" s="128">
        <v>18</v>
      </c>
      <c r="I273" s="128">
        <v>73</v>
      </c>
      <c r="J273" s="128" t="s">
        <v>2393</v>
      </c>
      <c r="K273" s="128" t="s">
        <v>2444</v>
      </c>
      <c r="L273" s="128" t="s">
        <v>2445</v>
      </c>
      <c r="M273" s="128" t="s">
        <v>2446</v>
      </c>
      <c r="N273" s="128" t="s">
        <v>2447</v>
      </c>
      <c r="O273" s="128">
        <v>544</v>
      </c>
      <c r="P273" s="128">
        <v>105</v>
      </c>
      <c r="Q273" s="128">
        <v>68</v>
      </c>
      <c r="R273" s="128">
        <v>208</v>
      </c>
      <c r="S273" s="128">
        <v>93</v>
      </c>
      <c r="T273" s="128">
        <v>82</v>
      </c>
      <c r="U273" s="121">
        <f t="shared" si="17"/>
        <v>556</v>
      </c>
      <c r="V273" s="122" t="str">
        <f t="shared" si="18"/>
        <v>MADYA</v>
      </c>
    </row>
    <row r="274" spans="1:22" x14ac:dyDescent="0.35">
      <c r="A274" s="118">
        <v>273</v>
      </c>
      <c r="B274" s="128" t="s">
        <v>163</v>
      </c>
      <c r="C274" s="128" t="s">
        <v>201</v>
      </c>
      <c r="D274" s="128" t="s">
        <v>2448</v>
      </c>
      <c r="E274" s="128" t="s">
        <v>2449</v>
      </c>
      <c r="F274" s="128">
        <v>1995</v>
      </c>
      <c r="G274" s="128">
        <v>91</v>
      </c>
      <c r="H274" s="128">
        <v>7</v>
      </c>
      <c r="I274" s="128">
        <v>98</v>
      </c>
      <c r="J274" s="128" t="s">
        <v>2393</v>
      </c>
      <c r="K274" s="128" t="s">
        <v>2450</v>
      </c>
      <c r="L274" s="128" t="s">
        <v>2451</v>
      </c>
      <c r="M274" s="128" t="s">
        <v>2452</v>
      </c>
      <c r="N274" s="128" t="s">
        <v>2453</v>
      </c>
      <c r="O274" s="128">
        <v>528</v>
      </c>
      <c r="P274" s="128">
        <v>106</v>
      </c>
      <c r="Q274" s="128">
        <v>67</v>
      </c>
      <c r="R274" s="128">
        <v>199</v>
      </c>
      <c r="S274" s="128">
        <v>86</v>
      </c>
      <c r="T274" s="128">
        <v>84</v>
      </c>
      <c r="U274" s="121">
        <f t="shared" si="17"/>
        <v>542</v>
      </c>
      <c r="V274" s="122" t="str">
        <f t="shared" si="18"/>
        <v>MADYA</v>
      </c>
    </row>
    <row r="275" spans="1:22" x14ac:dyDescent="0.35">
      <c r="A275" s="118">
        <v>274</v>
      </c>
      <c r="B275" s="128" t="s">
        <v>163</v>
      </c>
      <c r="C275" s="128" t="s">
        <v>201</v>
      </c>
      <c r="D275" s="128" t="s">
        <v>2454</v>
      </c>
      <c r="E275" s="128" t="s">
        <v>144</v>
      </c>
      <c r="F275" s="128">
        <v>1995</v>
      </c>
      <c r="G275" s="128">
        <v>58</v>
      </c>
      <c r="H275" s="128">
        <v>14</v>
      </c>
      <c r="I275" s="128">
        <v>72</v>
      </c>
      <c r="J275" s="128" t="s">
        <v>2393</v>
      </c>
      <c r="K275" s="128" t="s">
        <v>2455</v>
      </c>
      <c r="L275" s="128" t="s">
        <v>2456</v>
      </c>
      <c r="M275" s="128" t="s">
        <v>2401</v>
      </c>
      <c r="N275" s="128" t="s">
        <v>2457</v>
      </c>
      <c r="O275" s="128">
        <v>542</v>
      </c>
      <c r="P275" s="128">
        <v>107</v>
      </c>
      <c r="Q275" s="128">
        <v>71</v>
      </c>
      <c r="R275" s="128">
        <v>209</v>
      </c>
      <c r="S275" s="128">
        <v>91</v>
      </c>
      <c r="T275" s="128">
        <v>82</v>
      </c>
      <c r="U275" s="121">
        <f t="shared" si="17"/>
        <v>560</v>
      </c>
      <c r="V275" s="122" t="str">
        <f t="shared" si="18"/>
        <v>MADYA</v>
      </c>
    </row>
    <row r="276" spans="1:22" x14ac:dyDescent="0.35">
      <c r="A276" s="118">
        <v>275</v>
      </c>
      <c r="B276" s="128" t="s">
        <v>163</v>
      </c>
      <c r="C276" s="128" t="s">
        <v>201</v>
      </c>
      <c r="D276" s="128" t="s">
        <v>2458</v>
      </c>
      <c r="E276" s="128" t="s">
        <v>127</v>
      </c>
      <c r="F276" s="128">
        <v>1990</v>
      </c>
      <c r="G276" s="128">
        <v>41</v>
      </c>
      <c r="H276" s="128">
        <v>4</v>
      </c>
      <c r="I276" s="128">
        <v>45</v>
      </c>
      <c r="J276" s="128" t="s">
        <v>2393</v>
      </c>
      <c r="K276" s="128" t="s">
        <v>2459</v>
      </c>
      <c r="L276" s="128" t="s">
        <v>2460</v>
      </c>
      <c r="M276" s="128" t="s">
        <v>2461</v>
      </c>
      <c r="N276" s="128" t="s">
        <v>2462</v>
      </c>
      <c r="O276" s="128">
        <v>537</v>
      </c>
      <c r="P276" s="128">
        <v>106</v>
      </c>
      <c r="Q276" s="128">
        <v>70</v>
      </c>
      <c r="R276" s="128">
        <v>212</v>
      </c>
      <c r="S276" s="128">
        <v>86</v>
      </c>
      <c r="T276" s="128">
        <v>84</v>
      </c>
      <c r="U276" s="121">
        <f t="shared" si="17"/>
        <v>558</v>
      </c>
      <c r="V276" s="122" t="str">
        <f t="shared" si="18"/>
        <v>MADYA</v>
      </c>
    </row>
    <row r="277" spans="1:22" x14ac:dyDescent="0.35">
      <c r="A277" s="118">
        <v>276</v>
      </c>
      <c r="B277" s="128" t="s">
        <v>163</v>
      </c>
      <c r="C277" s="128" t="s">
        <v>203</v>
      </c>
      <c r="D277" s="128" t="s">
        <v>2463</v>
      </c>
      <c r="E277" s="128" t="s">
        <v>411</v>
      </c>
      <c r="F277" s="128">
        <v>1986</v>
      </c>
      <c r="G277" s="128">
        <v>44</v>
      </c>
      <c r="H277" s="128">
        <v>18</v>
      </c>
      <c r="I277" s="128">
        <v>62</v>
      </c>
      <c r="J277" s="128" t="s">
        <v>2393</v>
      </c>
      <c r="K277" s="128">
        <v>57.3</v>
      </c>
      <c r="L277" s="128" t="s">
        <v>2464</v>
      </c>
      <c r="M277" s="128" t="s">
        <v>2465</v>
      </c>
      <c r="N277" s="128" t="s">
        <v>1626</v>
      </c>
      <c r="O277" s="128">
        <v>525</v>
      </c>
      <c r="P277" s="128">
        <v>110</v>
      </c>
      <c r="Q277" s="128">
        <v>91</v>
      </c>
      <c r="R277" s="128">
        <v>220</v>
      </c>
      <c r="S277" s="128">
        <v>55</v>
      </c>
      <c r="T277" s="128">
        <v>62</v>
      </c>
      <c r="U277" s="121">
        <f t="shared" si="17"/>
        <v>538</v>
      </c>
      <c r="V277" s="122" t="str">
        <f t="shared" si="18"/>
        <v>MADYA</v>
      </c>
    </row>
    <row r="278" spans="1:22" x14ac:dyDescent="0.35">
      <c r="A278" s="118">
        <v>277</v>
      </c>
      <c r="B278" s="128" t="s">
        <v>163</v>
      </c>
      <c r="C278" s="128" t="s">
        <v>203</v>
      </c>
      <c r="D278" s="128" t="s">
        <v>2466</v>
      </c>
      <c r="E278" s="128" t="s">
        <v>410</v>
      </c>
      <c r="F278" s="128">
        <v>1986</v>
      </c>
      <c r="G278" s="128">
        <v>40</v>
      </c>
      <c r="H278" s="128">
        <v>13</v>
      </c>
      <c r="I278" s="128">
        <v>53</v>
      </c>
      <c r="J278" s="128" t="s">
        <v>2393</v>
      </c>
      <c r="K278" s="128">
        <v>36.5</v>
      </c>
      <c r="L278" s="128" t="s">
        <v>1798</v>
      </c>
      <c r="M278" s="128" t="s">
        <v>2467</v>
      </c>
      <c r="N278" s="128" t="s">
        <v>2298</v>
      </c>
      <c r="O278" s="128">
        <v>470</v>
      </c>
      <c r="P278" s="128">
        <v>103</v>
      </c>
      <c r="Q278" s="128">
        <v>84</v>
      </c>
      <c r="R278" s="128">
        <v>198</v>
      </c>
      <c r="S278" s="128">
        <v>54</v>
      </c>
      <c r="T278" s="128">
        <v>56</v>
      </c>
      <c r="U278" s="121">
        <f t="shared" si="17"/>
        <v>495</v>
      </c>
      <c r="V278" s="122" t="str">
        <f t="shared" si="18"/>
        <v>MADYA</v>
      </c>
    </row>
    <row r="279" spans="1:22" x14ac:dyDescent="0.35">
      <c r="A279" s="118">
        <v>278</v>
      </c>
      <c r="B279" s="128" t="s">
        <v>163</v>
      </c>
      <c r="C279" s="128" t="s">
        <v>203</v>
      </c>
      <c r="D279" s="128" t="s">
        <v>2468</v>
      </c>
      <c r="E279" s="128" t="s">
        <v>466</v>
      </c>
      <c r="F279" s="128">
        <v>1986</v>
      </c>
      <c r="G279" s="128">
        <v>24</v>
      </c>
      <c r="H279" s="128">
        <v>9</v>
      </c>
      <c r="I279" s="128">
        <v>33</v>
      </c>
      <c r="J279" s="128" t="s">
        <v>2393</v>
      </c>
      <c r="K279" s="128">
        <v>37.57</v>
      </c>
      <c r="L279" s="128" t="s">
        <v>1634</v>
      </c>
      <c r="M279" s="128" t="s">
        <v>2469</v>
      </c>
      <c r="N279" s="128" t="s">
        <v>2470</v>
      </c>
      <c r="O279" s="128">
        <v>523</v>
      </c>
      <c r="P279" s="128">
        <v>113</v>
      </c>
      <c r="Q279" s="128">
        <v>88</v>
      </c>
      <c r="R279" s="128">
        <v>231</v>
      </c>
      <c r="S279" s="128">
        <v>47</v>
      </c>
      <c r="T279" s="128">
        <v>63</v>
      </c>
      <c r="U279" s="121">
        <f t="shared" si="17"/>
        <v>542</v>
      </c>
      <c r="V279" s="122" t="str">
        <f t="shared" si="18"/>
        <v>MADYA</v>
      </c>
    </row>
    <row r="280" spans="1:22" x14ac:dyDescent="0.35">
      <c r="A280" s="118">
        <v>279</v>
      </c>
      <c r="B280" s="128" t="s">
        <v>163</v>
      </c>
      <c r="C280" s="128" t="s">
        <v>203</v>
      </c>
      <c r="D280" s="128" t="s">
        <v>2471</v>
      </c>
      <c r="E280" s="128" t="s">
        <v>427</v>
      </c>
      <c r="F280" s="128">
        <v>1986</v>
      </c>
      <c r="G280" s="128">
        <v>79</v>
      </c>
      <c r="H280" s="128">
        <v>23</v>
      </c>
      <c r="I280" s="128">
        <v>102</v>
      </c>
      <c r="J280" s="128" t="s">
        <v>2393</v>
      </c>
      <c r="K280" s="128">
        <v>45.7</v>
      </c>
      <c r="L280" s="128" t="s">
        <v>2472</v>
      </c>
      <c r="M280" s="128" t="s">
        <v>1969</v>
      </c>
      <c r="N280" s="128" t="s">
        <v>2243</v>
      </c>
      <c r="O280" s="128">
        <v>528</v>
      </c>
      <c r="P280" s="128">
        <v>123</v>
      </c>
      <c r="Q280" s="128">
        <v>91</v>
      </c>
      <c r="R280" s="128">
        <v>232</v>
      </c>
      <c r="S280" s="128">
        <v>48</v>
      </c>
      <c r="T280" s="128">
        <v>53</v>
      </c>
      <c r="U280" s="121">
        <f t="shared" si="17"/>
        <v>547</v>
      </c>
      <c r="V280" s="122" t="str">
        <f t="shared" si="18"/>
        <v>MADYA</v>
      </c>
    </row>
    <row r="281" spans="1:22" x14ac:dyDescent="0.35">
      <c r="A281" s="118">
        <v>280</v>
      </c>
      <c r="B281" s="128" t="s">
        <v>163</v>
      </c>
      <c r="C281" s="128" t="s">
        <v>203</v>
      </c>
      <c r="D281" s="128" t="s">
        <v>2087</v>
      </c>
      <c r="E281" s="128" t="s">
        <v>42</v>
      </c>
      <c r="F281" s="128">
        <v>1986</v>
      </c>
      <c r="G281" s="128">
        <v>91</v>
      </c>
      <c r="H281" s="128">
        <v>14</v>
      </c>
      <c r="I281" s="128">
        <v>105</v>
      </c>
      <c r="J281" s="128" t="s">
        <v>2393</v>
      </c>
      <c r="K281" s="128">
        <v>61.46</v>
      </c>
      <c r="L281" s="128" t="s">
        <v>2473</v>
      </c>
      <c r="M281" s="128" t="s">
        <v>2474</v>
      </c>
      <c r="N281" s="128" t="s">
        <v>2473</v>
      </c>
      <c r="O281" s="128">
        <v>545</v>
      </c>
      <c r="P281" s="128">
        <v>135</v>
      </c>
      <c r="Q281" s="128">
        <v>88</v>
      </c>
      <c r="R281" s="128">
        <v>212</v>
      </c>
      <c r="S281" s="128">
        <v>68</v>
      </c>
      <c r="T281" s="128">
        <v>53</v>
      </c>
      <c r="U281" s="121">
        <f t="shared" si="17"/>
        <v>556</v>
      </c>
      <c r="V281" s="122" t="str">
        <f t="shared" si="18"/>
        <v>MADYA</v>
      </c>
    </row>
    <row r="282" spans="1:22" x14ac:dyDescent="0.35">
      <c r="A282" s="118">
        <v>281</v>
      </c>
      <c r="B282" s="128" t="s">
        <v>163</v>
      </c>
      <c r="C282" s="128" t="s">
        <v>203</v>
      </c>
      <c r="D282" s="128" t="s">
        <v>2076</v>
      </c>
      <c r="E282" s="128" t="s">
        <v>468</v>
      </c>
      <c r="F282" s="128">
        <v>1986</v>
      </c>
      <c r="G282" s="128">
        <v>109</v>
      </c>
      <c r="H282" s="128">
        <v>27</v>
      </c>
      <c r="I282" s="128">
        <v>136</v>
      </c>
      <c r="J282" s="128" t="s">
        <v>2393</v>
      </c>
      <c r="K282" s="128">
        <v>44</v>
      </c>
      <c r="L282" s="128" t="s">
        <v>2475</v>
      </c>
      <c r="M282" s="128" t="s">
        <v>2244</v>
      </c>
      <c r="N282" s="128" t="s">
        <v>2476</v>
      </c>
      <c r="O282" s="128">
        <v>472</v>
      </c>
      <c r="P282" s="128">
        <v>109</v>
      </c>
      <c r="Q282" s="128">
        <v>88</v>
      </c>
      <c r="R282" s="128">
        <v>231</v>
      </c>
      <c r="S282" s="128">
        <v>47</v>
      </c>
      <c r="T282" s="128">
        <v>63</v>
      </c>
      <c r="U282" s="121">
        <f t="shared" si="17"/>
        <v>538</v>
      </c>
      <c r="V282" s="122" t="str">
        <f t="shared" si="18"/>
        <v>MADYA</v>
      </c>
    </row>
    <row r="283" spans="1:22" x14ac:dyDescent="0.35">
      <c r="A283" s="118">
        <v>282</v>
      </c>
      <c r="B283" s="128" t="s">
        <v>163</v>
      </c>
      <c r="C283" s="128" t="s">
        <v>203</v>
      </c>
      <c r="D283" s="128" t="s">
        <v>1675</v>
      </c>
      <c r="E283" s="128" t="s">
        <v>471</v>
      </c>
      <c r="F283" s="128">
        <v>2007</v>
      </c>
      <c r="G283" s="128">
        <v>72</v>
      </c>
      <c r="H283" s="128">
        <v>41</v>
      </c>
      <c r="I283" s="128">
        <v>113</v>
      </c>
      <c r="J283" s="128" t="s">
        <v>2393</v>
      </c>
      <c r="K283" s="128">
        <v>65.77</v>
      </c>
      <c r="L283" s="128" t="s">
        <v>2477</v>
      </c>
      <c r="M283" s="128" t="s">
        <v>2478</v>
      </c>
      <c r="N283" s="128" t="s">
        <v>2479</v>
      </c>
      <c r="O283" s="128">
        <v>722</v>
      </c>
      <c r="P283" s="128">
        <v>123</v>
      </c>
      <c r="Q283" s="128">
        <v>91</v>
      </c>
      <c r="R283" s="128">
        <v>232</v>
      </c>
      <c r="S283" s="128">
        <v>48</v>
      </c>
      <c r="T283" s="128">
        <v>53</v>
      </c>
      <c r="U283" s="121">
        <f t="shared" si="17"/>
        <v>547</v>
      </c>
      <c r="V283" s="122" t="str">
        <f t="shared" si="18"/>
        <v>MADYA</v>
      </c>
    </row>
    <row r="284" spans="1:22" x14ac:dyDescent="0.35">
      <c r="A284" s="118">
        <v>283</v>
      </c>
      <c r="B284" s="128" t="s">
        <v>163</v>
      </c>
      <c r="C284" s="128" t="s">
        <v>203</v>
      </c>
      <c r="D284" s="128" t="s">
        <v>1675</v>
      </c>
      <c r="E284" s="128" t="s">
        <v>6258</v>
      </c>
      <c r="F284" s="128">
        <v>2018</v>
      </c>
      <c r="G284" s="128"/>
      <c r="H284" s="128">
        <v>28</v>
      </c>
      <c r="I284" s="128">
        <v>28</v>
      </c>
      <c r="J284" s="128" t="s">
        <v>2393</v>
      </c>
      <c r="K284" s="128">
        <v>0</v>
      </c>
      <c r="L284" s="128" t="s">
        <v>2477</v>
      </c>
      <c r="M284" s="128" t="s">
        <v>2478</v>
      </c>
      <c r="N284" s="128" t="s">
        <v>2479</v>
      </c>
      <c r="O284" s="128">
        <v>439</v>
      </c>
      <c r="P284" s="128">
        <v>135</v>
      </c>
      <c r="Q284" s="128">
        <v>88</v>
      </c>
      <c r="R284" s="128">
        <v>212</v>
      </c>
      <c r="S284" s="128">
        <v>68</v>
      </c>
      <c r="T284" s="128">
        <v>53</v>
      </c>
      <c r="U284" s="121">
        <f t="shared" si="17"/>
        <v>556</v>
      </c>
      <c r="V284" s="122" t="str">
        <f t="shared" si="18"/>
        <v>MADYA</v>
      </c>
    </row>
    <row r="285" spans="1:22" x14ac:dyDescent="0.35">
      <c r="A285" s="118">
        <v>284</v>
      </c>
      <c r="B285" s="128" t="s">
        <v>163</v>
      </c>
      <c r="C285" s="128" t="s">
        <v>203</v>
      </c>
      <c r="D285" s="128" t="s">
        <v>1667</v>
      </c>
      <c r="E285" s="128" t="s">
        <v>469</v>
      </c>
      <c r="F285" s="128">
        <v>1986</v>
      </c>
      <c r="G285" s="128">
        <v>83</v>
      </c>
      <c r="H285" s="128">
        <v>30</v>
      </c>
      <c r="I285" s="128">
        <v>113</v>
      </c>
      <c r="J285" s="128" t="s">
        <v>2393</v>
      </c>
      <c r="K285" s="128">
        <v>80.75</v>
      </c>
      <c r="L285" s="128" t="s">
        <v>1647</v>
      </c>
      <c r="M285" s="128" t="s">
        <v>2480</v>
      </c>
      <c r="N285" s="128" t="s">
        <v>2481</v>
      </c>
      <c r="O285" s="128">
        <v>742</v>
      </c>
      <c r="P285" s="128">
        <v>174</v>
      </c>
      <c r="Q285" s="128">
        <v>92</v>
      </c>
      <c r="R285" s="128">
        <v>316</v>
      </c>
      <c r="S285" s="128">
        <v>86</v>
      </c>
      <c r="T285" s="128">
        <v>90</v>
      </c>
      <c r="U285" s="121">
        <f t="shared" si="17"/>
        <v>758</v>
      </c>
      <c r="V285" s="122" t="str">
        <f t="shared" si="18"/>
        <v>UTAMA</v>
      </c>
    </row>
    <row r="286" spans="1:22" x14ac:dyDescent="0.35">
      <c r="A286" s="118">
        <v>285</v>
      </c>
      <c r="B286" s="128" t="s">
        <v>163</v>
      </c>
      <c r="C286" s="128" t="s">
        <v>203</v>
      </c>
      <c r="D286" s="128" t="s">
        <v>2482</v>
      </c>
      <c r="E286" s="128" t="s">
        <v>470</v>
      </c>
      <c r="F286" s="128">
        <v>1986</v>
      </c>
      <c r="G286" s="128">
        <v>84</v>
      </c>
      <c r="H286" s="128">
        <v>31</v>
      </c>
      <c r="I286" s="128">
        <v>115</v>
      </c>
      <c r="J286" s="128" t="s">
        <v>2393</v>
      </c>
      <c r="K286" s="128">
        <v>70.459999999999994</v>
      </c>
      <c r="L286" s="128" t="s">
        <v>1732</v>
      </c>
      <c r="M286" s="128" t="s">
        <v>1559</v>
      </c>
      <c r="N286" s="128" t="s">
        <v>1908</v>
      </c>
      <c r="O286" s="128">
        <v>711</v>
      </c>
      <c r="P286" s="128">
        <v>175</v>
      </c>
      <c r="Q286" s="128">
        <v>93</v>
      </c>
      <c r="R286" s="128">
        <v>291</v>
      </c>
      <c r="S286" s="128">
        <v>90</v>
      </c>
      <c r="T286" s="128">
        <v>81</v>
      </c>
      <c r="U286" s="121">
        <f t="shared" si="17"/>
        <v>730</v>
      </c>
      <c r="V286" s="122" t="str">
        <f t="shared" si="18"/>
        <v>UTAMA</v>
      </c>
    </row>
    <row r="287" spans="1:22" x14ac:dyDescent="0.35">
      <c r="A287" s="118">
        <v>286</v>
      </c>
      <c r="B287" s="128" t="s">
        <v>163</v>
      </c>
      <c r="C287" s="128" t="s">
        <v>6259</v>
      </c>
      <c r="D287" s="128" t="s">
        <v>2391</v>
      </c>
      <c r="E287" s="128" t="s">
        <v>2483</v>
      </c>
      <c r="F287" s="128">
        <v>1985</v>
      </c>
      <c r="G287" s="128">
        <v>79</v>
      </c>
      <c r="H287" s="128">
        <v>15</v>
      </c>
      <c r="I287" s="128">
        <v>94</v>
      </c>
      <c r="J287" s="128" t="s">
        <v>2393</v>
      </c>
      <c r="K287" s="128">
        <v>67.3</v>
      </c>
      <c r="L287" s="128" t="s">
        <v>2484</v>
      </c>
      <c r="M287" s="128" t="s">
        <v>2485</v>
      </c>
      <c r="N287" s="128" t="s">
        <v>2486</v>
      </c>
      <c r="O287" s="128">
        <v>529</v>
      </c>
      <c r="P287" s="128">
        <v>113</v>
      </c>
      <c r="Q287" s="128">
        <v>91</v>
      </c>
      <c r="R287" s="128">
        <v>213</v>
      </c>
      <c r="S287" s="128">
        <v>56</v>
      </c>
      <c r="T287" s="128">
        <v>66</v>
      </c>
      <c r="U287" s="121">
        <f t="shared" si="17"/>
        <v>539</v>
      </c>
      <c r="V287" s="122" t="str">
        <f t="shared" si="18"/>
        <v>MADYA</v>
      </c>
    </row>
    <row r="288" spans="1:22" x14ac:dyDescent="0.35">
      <c r="A288" s="118">
        <v>287</v>
      </c>
      <c r="B288" s="128" t="s">
        <v>163</v>
      </c>
      <c r="C288" s="128" t="s">
        <v>6259</v>
      </c>
      <c r="D288" s="128" t="s">
        <v>2487</v>
      </c>
      <c r="E288" s="128" t="s">
        <v>112</v>
      </c>
      <c r="F288" s="128">
        <v>1988</v>
      </c>
      <c r="G288" s="128">
        <v>53</v>
      </c>
      <c r="H288" s="128">
        <v>19</v>
      </c>
      <c r="I288" s="128">
        <v>72</v>
      </c>
      <c r="J288" s="128" t="s">
        <v>2393</v>
      </c>
      <c r="K288" s="128">
        <v>37.9</v>
      </c>
      <c r="L288" s="128" t="s">
        <v>2488</v>
      </c>
      <c r="M288" s="128" t="s">
        <v>2489</v>
      </c>
      <c r="N288" s="128" t="s">
        <v>2490</v>
      </c>
      <c r="O288" s="128">
        <v>504</v>
      </c>
      <c r="P288" s="128">
        <v>112</v>
      </c>
      <c r="Q288" s="128">
        <v>86</v>
      </c>
      <c r="R288" s="128">
        <v>202</v>
      </c>
      <c r="S288" s="128">
        <v>56</v>
      </c>
      <c r="T288" s="128">
        <v>58</v>
      </c>
      <c r="U288" s="121">
        <f t="shared" si="17"/>
        <v>514</v>
      </c>
      <c r="V288" s="122" t="str">
        <f t="shared" si="18"/>
        <v>MADYA</v>
      </c>
    </row>
    <row r="289" spans="1:22" x14ac:dyDescent="0.35">
      <c r="A289" s="118">
        <v>288</v>
      </c>
      <c r="B289" s="128" t="s">
        <v>163</v>
      </c>
      <c r="C289" s="128" t="s">
        <v>6259</v>
      </c>
      <c r="D289" s="128" t="s">
        <v>2491</v>
      </c>
      <c r="E289" s="128" t="s">
        <v>686</v>
      </c>
      <c r="F289" s="128">
        <v>1980</v>
      </c>
      <c r="G289" s="128">
        <v>67</v>
      </c>
      <c r="H289" s="128">
        <v>16</v>
      </c>
      <c r="I289" s="128">
        <v>83</v>
      </c>
      <c r="J289" s="128" t="s">
        <v>2393</v>
      </c>
      <c r="K289" s="128">
        <v>33.270000000000003</v>
      </c>
      <c r="L289" s="128" t="s">
        <v>2492</v>
      </c>
      <c r="M289" s="128" t="s">
        <v>2493</v>
      </c>
      <c r="N289" s="128" t="s">
        <v>2494</v>
      </c>
      <c r="O289" s="128">
        <v>541</v>
      </c>
      <c r="P289" s="128">
        <v>115</v>
      </c>
      <c r="Q289" s="128">
        <v>91</v>
      </c>
      <c r="R289" s="128">
        <v>219</v>
      </c>
      <c r="S289" s="128">
        <v>58</v>
      </c>
      <c r="T289" s="128">
        <v>68</v>
      </c>
      <c r="U289" s="121">
        <f t="shared" si="17"/>
        <v>551</v>
      </c>
      <c r="V289" s="122" t="str">
        <f t="shared" si="18"/>
        <v>MADYA</v>
      </c>
    </row>
    <row r="290" spans="1:22" x14ac:dyDescent="0.35">
      <c r="A290" s="118">
        <v>289</v>
      </c>
      <c r="B290" s="128" t="s">
        <v>163</v>
      </c>
      <c r="C290" s="128" t="s">
        <v>6259</v>
      </c>
      <c r="D290" s="128" t="s">
        <v>2495</v>
      </c>
      <c r="E290" s="128" t="s">
        <v>2496</v>
      </c>
      <c r="F290" s="128">
        <v>1980</v>
      </c>
      <c r="G290" s="128">
        <v>53</v>
      </c>
      <c r="H290" s="128">
        <v>17</v>
      </c>
      <c r="I290" s="128">
        <v>70</v>
      </c>
      <c r="J290" s="128" t="s">
        <v>2393</v>
      </c>
      <c r="K290" s="128">
        <v>20.65</v>
      </c>
      <c r="L290" s="128" t="s">
        <v>2497</v>
      </c>
      <c r="M290" s="128" t="s">
        <v>2498</v>
      </c>
      <c r="N290" s="128" t="s">
        <v>2499</v>
      </c>
      <c r="O290" s="128">
        <v>372</v>
      </c>
      <c r="P290" s="128">
        <v>85</v>
      </c>
      <c r="Q290" s="128">
        <v>58</v>
      </c>
      <c r="R290" s="128">
        <v>156</v>
      </c>
      <c r="S290" s="128">
        <v>33</v>
      </c>
      <c r="T290" s="128">
        <v>55</v>
      </c>
      <c r="U290" s="121">
        <f t="shared" si="17"/>
        <v>387</v>
      </c>
      <c r="V290" s="122" t="str">
        <f t="shared" si="18"/>
        <v>LANJUT</v>
      </c>
    </row>
    <row r="291" spans="1:22" x14ac:dyDescent="0.35">
      <c r="A291" s="118">
        <v>290</v>
      </c>
      <c r="B291" s="128" t="s">
        <v>163</v>
      </c>
      <c r="C291" s="128" t="s">
        <v>6259</v>
      </c>
      <c r="D291" s="128" t="s">
        <v>2500</v>
      </c>
      <c r="E291" s="128" t="s">
        <v>133</v>
      </c>
      <c r="F291" s="128">
        <v>1989</v>
      </c>
      <c r="G291" s="128">
        <v>55</v>
      </c>
      <c r="H291" s="128">
        <v>7</v>
      </c>
      <c r="I291" s="128">
        <v>62</v>
      </c>
      <c r="J291" s="128" t="s">
        <v>2393</v>
      </c>
      <c r="K291" s="128">
        <v>37.65</v>
      </c>
      <c r="L291" s="128" t="s">
        <v>2437</v>
      </c>
      <c r="M291" s="128" t="s">
        <v>2501</v>
      </c>
      <c r="N291" s="128" t="s">
        <v>2502</v>
      </c>
      <c r="O291" s="128">
        <v>505</v>
      </c>
      <c r="P291" s="128">
        <v>109</v>
      </c>
      <c r="Q291" s="128">
        <v>89</v>
      </c>
      <c r="R291" s="128">
        <v>211</v>
      </c>
      <c r="S291" s="128">
        <v>49</v>
      </c>
      <c r="T291" s="128">
        <v>59</v>
      </c>
      <c r="U291" s="121">
        <f t="shared" si="17"/>
        <v>517</v>
      </c>
      <c r="V291" s="122" t="str">
        <f t="shared" si="18"/>
        <v>MADYA</v>
      </c>
    </row>
    <row r="292" spans="1:22" x14ac:dyDescent="0.35">
      <c r="A292" s="118">
        <v>291</v>
      </c>
      <c r="B292" s="128" t="s">
        <v>163</v>
      </c>
      <c r="C292" s="128" t="s">
        <v>6259</v>
      </c>
      <c r="D292" s="128" t="s">
        <v>2503</v>
      </c>
      <c r="E292" s="128" t="s">
        <v>2504</v>
      </c>
      <c r="F292" s="128">
        <v>1988</v>
      </c>
      <c r="G292" s="128">
        <v>37</v>
      </c>
      <c r="H292" s="128">
        <v>2</v>
      </c>
      <c r="I292" s="128">
        <v>39</v>
      </c>
      <c r="J292" s="128" t="s">
        <v>2393</v>
      </c>
      <c r="K292" s="128">
        <v>21.6</v>
      </c>
      <c r="L292" s="128" t="s">
        <v>2406</v>
      </c>
      <c r="M292" s="128" t="s">
        <v>2505</v>
      </c>
      <c r="N292" s="128" t="s">
        <v>2506</v>
      </c>
      <c r="O292" s="128">
        <v>354</v>
      </c>
      <c r="P292" s="128">
        <v>85</v>
      </c>
      <c r="Q292" s="128">
        <v>58</v>
      </c>
      <c r="R292" s="128">
        <v>141</v>
      </c>
      <c r="S292" s="128">
        <v>29</v>
      </c>
      <c r="T292" s="128">
        <v>54</v>
      </c>
      <c r="U292" s="121">
        <f t="shared" si="17"/>
        <v>367</v>
      </c>
      <c r="V292" s="122" t="str">
        <f t="shared" si="18"/>
        <v>LANJUT</v>
      </c>
    </row>
    <row r="293" spans="1:22" x14ac:dyDescent="0.35">
      <c r="A293" s="118">
        <v>292</v>
      </c>
      <c r="B293" s="128" t="s">
        <v>163</v>
      </c>
      <c r="C293" s="128" t="s">
        <v>6259</v>
      </c>
      <c r="D293" s="128" t="s">
        <v>2507</v>
      </c>
      <c r="E293" s="128" t="s">
        <v>144</v>
      </c>
      <c r="F293" s="128">
        <v>2005</v>
      </c>
      <c r="G293" s="128">
        <v>58</v>
      </c>
      <c r="H293" s="128">
        <v>13</v>
      </c>
      <c r="I293" s="128">
        <v>71</v>
      </c>
      <c r="J293" s="128" t="s">
        <v>2393</v>
      </c>
      <c r="K293" s="128">
        <v>29.91</v>
      </c>
      <c r="L293" s="128" t="s">
        <v>2408</v>
      </c>
      <c r="M293" s="128" t="s">
        <v>2508</v>
      </c>
      <c r="N293" s="128" t="s">
        <v>2509</v>
      </c>
      <c r="O293" s="128">
        <v>334</v>
      </c>
      <c r="P293" s="128">
        <v>84</v>
      </c>
      <c r="Q293" s="128">
        <v>63</v>
      </c>
      <c r="R293" s="128">
        <v>135</v>
      </c>
      <c r="S293" s="128">
        <v>30</v>
      </c>
      <c r="T293" s="128">
        <v>42</v>
      </c>
      <c r="U293" s="121">
        <f t="shared" si="17"/>
        <v>354</v>
      </c>
      <c r="V293" s="122" t="str">
        <f t="shared" si="18"/>
        <v>LANJUT</v>
      </c>
    </row>
    <row r="294" spans="1:22" x14ac:dyDescent="0.35">
      <c r="A294" s="118">
        <v>293</v>
      </c>
      <c r="B294" s="128" t="s">
        <v>163</v>
      </c>
      <c r="C294" s="128" t="s">
        <v>6259</v>
      </c>
      <c r="D294" s="128" t="s">
        <v>2510</v>
      </c>
      <c r="E294" s="128" t="s">
        <v>2511</v>
      </c>
      <c r="F294" s="128">
        <v>1988</v>
      </c>
      <c r="G294" s="128">
        <v>35</v>
      </c>
      <c r="H294" s="128">
        <v>7</v>
      </c>
      <c r="I294" s="128">
        <v>42</v>
      </c>
      <c r="J294" s="128" t="s">
        <v>2393</v>
      </c>
      <c r="K294" s="128">
        <v>22.55</v>
      </c>
      <c r="L294" s="128" t="s">
        <v>2512</v>
      </c>
      <c r="M294" s="128" t="s">
        <v>2513</v>
      </c>
      <c r="N294" s="128" t="s">
        <v>2426</v>
      </c>
      <c r="O294" s="128">
        <v>539</v>
      </c>
      <c r="P294" s="128">
        <v>118</v>
      </c>
      <c r="Q294" s="128">
        <v>91</v>
      </c>
      <c r="R294" s="128">
        <v>218</v>
      </c>
      <c r="S294" s="128">
        <v>58</v>
      </c>
      <c r="T294" s="128">
        <v>67</v>
      </c>
      <c r="U294" s="121">
        <f t="shared" si="17"/>
        <v>552</v>
      </c>
      <c r="V294" s="122" t="str">
        <f t="shared" si="18"/>
        <v>MADYA</v>
      </c>
    </row>
    <row r="295" spans="1:22" x14ac:dyDescent="0.35">
      <c r="A295" s="118">
        <v>294</v>
      </c>
      <c r="B295" s="128" t="s">
        <v>163</v>
      </c>
      <c r="C295" s="128" t="s">
        <v>6259</v>
      </c>
      <c r="D295" s="128" t="s">
        <v>2514</v>
      </c>
      <c r="E295" s="128" t="s">
        <v>158</v>
      </c>
      <c r="F295" s="128">
        <v>2001</v>
      </c>
      <c r="G295" s="128">
        <v>40</v>
      </c>
      <c r="H295" s="128">
        <v>7</v>
      </c>
      <c r="I295" s="128">
        <v>47</v>
      </c>
      <c r="J295" s="128" t="s">
        <v>2393</v>
      </c>
      <c r="K295" s="128">
        <v>27.3</v>
      </c>
      <c r="L295" s="128" t="s">
        <v>2515</v>
      </c>
      <c r="M295" s="128" t="s">
        <v>2516</v>
      </c>
      <c r="N295" s="128" t="s">
        <v>2517</v>
      </c>
      <c r="O295" s="128">
        <v>353</v>
      </c>
      <c r="P295" s="128">
        <v>85</v>
      </c>
      <c r="Q295" s="128">
        <v>60</v>
      </c>
      <c r="R295" s="128">
        <v>146</v>
      </c>
      <c r="S295" s="128">
        <v>32</v>
      </c>
      <c r="T295" s="128">
        <v>44</v>
      </c>
      <c r="U295" s="121">
        <f t="shared" si="17"/>
        <v>367</v>
      </c>
      <c r="V295" s="122" t="str">
        <f t="shared" si="18"/>
        <v>LANJUT</v>
      </c>
    </row>
    <row r="296" spans="1:22" x14ac:dyDescent="0.35">
      <c r="A296" s="118">
        <v>295</v>
      </c>
      <c r="B296" s="128" t="s">
        <v>163</v>
      </c>
      <c r="C296" s="128" t="s">
        <v>6259</v>
      </c>
      <c r="D296" s="128" t="s">
        <v>2518</v>
      </c>
      <c r="E296" s="128" t="s">
        <v>390</v>
      </c>
      <c r="F296" s="128">
        <v>1980</v>
      </c>
      <c r="G296" s="128">
        <v>30</v>
      </c>
      <c r="H296" s="128">
        <v>14</v>
      </c>
      <c r="I296" s="128">
        <v>44</v>
      </c>
      <c r="J296" s="128" t="s">
        <v>2393</v>
      </c>
      <c r="K296" s="128">
        <v>29</v>
      </c>
      <c r="L296" s="128" t="s">
        <v>2519</v>
      </c>
      <c r="M296" s="128" t="s">
        <v>2520</v>
      </c>
      <c r="N296" s="128" t="s">
        <v>2521</v>
      </c>
      <c r="O296" s="128">
        <v>332</v>
      </c>
      <c r="P296" s="128">
        <v>84</v>
      </c>
      <c r="Q296" s="128">
        <v>59</v>
      </c>
      <c r="R296" s="128">
        <v>132</v>
      </c>
      <c r="S296" s="128">
        <v>31</v>
      </c>
      <c r="T296" s="128">
        <v>42</v>
      </c>
      <c r="U296" s="121">
        <f t="shared" si="17"/>
        <v>348</v>
      </c>
      <c r="V296" s="122" t="str">
        <f t="shared" si="18"/>
        <v>LANJUT</v>
      </c>
    </row>
    <row r="297" spans="1:22" x14ac:dyDescent="0.35">
      <c r="A297" s="118">
        <v>296</v>
      </c>
      <c r="B297" s="128" t="s">
        <v>163</v>
      </c>
      <c r="C297" s="128" t="s">
        <v>6259</v>
      </c>
      <c r="D297" s="128" t="s">
        <v>2522</v>
      </c>
      <c r="E297" s="128" t="s">
        <v>398</v>
      </c>
      <c r="F297" s="128">
        <v>1998</v>
      </c>
      <c r="G297" s="128">
        <v>31</v>
      </c>
      <c r="H297" s="128">
        <v>10</v>
      </c>
      <c r="I297" s="128">
        <v>41</v>
      </c>
      <c r="J297" s="128" t="s">
        <v>2393</v>
      </c>
      <c r="K297" s="128">
        <v>19.350000000000001</v>
      </c>
      <c r="L297" s="128" t="s">
        <v>2523</v>
      </c>
      <c r="M297" s="128" t="s">
        <v>2524</v>
      </c>
      <c r="N297" s="128" t="s">
        <v>2525</v>
      </c>
      <c r="O297" s="128">
        <v>560</v>
      </c>
      <c r="P297" s="128">
        <v>117</v>
      </c>
      <c r="Q297" s="128">
        <v>98</v>
      </c>
      <c r="R297" s="128">
        <v>225</v>
      </c>
      <c r="S297" s="128">
        <v>60</v>
      </c>
      <c r="T297" s="128">
        <v>70</v>
      </c>
      <c r="U297" s="121">
        <f t="shared" si="17"/>
        <v>570</v>
      </c>
      <c r="V297" s="122" t="str">
        <f t="shared" si="18"/>
        <v>MADYA</v>
      </c>
    </row>
    <row r="298" spans="1:22" x14ac:dyDescent="0.35">
      <c r="A298" s="118">
        <v>297</v>
      </c>
      <c r="B298" s="128" t="s">
        <v>163</v>
      </c>
      <c r="C298" s="128" t="s">
        <v>6259</v>
      </c>
      <c r="D298" s="128" t="s">
        <v>2526</v>
      </c>
      <c r="E298" s="128" t="s">
        <v>389</v>
      </c>
      <c r="F298" s="128">
        <v>1988</v>
      </c>
      <c r="G298" s="128">
        <v>40</v>
      </c>
      <c r="H298" s="128">
        <v>15</v>
      </c>
      <c r="I298" s="128">
        <v>55</v>
      </c>
      <c r="J298" s="128" t="s">
        <v>2393</v>
      </c>
      <c r="K298" s="128">
        <v>23.1</v>
      </c>
      <c r="L298" s="128" t="s">
        <v>2527</v>
      </c>
      <c r="M298" s="128" t="s">
        <v>2508</v>
      </c>
      <c r="N298" s="128" t="s">
        <v>2528</v>
      </c>
      <c r="O298" s="128">
        <v>337</v>
      </c>
      <c r="P298" s="128">
        <v>83</v>
      </c>
      <c r="Q298" s="128">
        <v>58</v>
      </c>
      <c r="R298" s="128">
        <v>139</v>
      </c>
      <c r="S298" s="128">
        <v>29</v>
      </c>
      <c r="T298" s="128">
        <v>41</v>
      </c>
      <c r="U298" s="121">
        <f t="shared" si="17"/>
        <v>350</v>
      </c>
      <c r="V298" s="122" t="str">
        <f t="shared" si="18"/>
        <v>LANJUT</v>
      </c>
    </row>
    <row r="299" spans="1:22" x14ac:dyDescent="0.35">
      <c r="A299" s="118">
        <v>298</v>
      </c>
      <c r="B299" s="128" t="s">
        <v>163</v>
      </c>
      <c r="C299" s="128" t="s">
        <v>6259</v>
      </c>
      <c r="D299" s="128" t="s">
        <v>2529</v>
      </c>
      <c r="E299" s="128" t="s">
        <v>2530</v>
      </c>
      <c r="F299" s="128">
        <v>1988</v>
      </c>
      <c r="G299" s="128">
        <v>64</v>
      </c>
      <c r="H299" s="128">
        <v>14</v>
      </c>
      <c r="I299" s="128">
        <v>78</v>
      </c>
      <c r="J299" s="128" t="s">
        <v>2393</v>
      </c>
      <c r="K299" s="128">
        <v>25.64</v>
      </c>
      <c r="L299" s="128" t="s">
        <v>2531</v>
      </c>
      <c r="M299" s="128" t="s">
        <v>2532</v>
      </c>
      <c r="N299" s="128" t="s">
        <v>2533</v>
      </c>
      <c r="O299" s="128">
        <v>336</v>
      </c>
      <c r="P299" s="128">
        <v>83</v>
      </c>
      <c r="Q299" s="128">
        <v>58</v>
      </c>
      <c r="R299" s="128">
        <v>137</v>
      </c>
      <c r="S299" s="128">
        <v>30</v>
      </c>
      <c r="T299" s="128">
        <v>40</v>
      </c>
      <c r="U299" s="121">
        <f t="shared" si="17"/>
        <v>348</v>
      </c>
      <c r="V299" s="122" t="str">
        <f t="shared" si="18"/>
        <v>LANJUT</v>
      </c>
    </row>
    <row r="300" spans="1:22" x14ac:dyDescent="0.35">
      <c r="A300" s="118">
        <v>299</v>
      </c>
      <c r="B300" s="128" t="s">
        <v>163</v>
      </c>
      <c r="C300" s="128" t="s">
        <v>6259</v>
      </c>
      <c r="D300" s="128" t="s">
        <v>2534</v>
      </c>
      <c r="E300" s="128" t="s">
        <v>2535</v>
      </c>
      <c r="F300" s="128">
        <v>1999</v>
      </c>
      <c r="G300" s="128">
        <v>25</v>
      </c>
      <c r="H300" s="128">
        <v>10</v>
      </c>
      <c r="I300" s="128">
        <v>35</v>
      </c>
      <c r="J300" s="128" t="s">
        <v>2393</v>
      </c>
      <c r="K300" s="128">
        <v>20</v>
      </c>
      <c r="L300" s="128" t="s">
        <v>2536</v>
      </c>
      <c r="M300" s="128" t="s">
        <v>2505</v>
      </c>
      <c r="N300" s="128" t="s">
        <v>2537</v>
      </c>
      <c r="O300" s="128">
        <v>479</v>
      </c>
      <c r="P300" s="128">
        <v>107</v>
      </c>
      <c r="Q300" s="128">
        <v>84</v>
      </c>
      <c r="R300" s="128">
        <v>200</v>
      </c>
      <c r="S300" s="128">
        <v>45</v>
      </c>
      <c r="T300" s="128">
        <v>55</v>
      </c>
      <c r="U300" s="121">
        <f t="shared" si="17"/>
        <v>491</v>
      </c>
      <c r="V300" s="122" t="str">
        <f t="shared" si="18"/>
        <v>MADYA</v>
      </c>
    </row>
    <row r="301" spans="1:22" x14ac:dyDescent="0.35">
      <c r="A301" s="118">
        <v>300</v>
      </c>
      <c r="B301" s="128" t="s">
        <v>163</v>
      </c>
      <c r="C301" s="128" t="s">
        <v>6259</v>
      </c>
      <c r="D301" s="128" t="s">
        <v>2538</v>
      </c>
      <c r="E301" s="128" t="s">
        <v>121</v>
      </c>
      <c r="F301" s="128">
        <v>1980</v>
      </c>
      <c r="G301" s="128">
        <v>29</v>
      </c>
      <c r="H301" s="128">
        <v>11</v>
      </c>
      <c r="I301" s="128">
        <v>40</v>
      </c>
      <c r="J301" s="128" t="s">
        <v>2393</v>
      </c>
      <c r="K301" s="128">
        <v>21.05</v>
      </c>
      <c r="L301" s="128" t="s">
        <v>2539</v>
      </c>
      <c r="M301" s="128" t="s">
        <v>2540</v>
      </c>
      <c r="N301" s="128" t="s">
        <v>2541</v>
      </c>
      <c r="O301" s="128">
        <v>331</v>
      </c>
      <c r="P301" s="128">
        <v>82</v>
      </c>
      <c r="Q301" s="128">
        <v>55</v>
      </c>
      <c r="R301" s="128">
        <v>135</v>
      </c>
      <c r="S301" s="128">
        <v>30</v>
      </c>
      <c r="T301" s="128">
        <v>41</v>
      </c>
      <c r="U301" s="121">
        <f t="shared" si="17"/>
        <v>343</v>
      </c>
      <c r="V301" s="122" t="str">
        <f t="shared" si="18"/>
        <v>LANJUT</v>
      </c>
    </row>
    <row r="302" spans="1:22" x14ac:dyDescent="0.35">
      <c r="A302" s="118">
        <v>301</v>
      </c>
      <c r="B302" s="128" t="s">
        <v>163</v>
      </c>
      <c r="C302" s="128" t="s">
        <v>6259</v>
      </c>
      <c r="D302" s="128" t="s">
        <v>2542</v>
      </c>
      <c r="E302" s="128" t="s">
        <v>2543</v>
      </c>
      <c r="F302" s="128">
        <v>1988</v>
      </c>
      <c r="G302" s="128">
        <v>67</v>
      </c>
      <c r="H302" s="128">
        <v>16</v>
      </c>
      <c r="I302" s="128">
        <v>83</v>
      </c>
      <c r="J302" s="128" t="s">
        <v>2393</v>
      </c>
      <c r="K302" s="128">
        <v>49.8</v>
      </c>
      <c r="L302" s="128" t="s">
        <v>2544</v>
      </c>
      <c r="M302" s="128" t="s">
        <v>2519</v>
      </c>
      <c r="N302" s="128" t="s">
        <v>2545</v>
      </c>
      <c r="O302" s="128">
        <v>712</v>
      </c>
      <c r="P302" s="128">
        <v>130</v>
      </c>
      <c r="Q302" s="128">
        <v>100</v>
      </c>
      <c r="R302" s="128">
        <v>307</v>
      </c>
      <c r="S302" s="128">
        <v>84</v>
      </c>
      <c r="T302" s="128">
        <v>104</v>
      </c>
      <c r="U302" s="121">
        <f t="shared" si="17"/>
        <v>725</v>
      </c>
      <c r="V302" s="122" t="str">
        <f t="shared" si="18"/>
        <v>UTAMA</v>
      </c>
    </row>
    <row r="303" spans="1:22" x14ac:dyDescent="0.35">
      <c r="A303" s="118">
        <v>302</v>
      </c>
      <c r="B303" s="128" t="s">
        <v>163</v>
      </c>
      <c r="C303" s="128" t="s">
        <v>6259</v>
      </c>
      <c r="D303" s="128" t="s">
        <v>2546</v>
      </c>
      <c r="E303" s="128" t="s">
        <v>1255</v>
      </c>
      <c r="F303" s="128">
        <v>1988</v>
      </c>
      <c r="G303" s="128">
        <v>57</v>
      </c>
      <c r="H303" s="128">
        <v>21</v>
      </c>
      <c r="I303" s="128">
        <v>78</v>
      </c>
      <c r="J303" s="128" t="s">
        <v>2393</v>
      </c>
      <c r="K303" s="128">
        <v>37.6</v>
      </c>
      <c r="L303" s="128" t="s">
        <v>2547</v>
      </c>
      <c r="M303" s="128" t="s">
        <v>2548</v>
      </c>
      <c r="N303" s="128" t="s">
        <v>2549</v>
      </c>
      <c r="O303" s="128">
        <v>333</v>
      </c>
      <c r="P303" s="128">
        <v>82</v>
      </c>
      <c r="Q303" s="128">
        <v>56</v>
      </c>
      <c r="R303" s="128">
        <v>136</v>
      </c>
      <c r="S303" s="128">
        <v>31</v>
      </c>
      <c r="T303" s="128">
        <v>40</v>
      </c>
      <c r="U303" s="121">
        <f t="shared" si="17"/>
        <v>345</v>
      </c>
      <c r="V303" s="122" t="str">
        <f t="shared" si="18"/>
        <v>LANJUT</v>
      </c>
    </row>
    <row r="304" spans="1:22" x14ac:dyDescent="0.35">
      <c r="A304" s="118">
        <v>303</v>
      </c>
      <c r="B304" s="128" t="s">
        <v>163</v>
      </c>
      <c r="C304" s="128" t="s">
        <v>204</v>
      </c>
      <c r="D304" s="128" t="s">
        <v>2551</v>
      </c>
      <c r="E304" s="128" t="s">
        <v>158</v>
      </c>
      <c r="F304" s="128">
        <v>1986</v>
      </c>
      <c r="G304" s="128">
        <v>29</v>
      </c>
      <c r="H304" s="128">
        <v>13</v>
      </c>
      <c r="I304" s="128">
        <v>42</v>
      </c>
      <c r="J304" s="128" t="s">
        <v>2393</v>
      </c>
      <c r="K304" s="128">
        <v>29.39</v>
      </c>
      <c r="L304" s="128" t="s">
        <v>2552</v>
      </c>
      <c r="M304" s="128" t="s">
        <v>2553</v>
      </c>
      <c r="N304" s="128" t="s">
        <v>2554</v>
      </c>
      <c r="O304" s="128">
        <v>724</v>
      </c>
      <c r="P304" s="128">
        <v>130</v>
      </c>
      <c r="Q304" s="128">
        <v>99</v>
      </c>
      <c r="R304" s="128">
        <v>300</v>
      </c>
      <c r="S304" s="128">
        <v>88</v>
      </c>
      <c r="T304" s="128">
        <v>107</v>
      </c>
      <c r="U304" s="121">
        <f t="shared" si="17"/>
        <v>724</v>
      </c>
      <c r="V304" s="122" t="str">
        <f t="shared" si="18"/>
        <v>UTAMA</v>
      </c>
    </row>
    <row r="305" spans="1:22" x14ac:dyDescent="0.35">
      <c r="A305" s="118">
        <v>304</v>
      </c>
      <c r="B305" s="128" t="s">
        <v>163</v>
      </c>
      <c r="C305" s="128" t="s">
        <v>204</v>
      </c>
      <c r="D305" s="128" t="s">
        <v>2555</v>
      </c>
      <c r="E305" s="128" t="s">
        <v>354</v>
      </c>
      <c r="F305" s="128">
        <v>1987</v>
      </c>
      <c r="G305" s="128">
        <v>13</v>
      </c>
      <c r="H305" s="128">
        <v>10</v>
      </c>
      <c r="I305" s="128">
        <v>23</v>
      </c>
      <c r="J305" s="128" t="s">
        <v>2393</v>
      </c>
      <c r="K305" s="128">
        <v>29.06</v>
      </c>
      <c r="L305" s="128" t="s">
        <v>2556</v>
      </c>
      <c r="M305" s="128" t="s">
        <v>2557</v>
      </c>
      <c r="N305" s="128" t="s">
        <v>2558</v>
      </c>
      <c r="O305" s="128">
        <v>564</v>
      </c>
      <c r="P305" s="128">
        <v>112</v>
      </c>
      <c r="Q305" s="128">
        <v>97</v>
      </c>
      <c r="R305" s="128">
        <v>206</v>
      </c>
      <c r="S305" s="128">
        <v>71</v>
      </c>
      <c r="T305" s="128">
        <v>78</v>
      </c>
      <c r="U305" s="121">
        <f t="shared" si="17"/>
        <v>564</v>
      </c>
      <c r="V305" s="122" t="str">
        <f t="shared" si="18"/>
        <v>MADYA</v>
      </c>
    </row>
    <row r="306" spans="1:22" x14ac:dyDescent="0.35">
      <c r="A306" s="118">
        <v>305</v>
      </c>
      <c r="B306" s="128" t="s">
        <v>163</v>
      </c>
      <c r="C306" s="128" t="s">
        <v>204</v>
      </c>
      <c r="D306" s="128" t="s">
        <v>2559</v>
      </c>
      <c r="E306" s="128" t="s">
        <v>380</v>
      </c>
      <c r="F306" s="128">
        <v>1987</v>
      </c>
      <c r="G306" s="128">
        <v>25</v>
      </c>
      <c r="H306" s="128">
        <v>15</v>
      </c>
      <c r="I306" s="128">
        <v>40</v>
      </c>
      <c r="J306" s="128" t="s">
        <v>2393</v>
      </c>
      <c r="K306" s="128">
        <v>34.46</v>
      </c>
      <c r="L306" s="128" t="s">
        <v>2560</v>
      </c>
      <c r="M306" s="128" t="s">
        <v>2561</v>
      </c>
      <c r="N306" s="128" t="s">
        <v>2493</v>
      </c>
      <c r="O306" s="128">
        <v>572</v>
      </c>
      <c r="P306" s="128">
        <v>110</v>
      </c>
      <c r="Q306" s="128">
        <v>101</v>
      </c>
      <c r="R306" s="128">
        <v>223</v>
      </c>
      <c r="S306" s="128">
        <v>75</v>
      </c>
      <c r="T306" s="128">
        <v>70</v>
      </c>
      <c r="U306" s="121">
        <f t="shared" si="17"/>
        <v>579</v>
      </c>
      <c r="V306" s="122" t="str">
        <f t="shared" si="18"/>
        <v>MADYA</v>
      </c>
    </row>
    <row r="307" spans="1:22" x14ac:dyDescent="0.35">
      <c r="A307" s="118">
        <v>306</v>
      </c>
      <c r="B307" s="128" t="s">
        <v>163</v>
      </c>
      <c r="C307" s="128" t="s">
        <v>204</v>
      </c>
      <c r="D307" s="128" t="s">
        <v>2562</v>
      </c>
      <c r="E307" s="128" t="s">
        <v>686</v>
      </c>
      <c r="F307" s="128">
        <v>1987</v>
      </c>
      <c r="G307" s="128">
        <v>20</v>
      </c>
      <c r="H307" s="128">
        <v>13</v>
      </c>
      <c r="I307" s="128">
        <v>33</v>
      </c>
      <c r="J307" s="128" t="s">
        <v>2393</v>
      </c>
      <c r="K307" s="128">
        <v>31.18</v>
      </c>
      <c r="L307" s="128" t="s">
        <v>2563</v>
      </c>
      <c r="M307" s="128" t="s">
        <v>2564</v>
      </c>
      <c r="N307" s="128" t="s">
        <v>2565</v>
      </c>
      <c r="O307" s="128">
        <v>573</v>
      </c>
      <c r="P307" s="128">
        <v>120</v>
      </c>
      <c r="Q307" s="128">
        <v>100</v>
      </c>
      <c r="R307" s="128">
        <v>221</v>
      </c>
      <c r="S307" s="128">
        <v>72</v>
      </c>
      <c r="T307" s="128">
        <v>75</v>
      </c>
      <c r="U307" s="121">
        <f t="shared" si="17"/>
        <v>588</v>
      </c>
      <c r="V307" s="122" t="str">
        <f t="shared" si="18"/>
        <v>MADYA</v>
      </c>
    </row>
    <row r="308" spans="1:22" x14ac:dyDescent="0.35">
      <c r="A308" s="118">
        <v>307</v>
      </c>
      <c r="B308" s="128" t="s">
        <v>163</v>
      </c>
      <c r="C308" s="128" t="s">
        <v>204</v>
      </c>
      <c r="D308" s="128" t="s">
        <v>2391</v>
      </c>
      <c r="E308" s="128" t="s">
        <v>351</v>
      </c>
      <c r="F308" s="128">
        <v>1990</v>
      </c>
      <c r="G308" s="128">
        <v>31</v>
      </c>
      <c r="H308" s="128">
        <v>14</v>
      </c>
      <c r="I308" s="128">
        <v>45</v>
      </c>
      <c r="J308" s="128" t="s">
        <v>2393</v>
      </c>
      <c r="K308" s="128">
        <v>41.79</v>
      </c>
      <c r="L308" s="128" t="s">
        <v>2566</v>
      </c>
      <c r="M308" s="128" t="s">
        <v>2567</v>
      </c>
      <c r="N308" s="128" t="s">
        <v>2568</v>
      </c>
      <c r="O308" s="128">
        <v>549</v>
      </c>
      <c r="P308" s="128">
        <v>110</v>
      </c>
      <c r="Q308" s="128">
        <v>101</v>
      </c>
      <c r="R308" s="128">
        <v>202</v>
      </c>
      <c r="S308" s="128">
        <v>73</v>
      </c>
      <c r="T308" s="128">
        <v>70</v>
      </c>
      <c r="U308" s="121">
        <f t="shared" si="17"/>
        <v>556</v>
      </c>
      <c r="V308" s="122" t="str">
        <f t="shared" si="18"/>
        <v>MADYA</v>
      </c>
    </row>
    <row r="309" spans="1:22" x14ac:dyDescent="0.35">
      <c r="A309" s="118">
        <v>308</v>
      </c>
      <c r="B309" s="128" t="s">
        <v>163</v>
      </c>
      <c r="C309" s="128" t="s">
        <v>204</v>
      </c>
      <c r="D309" s="128" t="s">
        <v>2569</v>
      </c>
      <c r="E309" s="128" t="s">
        <v>2570</v>
      </c>
      <c r="F309" s="128">
        <v>1990</v>
      </c>
      <c r="G309" s="128">
        <v>25</v>
      </c>
      <c r="H309" s="128">
        <v>18</v>
      </c>
      <c r="I309" s="128">
        <v>43</v>
      </c>
      <c r="J309" s="128" t="s">
        <v>2393</v>
      </c>
      <c r="K309" s="128">
        <v>37.69</v>
      </c>
      <c r="L309" s="128" t="s">
        <v>2506</v>
      </c>
      <c r="M309" s="128" t="s">
        <v>2571</v>
      </c>
      <c r="N309" s="128" t="s">
        <v>2572</v>
      </c>
      <c r="O309" s="128">
        <v>558</v>
      </c>
      <c r="P309" s="128">
        <v>110</v>
      </c>
      <c r="Q309" s="128">
        <v>100</v>
      </c>
      <c r="R309" s="128">
        <v>218</v>
      </c>
      <c r="S309" s="128">
        <v>72</v>
      </c>
      <c r="T309" s="128">
        <v>66</v>
      </c>
      <c r="U309" s="121">
        <f t="shared" si="17"/>
        <v>566</v>
      </c>
      <c r="V309" s="122" t="str">
        <f t="shared" si="18"/>
        <v>MADYA</v>
      </c>
    </row>
    <row r="310" spans="1:22" x14ac:dyDescent="0.35">
      <c r="A310" s="118">
        <v>309</v>
      </c>
      <c r="B310" s="128" t="s">
        <v>163</v>
      </c>
      <c r="C310" s="128" t="s">
        <v>204</v>
      </c>
      <c r="D310" s="128" t="s">
        <v>2573</v>
      </c>
      <c r="E310" s="128" t="s">
        <v>343</v>
      </c>
      <c r="F310" s="128">
        <v>1990</v>
      </c>
      <c r="G310" s="128">
        <v>14</v>
      </c>
      <c r="H310" s="128">
        <v>2</v>
      </c>
      <c r="I310" s="128">
        <v>16</v>
      </c>
      <c r="J310" s="128" t="s">
        <v>2393</v>
      </c>
      <c r="K310" s="128">
        <v>19.23</v>
      </c>
      <c r="L310" s="128" t="s">
        <v>2574</v>
      </c>
      <c r="M310" s="128" t="s">
        <v>2441</v>
      </c>
      <c r="N310" s="128" t="s">
        <v>2575</v>
      </c>
      <c r="O310" s="128">
        <v>531</v>
      </c>
      <c r="P310" s="128">
        <v>107</v>
      </c>
      <c r="Q310" s="128">
        <v>100</v>
      </c>
      <c r="R310" s="128">
        <v>193</v>
      </c>
      <c r="S310" s="128">
        <v>66</v>
      </c>
      <c r="T310" s="128">
        <v>70</v>
      </c>
      <c r="U310" s="121">
        <f t="shared" si="17"/>
        <v>536</v>
      </c>
      <c r="V310" s="122" t="str">
        <f t="shared" si="18"/>
        <v>MADYA</v>
      </c>
    </row>
    <row r="311" spans="1:22" x14ac:dyDescent="0.35">
      <c r="A311" s="118">
        <v>310</v>
      </c>
      <c r="B311" s="128" t="s">
        <v>163</v>
      </c>
      <c r="C311" s="128" t="s">
        <v>204</v>
      </c>
      <c r="D311" s="128" t="s">
        <v>2576</v>
      </c>
      <c r="E311" s="128" t="s">
        <v>2577</v>
      </c>
      <c r="F311" s="128">
        <v>1987</v>
      </c>
      <c r="G311" s="128">
        <v>14</v>
      </c>
      <c r="H311" s="128">
        <v>11</v>
      </c>
      <c r="I311" s="128">
        <v>25</v>
      </c>
      <c r="J311" s="128" t="s">
        <v>2393</v>
      </c>
      <c r="K311" s="128">
        <v>30.2</v>
      </c>
      <c r="L311" s="128" t="s">
        <v>2578</v>
      </c>
      <c r="M311" s="128" t="s">
        <v>2509</v>
      </c>
      <c r="N311" s="128" t="s">
        <v>2512</v>
      </c>
      <c r="O311" s="128">
        <v>704</v>
      </c>
      <c r="P311" s="128">
        <v>125</v>
      </c>
      <c r="Q311" s="128">
        <v>122</v>
      </c>
      <c r="R311" s="128">
        <v>268</v>
      </c>
      <c r="S311" s="128">
        <v>90</v>
      </c>
      <c r="T311" s="128">
        <v>106</v>
      </c>
      <c r="U311" s="121">
        <f t="shared" si="17"/>
        <v>711</v>
      </c>
      <c r="V311" s="122" t="str">
        <f t="shared" si="18"/>
        <v>UTAMA</v>
      </c>
    </row>
    <row r="312" spans="1:22" x14ac:dyDescent="0.35">
      <c r="A312" s="118">
        <v>311</v>
      </c>
      <c r="B312" s="128" t="s">
        <v>163</v>
      </c>
      <c r="C312" s="128" t="s">
        <v>206</v>
      </c>
      <c r="D312" s="128" t="s">
        <v>2579</v>
      </c>
      <c r="E312" s="128" t="s">
        <v>496</v>
      </c>
      <c r="F312" s="128">
        <v>1990</v>
      </c>
      <c r="G312" s="128">
        <v>33</v>
      </c>
      <c r="H312" s="128">
        <v>14</v>
      </c>
      <c r="I312" s="128">
        <v>47</v>
      </c>
      <c r="J312" s="128" t="s">
        <v>2393</v>
      </c>
      <c r="K312" s="128">
        <v>48.7</v>
      </c>
      <c r="L312" s="128" t="s">
        <v>2580</v>
      </c>
      <c r="M312" s="128" t="s">
        <v>2581</v>
      </c>
      <c r="N312" s="128" t="s">
        <v>2582</v>
      </c>
      <c r="O312" s="128">
        <v>485</v>
      </c>
      <c r="P312" s="128">
        <v>105</v>
      </c>
      <c r="Q312" s="128">
        <v>99</v>
      </c>
      <c r="R312" s="128">
        <v>190</v>
      </c>
      <c r="S312" s="128">
        <v>52</v>
      </c>
      <c r="T312" s="128">
        <v>66</v>
      </c>
      <c r="U312" s="121">
        <f t="shared" si="17"/>
        <v>512</v>
      </c>
      <c r="V312" s="122" t="str">
        <f t="shared" si="18"/>
        <v>MADYA</v>
      </c>
    </row>
    <row r="313" spans="1:22" x14ac:dyDescent="0.35">
      <c r="A313" s="118">
        <v>312</v>
      </c>
      <c r="B313" s="128" t="s">
        <v>163</v>
      </c>
      <c r="C313" s="128" t="s">
        <v>206</v>
      </c>
      <c r="D313" s="128" t="s">
        <v>2583</v>
      </c>
      <c r="E313" s="128" t="s">
        <v>23</v>
      </c>
      <c r="F313" s="128">
        <v>1990</v>
      </c>
      <c r="G313" s="128">
        <v>93</v>
      </c>
      <c r="H313" s="128">
        <v>14</v>
      </c>
      <c r="I313" s="128">
        <v>107</v>
      </c>
      <c r="J313" s="128" t="s">
        <v>2393</v>
      </c>
      <c r="K313" s="128">
        <v>65.900000000000006</v>
      </c>
      <c r="L313" s="128" t="s">
        <v>2584</v>
      </c>
      <c r="M313" s="128" t="s">
        <v>2585</v>
      </c>
      <c r="N313" s="128" t="s">
        <v>2586</v>
      </c>
      <c r="O313" s="128">
        <v>573</v>
      </c>
      <c r="P313" s="128">
        <v>135</v>
      </c>
      <c r="Q313" s="128">
        <v>99</v>
      </c>
      <c r="R313" s="128">
        <v>238</v>
      </c>
      <c r="S313" s="128">
        <v>55</v>
      </c>
      <c r="T313" s="128">
        <v>60</v>
      </c>
      <c r="U313" s="121">
        <f t="shared" si="17"/>
        <v>587</v>
      </c>
      <c r="V313" s="122" t="str">
        <f t="shared" si="18"/>
        <v>MADYA</v>
      </c>
    </row>
    <row r="314" spans="1:22" x14ac:dyDescent="0.35">
      <c r="A314" s="118">
        <v>313</v>
      </c>
      <c r="B314" s="128" t="s">
        <v>163</v>
      </c>
      <c r="C314" s="128" t="s">
        <v>206</v>
      </c>
      <c r="D314" s="128" t="s">
        <v>1517</v>
      </c>
      <c r="E314" s="128" t="s">
        <v>499</v>
      </c>
      <c r="F314" s="128">
        <v>1990</v>
      </c>
      <c r="G314" s="128">
        <v>20</v>
      </c>
      <c r="H314" s="128">
        <v>10</v>
      </c>
      <c r="I314" s="128">
        <v>30</v>
      </c>
      <c r="J314" s="128" t="s">
        <v>2393</v>
      </c>
      <c r="K314" s="128">
        <v>30.25</v>
      </c>
      <c r="L314" s="128" t="s">
        <v>2587</v>
      </c>
      <c r="M314" s="128" t="s">
        <v>2588</v>
      </c>
      <c r="N314" s="128" t="s">
        <v>1837</v>
      </c>
      <c r="O314" s="128">
        <v>301</v>
      </c>
      <c r="P314" s="128">
        <v>0</v>
      </c>
      <c r="Q314" s="128">
        <v>0</v>
      </c>
      <c r="R314" s="128">
        <v>0</v>
      </c>
      <c r="S314" s="128">
        <v>252</v>
      </c>
      <c r="T314" s="128">
        <v>58</v>
      </c>
      <c r="U314" s="121">
        <f t="shared" si="17"/>
        <v>310</v>
      </c>
      <c r="V314" s="122" t="str">
        <f t="shared" si="18"/>
        <v>LANJUT</v>
      </c>
    </row>
    <row r="315" spans="1:22" x14ac:dyDescent="0.35">
      <c r="A315" s="118">
        <v>314</v>
      </c>
      <c r="B315" s="128" t="s">
        <v>163</v>
      </c>
      <c r="C315" s="128" t="s">
        <v>206</v>
      </c>
      <c r="D315" s="128" t="s">
        <v>2589</v>
      </c>
      <c r="E315" s="128" t="s">
        <v>435</v>
      </c>
      <c r="F315" s="128">
        <v>1995</v>
      </c>
      <c r="G315" s="128">
        <v>71</v>
      </c>
      <c r="H315" s="128">
        <v>48</v>
      </c>
      <c r="I315" s="128">
        <v>119</v>
      </c>
      <c r="J315" s="128" t="s">
        <v>2393</v>
      </c>
      <c r="K315" s="128">
        <v>50.35</v>
      </c>
      <c r="L315" s="128" t="s">
        <v>2590</v>
      </c>
      <c r="M315" s="128" t="s">
        <v>1620</v>
      </c>
      <c r="N315" s="128" t="s">
        <v>2590</v>
      </c>
      <c r="O315" s="128">
        <v>281</v>
      </c>
      <c r="P315" s="128">
        <v>0</v>
      </c>
      <c r="Q315" s="128">
        <v>0</v>
      </c>
      <c r="R315" s="128">
        <v>0</v>
      </c>
      <c r="S315" s="128">
        <v>231</v>
      </c>
      <c r="T315" s="128">
        <v>69</v>
      </c>
      <c r="U315" s="121">
        <f t="shared" si="17"/>
        <v>300</v>
      </c>
      <c r="V315" s="122" t="str">
        <f t="shared" si="18"/>
        <v>LANJUT</v>
      </c>
    </row>
    <row r="316" spans="1:22" x14ac:dyDescent="0.35">
      <c r="A316" s="118">
        <v>315</v>
      </c>
      <c r="B316" s="128" t="s">
        <v>163</v>
      </c>
      <c r="C316" s="128" t="s">
        <v>206</v>
      </c>
      <c r="D316" s="128" t="s">
        <v>2591</v>
      </c>
      <c r="E316" s="128" t="s">
        <v>498</v>
      </c>
      <c r="F316" s="128">
        <v>1995</v>
      </c>
      <c r="G316" s="128">
        <v>23</v>
      </c>
      <c r="H316" s="128">
        <v>2</v>
      </c>
      <c r="I316" s="128">
        <v>25</v>
      </c>
      <c r="J316" s="128" t="s">
        <v>2393</v>
      </c>
      <c r="K316" s="128">
        <v>35.6</v>
      </c>
      <c r="L316" s="128" t="s">
        <v>1634</v>
      </c>
      <c r="M316" s="128" t="s">
        <v>2592</v>
      </c>
      <c r="N316" s="128" t="s">
        <v>2360</v>
      </c>
      <c r="O316" s="128">
        <v>416</v>
      </c>
      <c r="P316" s="128">
        <v>0</v>
      </c>
      <c r="Q316" s="128">
        <v>0</v>
      </c>
      <c r="R316" s="128">
        <v>0</v>
      </c>
      <c r="S316" s="128">
        <v>328</v>
      </c>
      <c r="T316" s="128">
        <v>95</v>
      </c>
      <c r="U316" s="121">
        <f t="shared" si="17"/>
        <v>423</v>
      </c>
      <c r="V316" s="122" t="str">
        <f t="shared" si="18"/>
        <v>LANJUT</v>
      </c>
    </row>
    <row r="317" spans="1:22" x14ac:dyDescent="0.35">
      <c r="A317" s="118">
        <v>316</v>
      </c>
      <c r="B317" s="128" t="s">
        <v>163</v>
      </c>
      <c r="C317" s="128" t="s">
        <v>206</v>
      </c>
      <c r="D317" s="128" t="s">
        <v>2593</v>
      </c>
      <c r="E317" s="128" t="s">
        <v>497</v>
      </c>
      <c r="F317" s="128">
        <v>1995</v>
      </c>
      <c r="G317" s="128">
        <v>98</v>
      </c>
      <c r="H317" s="128">
        <v>25</v>
      </c>
      <c r="I317" s="128">
        <v>123</v>
      </c>
      <c r="J317" s="128" t="s">
        <v>2393</v>
      </c>
      <c r="K317" s="128">
        <v>66.77</v>
      </c>
      <c r="L317" s="128" t="s">
        <v>1689</v>
      </c>
      <c r="M317" s="128" t="s">
        <v>2470</v>
      </c>
      <c r="N317" s="128" t="s">
        <v>2594</v>
      </c>
      <c r="O317" s="128">
        <v>0</v>
      </c>
      <c r="P317" s="128">
        <v>121</v>
      </c>
      <c r="Q317" s="128">
        <v>89</v>
      </c>
      <c r="R317" s="128">
        <v>252</v>
      </c>
      <c r="S317" s="128">
        <v>58</v>
      </c>
      <c r="T317" s="128">
        <v>58</v>
      </c>
      <c r="U317" s="121">
        <f t="shared" si="17"/>
        <v>578</v>
      </c>
      <c r="V317" s="122" t="str">
        <f t="shared" si="18"/>
        <v>MADYA</v>
      </c>
    </row>
    <row r="318" spans="1:22" x14ac:dyDescent="0.35">
      <c r="A318" s="118">
        <v>317</v>
      </c>
      <c r="B318" s="128" t="s">
        <v>163</v>
      </c>
      <c r="C318" s="128" t="s">
        <v>206</v>
      </c>
      <c r="D318" s="128" t="s">
        <v>1756</v>
      </c>
      <c r="E318" s="128" t="s">
        <v>42</v>
      </c>
      <c r="F318" s="128">
        <v>1998</v>
      </c>
      <c r="G318" s="128">
        <v>62</v>
      </c>
      <c r="H318" s="128">
        <v>16</v>
      </c>
      <c r="I318" s="128">
        <v>78</v>
      </c>
      <c r="J318" s="128" t="s">
        <v>2393</v>
      </c>
      <c r="K318" s="128">
        <v>47.25</v>
      </c>
      <c r="L318" s="128" t="s">
        <v>2595</v>
      </c>
      <c r="M318" s="128" t="s">
        <v>2474</v>
      </c>
      <c r="N318" s="128" t="s">
        <v>2596</v>
      </c>
      <c r="O318" s="128">
        <v>555</v>
      </c>
      <c r="P318" s="128">
        <v>125</v>
      </c>
      <c r="Q318" s="128">
        <v>99</v>
      </c>
      <c r="R318" s="128">
        <v>231</v>
      </c>
      <c r="S318" s="128">
        <v>69</v>
      </c>
      <c r="T318" s="128">
        <v>59</v>
      </c>
      <c r="U318" s="121">
        <f t="shared" si="17"/>
        <v>583</v>
      </c>
      <c r="V318" s="122" t="str">
        <f t="shared" si="18"/>
        <v>MADYA</v>
      </c>
    </row>
    <row r="319" spans="1:22" x14ac:dyDescent="0.35">
      <c r="A319" s="118">
        <v>318</v>
      </c>
      <c r="B319" s="128" t="s">
        <v>163</v>
      </c>
      <c r="C319" s="128" t="s">
        <v>206</v>
      </c>
      <c r="D319" s="128" t="s">
        <v>2597</v>
      </c>
      <c r="E319" s="128" t="s">
        <v>477</v>
      </c>
      <c r="F319" s="128">
        <v>1998</v>
      </c>
      <c r="G319" s="128">
        <v>32</v>
      </c>
      <c r="H319" s="128">
        <v>2</v>
      </c>
      <c r="I319" s="128">
        <v>34</v>
      </c>
      <c r="J319" s="128" t="s">
        <v>2393</v>
      </c>
      <c r="K319" s="128">
        <v>35.5</v>
      </c>
      <c r="L319" s="128"/>
      <c r="M319" s="128" t="s">
        <v>2598</v>
      </c>
      <c r="N319" s="128" t="s">
        <v>2356</v>
      </c>
      <c r="O319" s="128">
        <v>788</v>
      </c>
      <c r="P319" s="128">
        <v>188</v>
      </c>
      <c r="Q319" s="128">
        <v>99</v>
      </c>
      <c r="R319" s="128">
        <v>328</v>
      </c>
      <c r="S319" s="128">
        <v>95</v>
      </c>
      <c r="T319" s="128">
        <v>99</v>
      </c>
      <c r="U319" s="121">
        <f t="shared" si="17"/>
        <v>809</v>
      </c>
      <c r="V319" s="122" t="str">
        <f t="shared" si="18"/>
        <v>UTAMA</v>
      </c>
    </row>
    <row r="320" spans="1:22" x14ac:dyDescent="0.35">
      <c r="A320" s="118">
        <v>319</v>
      </c>
      <c r="B320" s="128" t="s">
        <v>163</v>
      </c>
      <c r="C320" s="128" t="s">
        <v>1386</v>
      </c>
      <c r="D320" s="128" t="s">
        <v>2599</v>
      </c>
      <c r="E320" s="128" t="s">
        <v>2600</v>
      </c>
      <c r="F320" s="128">
        <v>1983</v>
      </c>
      <c r="G320" s="128">
        <v>42</v>
      </c>
      <c r="H320" s="128">
        <v>13</v>
      </c>
      <c r="I320" s="128">
        <v>55</v>
      </c>
      <c r="J320" s="128" t="s">
        <v>2393</v>
      </c>
      <c r="K320" s="128">
        <v>51</v>
      </c>
      <c r="L320" s="128" t="s">
        <v>2601</v>
      </c>
      <c r="M320" s="128" t="s">
        <v>2602</v>
      </c>
      <c r="N320" s="128" t="s">
        <v>2603</v>
      </c>
      <c r="O320" s="128">
        <v>516</v>
      </c>
      <c r="P320" s="128">
        <v>115</v>
      </c>
      <c r="Q320" s="128">
        <v>93</v>
      </c>
      <c r="R320" s="128">
        <v>186</v>
      </c>
      <c r="S320" s="128">
        <v>70</v>
      </c>
      <c r="T320" s="128">
        <v>80</v>
      </c>
      <c r="U320" s="121">
        <f t="shared" si="17"/>
        <v>544</v>
      </c>
      <c r="V320" s="122" t="str">
        <f t="shared" si="18"/>
        <v>MADYA</v>
      </c>
    </row>
    <row r="321" spans="1:22" x14ac:dyDescent="0.35">
      <c r="A321" s="118">
        <v>320</v>
      </c>
      <c r="B321" s="128" t="s">
        <v>163</v>
      </c>
      <c r="C321" s="128" t="s">
        <v>1386</v>
      </c>
      <c r="D321" s="128" t="s">
        <v>2604</v>
      </c>
      <c r="E321" s="128" t="s">
        <v>370</v>
      </c>
      <c r="F321" s="128">
        <v>1988</v>
      </c>
      <c r="G321" s="128">
        <v>22</v>
      </c>
      <c r="H321" s="128">
        <v>9</v>
      </c>
      <c r="I321" s="128">
        <v>31</v>
      </c>
      <c r="J321" s="128" t="s">
        <v>2393</v>
      </c>
      <c r="K321" s="128">
        <v>55</v>
      </c>
      <c r="L321" s="128" t="s">
        <v>2605</v>
      </c>
      <c r="M321" s="128" t="s">
        <v>2606</v>
      </c>
      <c r="N321" s="128" t="s">
        <v>2607</v>
      </c>
      <c r="O321" s="128">
        <v>741</v>
      </c>
      <c r="P321" s="128">
        <v>175</v>
      </c>
      <c r="Q321" s="128">
        <v>103</v>
      </c>
      <c r="R321" s="128">
        <v>301</v>
      </c>
      <c r="S321" s="128">
        <v>85</v>
      </c>
      <c r="T321" s="128">
        <v>90</v>
      </c>
      <c r="U321" s="121">
        <f t="shared" si="17"/>
        <v>754</v>
      </c>
      <c r="V321" s="122" t="str">
        <f t="shared" si="18"/>
        <v>UTAMA</v>
      </c>
    </row>
    <row r="322" spans="1:22" x14ac:dyDescent="0.35">
      <c r="A322" s="118">
        <v>321</v>
      </c>
      <c r="B322" s="128" t="s">
        <v>163</v>
      </c>
      <c r="C322" s="128" t="s">
        <v>1386</v>
      </c>
      <c r="D322" s="128" t="s">
        <v>2608</v>
      </c>
      <c r="E322" s="128" t="s">
        <v>133</v>
      </c>
      <c r="F322" s="128">
        <v>1990</v>
      </c>
      <c r="G322" s="128">
        <v>28</v>
      </c>
      <c r="H322" s="128">
        <v>9</v>
      </c>
      <c r="I322" s="128">
        <v>37</v>
      </c>
      <c r="J322" s="128" t="s">
        <v>2393</v>
      </c>
      <c r="K322" s="128">
        <v>42</v>
      </c>
      <c r="L322" s="128" t="s">
        <v>2609</v>
      </c>
      <c r="M322" s="128" t="s">
        <v>2610</v>
      </c>
      <c r="N322" s="128" t="s">
        <v>2611</v>
      </c>
      <c r="O322" s="128">
        <v>498</v>
      </c>
      <c r="P322" s="128">
        <v>115</v>
      </c>
      <c r="Q322" s="128">
        <v>66</v>
      </c>
      <c r="R322" s="128">
        <v>180</v>
      </c>
      <c r="S322" s="128">
        <v>81</v>
      </c>
      <c r="T322" s="128">
        <v>70</v>
      </c>
      <c r="U322" s="121">
        <f t="shared" si="17"/>
        <v>512</v>
      </c>
      <c r="V322" s="122" t="str">
        <f t="shared" si="18"/>
        <v>MADYA</v>
      </c>
    </row>
    <row r="323" spans="1:22" x14ac:dyDescent="0.35">
      <c r="A323" s="118">
        <v>322</v>
      </c>
      <c r="B323" s="128" t="s">
        <v>163</v>
      </c>
      <c r="C323" s="128" t="s">
        <v>1386</v>
      </c>
      <c r="D323" s="128" t="s">
        <v>2612</v>
      </c>
      <c r="E323" s="128" t="s">
        <v>443</v>
      </c>
      <c r="F323" s="128">
        <v>1990</v>
      </c>
      <c r="G323" s="128">
        <v>79</v>
      </c>
      <c r="H323" s="128">
        <v>18</v>
      </c>
      <c r="I323" s="128">
        <v>97</v>
      </c>
      <c r="J323" s="128" t="s">
        <v>2393</v>
      </c>
      <c r="K323" s="128">
        <v>63</v>
      </c>
      <c r="L323" s="128" t="s">
        <v>2613</v>
      </c>
      <c r="M323" s="128" t="s">
        <v>2614</v>
      </c>
      <c r="N323" s="128" t="s">
        <v>2615</v>
      </c>
      <c r="O323" s="128">
        <v>572</v>
      </c>
      <c r="P323" s="128">
        <v>125</v>
      </c>
      <c r="Q323" s="128">
        <v>78</v>
      </c>
      <c r="R323" s="128">
        <v>218</v>
      </c>
      <c r="S323" s="128">
        <v>80</v>
      </c>
      <c r="T323" s="128">
        <v>76</v>
      </c>
      <c r="U323" s="121">
        <f t="shared" si="17"/>
        <v>577</v>
      </c>
      <c r="V323" s="122" t="str">
        <f t="shared" si="18"/>
        <v>MADYA</v>
      </c>
    </row>
    <row r="324" spans="1:22" x14ac:dyDescent="0.35">
      <c r="A324" s="118">
        <v>323</v>
      </c>
      <c r="B324" s="128" t="s">
        <v>163</v>
      </c>
      <c r="C324" s="128" t="s">
        <v>1386</v>
      </c>
      <c r="D324" s="128" t="s">
        <v>2616</v>
      </c>
      <c r="E324" s="128" t="s">
        <v>2617</v>
      </c>
      <c r="F324" s="128">
        <v>1990</v>
      </c>
      <c r="G324" s="128">
        <v>130</v>
      </c>
      <c r="H324" s="128">
        <v>22</v>
      </c>
      <c r="I324" s="128">
        <v>152</v>
      </c>
      <c r="J324" s="128" t="s">
        <v>2393</v>
      </c>
      <c r="K324" s="128">
        <v>74.5</v>
      </c>
      <c r="L324" s="128" t="s">
        <v>2618</v>
      </c>
      <c r="M324" s="128" t="s">
        <v>2619</v>
      </c>
      <c r="N324" s="128" t="s">
        <v>2620</v>
      </c>
      <c r="O324" s="128">
        <v>503</v>
      </c>
      <c r="P324" s="128">
        <v>110</v>
      </c>
      <c r="Q324" s="128">
        <v>82</v>
      </c>
      <c r="R324" s="128">
        <v>185</v>
      </c>
      <c r="S324" s="128">
        <v>79</v>
      </c>
      <c r="T324" s="128">
        <v>60</v>
      </c>
      <c r="U324" s="121">
        <f t="shared" si="17"/>
        <v>516</v>
      </c>
      <c r="V324" s="122" t="str">
        <f t="shared" si="18"/>
        <v>MADYA</v>
      </c>
    </row>
    <row r="325" spans="1:22" x14ac:dyDescent="0.35">
      <c r="A325" s="118">
        <v>324</v>
      </c>
      <c r="B325" s="128" t="s">
        <v>163</v>
      </c>
      <c r="C325" s="128" t="s">
        <v>1386</v>
      </c>
      <c r="D325" s="128" t="s">
        <v>2621</v>
      </c>
      <c r="E325" s="128" t="s">
        <v>136</v>
      </c>
      <c r="F325" s="128">
        <v>1990</v>
      </c>
      <c r="G325" s="128">
        <v>126</v>
      </c>
      <c r="H325" s="128">
        <v>26</v>
      </c>
      <c r="I325" s="128">
        <v>152</v>
      </c>
      <c r="J325" s="128" t="s">
        <v>2393</v>
      </c>
      <c r="K325" s="128">
        <v>62.5</v>
      </c>
      <c r="L325" s="128" t="s">
        <v>2622</v>
      </c>
      <c r="M325" s="128" t="s">
        <v>2623</v>
      </c>
      <c r="N325" s="128" t="s">
        <v>2624</v>
      </c>
      <c r="O325" s="128">
        <v>511</v>
      </c>
      <c r="P325" s="128">
        <v>115</v>
      </c>
      <c r="Q325" s="128">
        <v>83</v>
      </c>
      <c r="R325" s="128">
        <v>186</v>
      </c>
      <c r="S325" s="128">
        <v>84</v>
      </c>
      <c r="T325" s="128">
        <v>65</v>
      </c>
      <c r="U325" s="121">
        <f t="shared" si="17"/>
        <v>533</v>
      </c>
      <c r="V325" s="122" t="str">
        <f t="shared" si="18"/>
        <v>MADYA</v>
      </c>
    </row>
    <row r="326" spans="1:22" x14ac:dyDescent="0.35">
      <c r="A326" s="118">
        <v>325</v>
      </c>
      <c r="B326" s="128" t="s">
        <v>163</v>
      </c>
      <c r="C326" s="128" t="s">
        <v>1386</v>
      </c>
      <c r="D326" s="128" t="s">
        <v>2625</v>
      </c>
      <c r="E326" s="128" t="s">
        <v>351</v>
      </c>
      <c r="F326" s="128">
        <v>1990</v>
      </c>
      <c r="G326" s="128">
        <v>135</v>
      </c>
      <c r="H326" s="128">
        <v>12</v>
      </c>
      <c r="I326" s="128">
        <v>147</v>
      </c>
      <c r="J326" s="128" t="s">
        <v>2393</v>
      </c>
      <c r="K326" s="128">
        <v>89</v>
      </c>
      <c r="L326" s="128" t="s">
        <v>2626</v>
      </c>
      <c r="M326" s="128" t="s">
        <v>2627</v>
      </c>
      <c r="N326" s="128" t="s">
        <v>2628</v>
      </c>
      <c r="O326" s="128">
        <v>522</v>
      </c>
      <c r="P326" s="128">
        <v>118</v>
      </c>
      <c r="Q326" s="128">
        <v>83</v>
      </c>
      <c r="R326" s="128">
        <v>179</v>
      </c>
      <c r="S326" s="128">
        <v>85</v>
      </c>
      <c r="T326" s="128">
        <v>81</v>
      </c>
      <c r="U326" s="121">
        <f t="shared" si="17"/>
        <v>546</v>
      </c>
      <c r="V326" s="122" t="str">
        <f t="shared" si="18"/>
        <v>MADYA</v>
      </c>
    </row>
    <row r="327" spans="1:22" x14ac:dyDescent="0.35">
      <c r="A327" s="118">
        <v>326</v>
      </c>
      <c r="B327" s="128" t="s">
        <v>163</v>
      </c>
      <c r="C327" s="128" t="s">
        <v>1386</v>
      </c>
      <c r="D327" s="128" t="s">
        <v>2629</v>
      </c>
      <c r="E327" s="128" t="s">
        <v>144</v>
      </c>
      <c r="F327" s="128">
        <v>1990</v>
      </c>
      <c r="G327" s="128">
        <v>122</v>
      </c>
      <c r="H327" s="128">
        <v>8</v>
      </c>
      <c r="I327" s="128">
        <v>130</v>
      </c>
      <c r="J327" s="128" t="s">
        <v>2393</v>
      </c>
      <c r="K327" s="128">
        <v>97</v>
      </c>
      <c r="L327" s="128" t="s">
        <v>2630</v>
      </c>
      <c r="M327" s="128" t="s">
        <v>2631</v>
      </c>
      <c r="N327" s="128" t="s">
        <v>2632</v>
      </c>
      <c r="O327" s="128">
        <v>727</v>
      </c>
      <c r="P327" s="128">
        <v>133</v>
      </c>
      <c r="Q327" s="128">
        <v>100</v>
      </c>
      <c r="R327" s="128">
        <v>295</v>
      </c>
      <c r="S327" s="128">
        <v>95</v>
      </c>
      <c r="T327" s="128">
        <v>107</v>
      </c>
      <c r="U327" s="121">
        <f t="shared" si="17"/>
        <v>730</v>
      </c>
      <c r="V327" s="122" t="str">
        <f t="shared" si="18"/>
        <v>UTAMA</v>
      </c>
    </row>
    <row r="328" spans="1:22" x14ac:dyDescent="0.35">
      <c r="A328" s="118">
        <v>327</v>
      </c>
      <c r="B328" s="128" t="s">
        <v>163</v>
      </c>
      <c r="C328" s="128" t="s">
        <v>199</v>
      </c>
      <c r="D328" s="128" t="s">
        <v>2391</v>
      </c>
      <c r="E328" s="128" t="s">
        <v>145</v>
      </c>
      <c r="F328" s="128">
        <v>1988</v>
      </c>
      <c r="G328" s="128">
        <v>54</v>
      </c>
      <c r="H328" s="128">
        <v>26</v>
      </c>
      <c r="I328" s="128">
        <v>80</v>
      </c>
      <c r="J328" s="128" t="s">
        <v>2393</v>
      </c>
      <c r="K328" s="128">
        <v>53.41</v>
      </c>
      <c r="L328" s="128" t="s">
        <v>2633</v>
      </c>
      <c r="M328" s="128" t="s">
        <v>2614</v>
      </c>
      <c r="N328" s="128" t="s">
        <v>2634</v>
      </c>
      <c r="O328" s="128">
        <v>512</v>
      </c>
      <c r="P328" s="128">
        <v>130</v>
      </c>
      <c r="Q328" s="128">
        <v>103</v>
      </c>
      <c r="R328" s="128">
        <v>215</v>
      </c>
      <c r="S328" s="128">
        <v>55</v>
      </c>
      <c r="T328" s="128">
        <v>60</v>
      </c>
      <c r="U328" s="121">
        <v>563</v>
      </c>
      <c r="V328" s="122" t="s">
        <v>1547</v>
      </c>
    </row>
    <row r="329" spans="1:22" x14ac:dyDescent="0.35">
      <c r="A329" s="118">
        <v>328</v>
      </c>
      <c r="B329" s="128" t="s">
        <v>163</v>
      </c>
      <c r="C329" s="128" t="s">
        <v>199</v>
      </c>
      <c r="D329" s="128" t="s">
        <v>2635</v>
      </c>
      <c r="E329" s="128" t="s">
        <v>2636</v>
      </c>
      <c r="F329" s="128">
        <v>1985</v>
      </c>
      <c r="G329" s="128">
        <v>51</v>
      </c>
      <c r="H329" s="128">
        <v>14</v>
      </c>
      <c r="I329" s="128">
        <v>65</v>
      </c>
      <c r="J329" s="128" t="s">
        <v>2393</v>
      </c>
      <c r="K329" s="128">
        <v>52.8</v>
      </c>
      <c r="L329" s="128" t="s">
        <v>2637</v>
      </c>
      <c r="M329" s="128" t="s">
        <v>2638</v>
      </c>
      <c r="N329" s="128" t="s">
        <v>2639</v>
      </c>
      <c r="O329" s="128">
        <v>493</v>
      </c>
      <c r="P329" s="128">
        <v>115</v>
      </c>
      <c r="Q329" s="128">
        <v>96</v>
      </c>
      <c r="R329" s="128">
        <v>228</v>
      </c>
      <c r="S329" s="128">
        <v>50</v>
      </c>
      <c r="T329" s="128">
        <v>60</v>
      </c>
      <c r="U329" s="121">
        <v>549</v>
      </c>
      <c r="V329" s="122" t="s">
        <v>1547</v>
      </c>
    </row>
    <row r="330" spans="1:22" x14ac:dyDescent="0.35">
      <c r="A330" s="118">
        <v>329</v>
      </c>
      <c r="B330" s="128" t="s">
        <v>163</v>
      </c>
      <c r="C330" s="128" t="s">
        <v>199</v>
      </c>
      <c r="D330" s="128" t="s">
        <v>2640</v>
      </c>
      <c r="E330" s="128" t="s">
        <v>336</v>
      </c>
      <c r="F330" s="128">
        <v>1988</v>
      </c>
      <c r="G330" s="128">
        <v>57</v>
      </c>
      <c r="H330" s="128">
        <v>15</v>
      </c>
      <c r="I330" s="128">
        <v>72</v>
      </c>
      <c r="J330" s="128" t="s">
        <v>2393</v>
      </c>
      <c r="K330" s="128">
        <v>51.87</v>
      </c>
      <c r="L330" s="128" t="s">
        <v>2641</v>
      </c>
      <c r="M330" s="128" t="s">
        <v>2609</v>
      </c>
      <c r="N330" s="128" t="s">
        <v>2642</v>
      </c>
      <c r="O330" s="128">
        <v>423</v>
      </c>
      <c r="P330" s="128">
        <v>90</v>
      </c>
      <c r="Q330" s="128">
        <v>80</v>
      </c>
      <c r="R330" s="128">
        <v>150</v>
      </c>
      <c r="S330" s="128">
        <v>50</v>
      </c>
      <c r="T330" s="128">
        <v>57</v>
      </c>
      <c r="U330" s="121">
        <v>427</v>
      </c>
      <c r="V330" s="122" t="s">
        <v>2643</v>
      </c>
    </row>
    <row r="331" spans="1:22" x14ac:dyDescent="0.35">
      <c r="A331" s="118">
        <v>330</v>
      </c>
      <c r="B331" s="128" t="s">
        <v>163</v>
      </c>
      <c r="C331" s="128" t="s">
        <v>199</v>
      </c>
      <c r="D331" s="128" t="s">
        <v>2644</v>
      </c>
      <c r="E331" s="128" t="s">
        <v>2645</v>
      </c>
      <c r="F331" s="128">
        <v>1988</v>
      </c>
      <c r="G331" s="128">
        <v>30</v>
      </c>
      <c r="H331" s="128">
        <v>12</v>
      </c>
      <c r="I331" s="128">
        <v>42</v>
      </c>
      <c r="J331" s="128" t="s">
        <v>2393</v>
      </c>
      <c r="K331" s="128">
        <v>45.8</v>
      </c>
      <c r="L331" s="128" t="s">
        <v>2493</v>
      </c>
      <c r="M331" s="128" t="s">
        <v>2646</v>
      </c>
      <c r="N331" s="128" t="s">
        <v>2647</v>
      </c>
      <c r="O331" s="128">
        <v>508</v>
      </c>
      <c r="P331" s="128">
        <v>115</v>
      </c>
      <c r="Q331" s="128">
        <v>95</v>
      </c>
      <c r="R331" s="128">
        <v>207</v>
      </c>
      <c r="S331" s="128">
        <v>50</v>
      </c>
      <c r="T331" s="128">
        <v>60</v>
      </c>
      <c r="U331" s="121">
        <v>527</v>
      </c>
      <c r="V331" s="122" t="s">
        <v>1547</v>
      </c>
    </row>
    <row r="332" spans="1:22" x14ac:dyDescent="0.35">
      <c r="A332" s="118">
        <v>331</v>
      </c>
      <c r="B332" s="128" t="s">
        <v>163</v>
      </c>
      <c r="C332" s="128" t="s">
        <v>199</v>
      </c>
      <c r="D332" s="128" t="s">
        <v>2648</v>
      </c>
      <c r="E332" s="128" t="s">
        <v>2649</v>
      </c>
      <c r="F332" s="128">
        <v>1988</v>
      </c>
      <c r="G332" s="128">
        <v>28</v>
      </c>
      <c r="H332" s="128">
        <v>6</v>
      </c>
      <c r="I332" s="128">
        <v>34</v>
      </c>
      <c r="J332" s="128" t="s">
        <v>2393</v>
      </c>
      <c r="K332" s="128">
        <v>27.2</v>
      </c>
      <c r="L332" s="128" t="s">
        <v>2501</v>
      </c>
      <c r="M332" s="128" t="s">
        <v>2397</v>
      </c>
      <c r="N332" s="128" t="s">
        <v>2650</v>
      </c>
      <c r="O332" s="128">
        <v>497</v>
      </c>
      <c r="P332" s="128">
        <v>118</v>
      </c>
      <c r="Q332" s="128">
        <v>94</v>
      </c>
      <c r="R332" s="128">
        <v>213</v>
      </c>
      <c r="S332" s="128">
        <v>50</v>
      </c>
      <c r="T332" s="128">
        <v>60</v>
      </c>
      <c r="U332" s="121">
        <v>535</v>
      </c>
      <c r="V332" s="122" t="s">
        <v>1547</v>
      </c>
    </row>
    <row r="333" spans="1:22" x14ac:dyDescent="0.35">
      <c r="A333" s="118">
        <v>332</v>
      </c>
      <c r="B333" s="128" t="s">
        <v>163</v>
      </c>
      <c r="C333" s="128" t="s">
        <v>199</v>
      </c>
      <c r="D333" s="128" t="s">
        <v>2442</v>
      </c>
      <c r="E333" s="128" t="s">
        <v>2651</v>
      </c>
      <c r="F333" s="128">
        <v>2006</v>
      </c>
      <c r="G333" s="128">
        <v>26</v>
      </c>
      <c r="H333" s="128">
        <v>9</v>
      </c>
      <c r="I333" s="128">
        <v>35</v>
      </c>
      <c r="J333" s="128" t="s">
        <v>2393</v>
      </c>
      <c r="K333" s="128">
        <v>34.5</v>
      </c>
      <c r="L333" s="128" t="s">
        <v>2494</v>
      </c>
      <c r="M333" s="128" t="s">
        <v>2652</v>
      </c>
      <c r="N333" s="128" t="s">
        <v>2653</v>
      </c>
      <c r="O333" s="128">
        <v>492</v>
      </c>
      <c r="P333" s="128">
        <v>110</v>
      </c>
      <c r="Q333" s="128">
        <v>98</v>
      </c>
      <c r="R333" s="128">
        <v>228</v>
      </c>
      <c r="S333" s="128">
        <v>50</v>
      </c>
      <c r="T333" s="128">
        <v>65</v>
      </c>
      <c r="U333" s="121">
        <v>551</v>
      </c>
      <c r="V333" s="122" t="s">
        <v>1547</v>
      </c>
    </row>
    <row r="334" spans="1:22" x14ac:dyDescent="0.35">
      <c r="A334" s="118">
        <v>333</v>
      </c>
      <c r="B334" s="128" t="s">
        <v>163</v>
      </c>
      <c r="C334" s="128" t="s">
        <v>199</v>
      </c>
      <c r="D334" s="128" t="s">
        <v>2654</v>
      </c>
      <c r="E334" s="128" t="s">
        <v>2655</v>
      </c>
      <c r="F334" s="128">
        <v>1996</v>
      </c>
      <c r="G334" s="128">
        <v>17</v>
      </c>
      <c r="H334" s="128">
        <v>4</v>
      </c>
      <c r="I334" s="128">
        <v>21</v>
      </c>
      <c r="J334" s="128" t="s">
        <v>2393</v>
      </c>
      <c r="K334" s="128">
        <v>25.9</v>
      </c>
      <c r="L334" s="128" t="s">
        <v>2656</v>
      </c>
      <c r="M334" s="128" t="s">
        <v>2657</v>
      </c>
      <c r="N334" s="128" t="s">
        <v>2658</v>
      </c>
      <c r="O334" s="128">
        <v>503</v>
      </c>
      <c r="P334" s="128">
        <v>130</v>
      </c>
      <c r="Q334" s="128">
        <v>88</v>
      </c>
      <c r="R334" s="128">
        <v>215</v>
      </c>
      <c r="S334" s="128">
        <v>50</v>
      </c>
      <c r="T334" s="128">
        <v>60</v>
      </c>
      <c r="U334" s="121">
        <v>543</v>
      </c>
      <c r="V334" s="122" t="s">
        <v>1547</v>
      </c>
    </row>
    <row r="335" spans="1:22" x14ac:dyDescent="0.35">
      <c r="A335" s="118">
        <v>334</v>
      </c>
      <c r="B335" s="128" t="s">
        <v>163</v>
      </c>
      <c r="C335" s="128" t="s">
        <v>199</v>
      </c>
      <c r="D335" s="128" t="s">
        <v>2604</v>
      </c>
      <c r="E335" s="128" t="s">
        <v>2659</v>
      </c>
      <c r="F335" s="128">
        <v>1985</v>
      </c>
      <c r="G335" s="128">
        <v>34</v>
      </c>
      <c r="H335" s="128">
        <v>4</v>
      </c>
      <c r="I335" s="128">
        <v>38</v>
      </c>
      <c r="J335" s="128" t="s">
        <v>2393</v>
      </c>
      <c r="K335" s="128">
        <v>39.200000000000003</v>
      </c>
      <c r="L335" s="128" t="s">
        <v>2660</v>
      </c>
      <c r="M335" s="128" t="s">
        <v>2447</v>
      </c>
      <c r="N335" s="128" t="s">
        <v>2661</v>
      </c>
      <c r="O335" s="128">
        <v>492</v>
      </c>
      <c r="P335" s="128">
        <v>117</v>
      </c>
      <c r="Q335" s="128">
        <v>93</v>
      </c>
      <c r="R335" s="128">
        <v>195</v>
      </c>
      <c r="S335" s="128">
        <v>70</v>
      </c>
      <c r="T335" s="128">
        <v>65</v>
      </c>
      <c r="U335" s="121">
        <v>540</v>
      </c>
      <c r="V335" s="122" t="s">
        <v>1547</v>
      </c>
    </row>
    <row r="336" spans="1:22" x14ac:dyDescent="0.35">
      <c r="A336" s="118">
        <v>335</v>
      </c>
      <c r="B336" s="128" t="s">
        <v>163</v>
      </c>
      <c r="C336" s="128" t="s">
        <v>199</v>
      </c>
      <c r="D336" s="128" t="s">
        <v>73</v>
      </c>
      <c r="E336" s="128" t="s">
        <v>2449</v>
      </c>
      <c r="F336" s="128">
        <v>1996</v>
      </c>
      <c r="G336" s="128">
        <v>25</v>
      </c>
      <c r="H336" s="128">
        <v>9</v>
      </c>
      <c r="I336" s="128">
        <v>34</v>
      </c>
      <c r="J336" s="128" t="s">
        <v>2393</v>
      </c>
      <c r="K336" s="128">
        <v>29.8</v>
      </c>
      <c r="L336" s="128" t="s">
        <v>2662</v>
      </c>
      <c r="M336" s="128" t="s">
        <v>2663</v>
      </c>
      <c r="N336" s="128" t="s">
        <v>2664</v>
      </c>
      <c r="O336" s="128">
        <v>438</v>
      </c>
      <c r="P336" s="128">
        <v>120</v>
      </c>
      <c r="Q336" s="128">
        <v>75</v>
      </c>
      <c r="R336" s="128">
        <v>150</v>
      </c>
      <c r="S336" s="128">
        <v>57</v>
      </c>
      <c r="T336" s="128">
        <v>55</v>
      </c>
      <c r="U336" s="121">
        <v>457</v>
      </c>
      <c r="V336" s="122" t="s">
        <v>1547</v>
      </c>
    </row>
    <row r="337" spans="1:22" x14ac:dyDescent="0.35">
      <c r="A337" s="118">
        <v>336</v>
      </c>
      <c r="B337" s="128" t="s">
        <v>163</v>
      </c>
      <c r="C337" s="128" t="s">
        <v>199</v>
      </c>
      <c r="D337" s="128" t="s">
        <v>2665</v>
      </c>
      <c r="E337" s="128" t="s">
        <v>2666</v>
      </c>
      <c r="F337" s="128">
        <v>1986</v>
      </c>
      <c r="G337" s="128">
        <v>49</v>
      </c>
      <c r="H337" s="128">
        <v>25</v>
      </c>
      <c r="I337" s="128">
        <v>74</v>
      </c>
      <c r="J337" s="128" t="s">
        <v>2393</v>
      </c>
      <c r="K337" s="128">
        <v>40.200000000000003</v>
      </c>
      <c r="L337" s="128" t="s">
        <v>2667</v>
      </c>
      <c r="M337" s="128" t="s">
        <v>2668</v>
      </c>
      <c r="N337" s="128" t="s">
        <v>2642</v>
      </c>
      <c r="O337" s="128">
        <v>466</v>
      </c>
      <c r="P337" s="128">
        <v>120</v>
      </c>
      <c r="Q337" s="128">
        <v>86</v>
      </c>
      <c r="R337" s="128">
        <v>190</v>
      </c>
      <c r="S337" s="128">
        <v>65</v>
      </c>
      <c r="T337" s="128">
        <v>70</v>
      </c>
      <c r="U337" s="121">
        <v>531</v>
      </c>
      <c r="V337" s="122" t="s">
        <v>1547</v>
      </c>
    </row>
    <row r="338" spans="1:22" x14ac:dyDescent="0.35">
      <c r="A338" s="118">
        <v>337</v>
      </c>
      <c r="B338" s="128" t="s">
        <v>163</v>
      </c>
      <c r="C338" s="128" t="s">
        <v>199</v>
      </c>
      <c r="D338" s="128" t="s">
        <v>2538</v>
      </c>
      <c r="E338" s="128" t="s">
        <v>354</v>
      </c>
      <c r="F338" s="128">
        <v>1988</v>
      </c>
      <c r="G338" s="128">
        <v>53</v>
      </c>
      <c r="H338" s="128">
        <v>20</v>
      </c>
      <c r="I338" s="128">
        <v>73</v>
      </c>
      <c r="J338" s="128" t="s">
        <v>2393</v>
      </c>
      <c r="K338" s="128">
        <v>46</v>
      </c>
      <c r="L338" s="128" t="s">
        <v>2446</v>
      </c>
      <c r="M338" s="128" t="s">
        <v>2669</v>
      </c>
      <c r="N338" s="128" t="s">
        <v>2657</v>
      </c>
      <c r="O338" s="128">
        <v>493</v>
      </c>
      <c r="P338" s="128">
        <v>115</v>
      </c>
      <c r="Q338" s="128">
        <v>92</v>
      </c>
      <c r="R338" s="128">
        <v>221</v>
      </c>
      <c r="S338" s="128">
        <v>62</v>
      </c>
      <c r="T338" s="128">
        <v>65</v>
      </c>
      <c r="U338" s="121">
        <v>555</v>
      </c>
      <c r="V338" s="122" t="s">
        <v>1547</v>
      </c>
    </row>
    <row r="339" spans="1:22" x14ac:dyDescent="0.35">
      <c r="A339" s="118">
        <v>338</v>
      </c>
      <c r="B339" s="128" t="s">
        <v>163</v>
      </c>
      <c r="C339" s="128" t="s">
        <v>199</v>
      </c>
      <c r="D339" s="128" t="s">
        <v>2670</v>
      </c>
      <c r="E339" s="128" t="s">
        <v>407</v>
      </c>
      <c r="F339" s="128">
        <v>1986</v>
      </c>
      <c r="G339" s="128">
        <v>54</v>
      </c>
      <c r="H339" s="128">
        <v>17</v>
      </c>
      <c r="I339" s="128">
        <v>71</v>
      </c>
      <c r="J339" s="128" t="s">
        <v>2393</v>
      </c>
      <c r="K339" s="128">
        <v>39</v>
      </c>
      <c r="L339" s="128" t="s">
        <v>2671</v>
      </c>
      <c r="M339" s="128" t="s">
        <v>2672</v>
      </c>
      <c r="N339" s="128" t="s">
        <v>2673</v>
      </c>
      <c r="O339" s="128">
        <v>469</v>
      </c>
      <c r="P339" s="128">
        <v>110</v>
      </c>
      <c r="Q339" s="128">
        <v>83</v>
      </c>
      <c r="R339" s="128">
        <v>204</v>
      </c>
      <c r="S339" s="128">
        <v>65</v>
      </c>
      <c r="T339" s="128">
        <v>65</v>
      </c>
      <c r="U339" s="121">
        <v>527</v>
      </c>
      <c r="V339" s="122" t="s">
        <v>1547</v>
      </c>
    </row>
    <row r="340" spans="1:22" x14ac:dyDescent="0.35">
      <c r="A340" s="118">
        <v>339</v>
      </c>
      <c r="B340" s="128" t="s">
        <v>163</v>
      </c>
      <c r="C340" s="128" t="s">
        <v>199</v>
      </c>
      <c r="D340" s="128" t="s">
        <v>2674</v>
      </c>
      <c r="E340" s="128" t="s">
        <v>2675</v>
      </c>
      <c r="F340" s="128">
        <v>1988</v>
      </c>
      <c r="G340" s="128">
        <v>40</v>
      </c>
      <c r="H340" s="128">
        <v>14</v>
      </c>
      <c r="I340" s="128">
        <v>54</v>
      </c>
      <c r="J340" s="128" t="s">
        <v>2393</v>
      </c>
      <c r="K340" s="128">
        <v>35.32</v>
      </c>
      <c r="L340" s="128" t="s">
        <v>2676</v>
      </c>
      <c r="M340" s="128" t="s">
        <v>2677</v>
      </c>
      <c r="N340" s="128" t="s">
        <v>2678</v>
      </c>
      <c r="O340" s="128">
        <v>504</v>
      </c>
      <c r="P340" s="128">
        <v>120</v>
      </c>
      <c r="Q340" s="128">
        <v>92</v>
      </c>
      <c r="R340" s="128">
        <v>195</v>
      </c>
      <c r="S340" s="128">
        <v>60</v>
      </c>
      <c r="T340" s="128">
        <v>65</v>
      </c>
      <c r="U340" s="121">
        <v>532</v>
      </c>
      <c r="V340" s="122" t="s">
        <v>1547</v>
      </c>
    </row>
    <row r="341" spans="1:22" x14ac:dyDescent="0.35">
      <c r="A341" s="118">
        <v>340</v>
      </c>
      <c r="B341" s="128" t="s">
        <v>163</v>
      </c>
      <c r="C341" s="128" t="s">
        <v>199</v>
      </c>
      <c r="D341" s="128" t="s">
        <v>2679</v>
      </c>
      <c r="E341" s="128" t="s">
        <v>147</v>
      </c>
      <c r="F341" s="128">
        <v>1988</v>
      </c>
      <c r="G341" s="128">
        <v>23</v>
      </c>
      <c r="H341" s="128">
        <v>10</v>
      </c>
      <c r="I341" s="128">
        <v>33</v>
      </c>
      <c r="J341" s="128" t="s">
        <v>2393</v>
      </c>
      <c r="K341" s="128">
        <v>30</v>
      </c>
      <c r="L341" s="128" t="s">
        <v>2680</v>
      </c>
      <c r="M341" s="128" t="s">
        <v>2681</v>
      </c>
      <c r="N341" s="128" t="s">
        <v>2682</v>
      </c>
      <c r="O341" s="128">
        <v>432</v>
      </c>
      <c r="P341" s="128">
        <v>120</v>
      </c>
      <c r="Q341" s="128">
        <v>80</v>
      </c>
      <c r="R341" s="128">
        <v>160</v>
      </c>
      <c r="S341" s="128">
        <v>65</v>
      </c>
      <c r="T341" s="128">
        <v>70</v>
      </c>
      <c r="U341" s="121">
        <v>495</v>
      </c>
      <c r="V341" s="122" t="s">
        <v>1547</v>
      </c>
    </row>
    <row r="342" spans="1:22" x14ac:dyDescent="0.35">
      <c r="A342" s="118">
        <v>341</v>
      </c>
      <c r="B342" s="128" t="s">
        <v>163</v>
      </c>
      <c r="C342" s="128" t="s">
        <v>205</v>
      </c>
      <c r="D342" s="128" t="s">
        <v>2683</v>
      </c>
      <c r="E342" s="128" t="s">
        <v>2684</v>
      </c>
      <c r="F342" s="128">
        <v>2007</v>
      </c>
      <c r="G342" s="128">
        <v>73</v>
      </c>
      <c r="H342" s="128">
        <v>32</v>
      </c>
      <c r="I342" s="128">
        <v>105</v>
      </c>
      <c r="J342" s="128" t="s">
        <v>2393</v>
      </c>
      <c r="K342" s="128">
        <v>79.86</v>
      </c>
      <c r="L342" s="128" t="s">
        <v>2565</v>
      </c>
      <c r="M342" s="128" t="s">
        <v>2685</v>
      </c>
      <c r="N342" s="128" t="s">
        <v>2686</v>
      </c>
      <c r="O342" s="128">
        <v>482</v>
      </c>
      <c r="P342" s="128">
        <v>106</v>
      </c>
      <c r="Q342" s="128">
        <v>91</v>
      </c>
      <c r="R342" s="128">
        <v>196</v>
      </c>
      <c r="S342" s="128">
        <v>41</v>
      </c>
      <c r="T342" s="128">
        <v>51</v>
      </c>
      <c r="U342" s="121">
        <v>485</v>
      </c>
      <c r="V342" s="122" t="s">
        <v>1547</v>
      </c>
    </row>
    <row r="343" spans="1:22" x14ac:dyDescent="0.35">
      <c r="A343" s="118">
        <v>342</v>
      </c>
      <c r="B343" s="128" t="s">
        <v>163</v>
      </c>
      <c r="C343" s="128" t="s">
        <v>205</v>
      </c>
      <c r="D343" s="128" t="s">
        <v>2687</v>
      </c>
      <c r="E343" s="128" t="s">
        <v>2688</v>
      </c>
      <c r="F343" s="128">
        <v>2007</v>
      </c>
      <c r="G343" s="128">
        <v>26</v>
      </c>
      <c r="H343" s="128">
        <v>15</v>
      </c>
      <c r="I343" s="128">
        <v>41</v>
      </c>
      <c r="J343" s="128" t="s">
        <v>2393</v>
      </c>
      <c r="K343" s="128">
        <v>66.349999999999994</v>
      </c>
      <c r="L343" s="128" t="s">
        <v>2689</v>
      </c>
      <c r="M343" s="128" t="s">
        <v>2624</v>
      </c>
      <c r="N343" s="128" t="s">
        <v>2690</v>
      </c>
      <c r="O343" s="128">
        <v>479</v>
      </c>
      <c r="P343" s="128">
        <v>103</v>
      </c>
      <c r="Q343" s="128">
        <v>86</v>
      </c>
      <c r="R343" s="128">
        <v>199</v>
      </c>
      <c r="S343" s="128">
        <v>43</v>
      </c>
      <c r="T343" s="128">
        <v>51</v>
      </c>
      <c r="U343" s="121">
        <v>482</v>
      </c>
      <c r="V343" s="122" t="s">
        <v>1547</v>
      </c>
    </row>
    <row r="344" spans="1:22" x14ac:dyDescent="0.35">
      <c r="A344" s="118">
        <v>343</v>
      </c>
      <c r="B344" s="128" t="s">
        <v>163</v>
      </c>
      <c r="C344" s="128" t="s">
        <v>205</v>
      </c>
      <c r="D344" s="128" t="s">
        <v>2691</v>
      </c>
      <c r="E344" s="128" t="s">
        <v>2692</v>
      </c>
      <c r="F344" s="128">
        <v>2007</v>
      </c>
      <c r="G344" s="128">
        <v>31</v>
      </c>
      <c r="H344" s="128">
        <v>6</v>
      </c>
      <c r="I344" s="128">
        <v>37</v>
      </c>
      <c r="J344" s="128" t="s">
        <v>2393</v>
      </c>
      <c r="K344" s="128">
        <v>99.47</v>
      </c>
      <c r="L344" s="128" t="s">
        <v>2571</v>
      </c>
      <c r="M344" s="128" t="s">
        <v>2693</v>
      </c>
      <c r="N344" s="128" t="s">
        <v>2485</v>
      </c>
      <c r="O344" s="128">
        <v>476</v>
      </c>
      <c r="P344" s="128">
        <v>107</v>
      </c>
      <c r="Q344" s="128">
        <v>83</v>
      </c>
      <c r="R344" s="128">
        <v>192</v>
      </c>
      <c r="S344" s="128">
        <v>47</v>
      </c>
      <c r="T344" s="128">
        <v>51</v>
      </c>
      <c r="U344" s="121">
        <v>480</v>
      </c>
      <c r="V344" s="122" t="s">
        <v>1547</v>
      </c>
    </row>
    <row r="345" spans="1:22" x14ac:dyDescent="0.35">
      <c r="A345" s="118">
        <v>344</v>
      </c>
      <c r="B345" s="128" t="s">
        <v>163</v>
      </c>
      <c r="C345" s="128" t="s">
        <v>205</v>
      </c>
      <c r="D345" s="128" t="s">
        <v>2694</v>
      </c>
      <c r="E345" s="128" t="s">
        <v>2695</v>
      </c>
      <c r="F345" s="128">
        <v>2007</v>
      </c>
      <c r="G345" s="128">
        <v>81</v>
      </c>
      <c r="H345" s="128">
        <v>18</v>
      </c>
      <c r="I345" s="128">
        <v>99</v>
      </c>
      <c r="J345" s="128" t="s">
        <v>2393</v>
      </c>
      <c r="K345" s="128">
        <v>78.02</v>
      </c>
      <c r="L345" s="128" t="s">
        <v>2696</v>
      </c>
      <c r="M345" s="128" t="s">
        <v>2544</v>
      </c>
      <c r="N345" s="128" t="s">
        <v>2697</v>
      </c>
      <c r="O345" s="128">
        <v>478</v>
      </c>
      <c r="P345" s="128">
        <v>103</v>
      </c>
      <c r="Q345" s="128">
        <v>90</v>
      </c>
      <c r="R345" s="128">
        <v>192</v>
      </c>
      <c r="S345" s="128">
        <v>46</v>
      </c>
      <c r="T345" s="128">
        <v>49</v>
      </c>
      <c r="U345" s="121">
        <v>480</v>
      </c>
      <c r="V345" s="122" t="s">
        <v>1547</v>
      </c>
    </row>
    <row r="346" spans="1:22" x14ac:dyDescent="0.35">
      <c r="A346" s="118">
        <v>345</v>
      </c>
      <c r="B346" s="128" t="s">
        <v>163</v>
      </c>
      <c r="C346" s="128" t="s">
        <v>205</v>
      </c>
      <c r="D346" s="128" t="s">
        <v>2698</v>
      </c>
      <c r="E346" s="128" t="s">
        <v>2699</v>
      </c>
      <c r="F346" s="128">
        <v>2007</v>
      </c>
      <c r="G346" s="128">
        <v>80</v>
      </c>
      <c r="H346" s="128">
        <v>18</v>
      </c>
      <c r="I346" s="128">
        <v>98</v>
      </c>
      <c r="J346" s="128" t="s">
        <v>2393</v>
      </c>
      <c r="K346" s="128">
        <v>91.75</v>
      </c>
      <c r="L346" s="128" t="s">
        <v>2700</v>
      </c>
      <c r="M346" s="128" t="s">
        <v>2489</v>
      </c>
      <c r="N346" s="128" t="s">
        <v>2701</v>
      </c>
      <c r="O346" s="128">
        <v>713</v>
      </c>
      <c r="P346" s="128">
        <v>144</v>
      </c>
      <c r="Q346" s="128">
        <v>118</v>
      </c>
      <c r="R346" s="128">
        <v>295</v>
      </c>
      <c r="S346" s="128">
        <v>81</v>
      </c>
      <c r="T346" s="128">
        <v>80</v>
      </c>
      <c r="U346" s="121">
        <v>718</v>
      </c>
      <c r="V346" s="122" t="s">
        <v>2702</v>
      </c>
    </row>
    <row r="347" spans="1:22" x14ac:dyDescent="0.35">
      <c r="A347" s="118">
        <v>346</v>
      </c>
      <c r="B347" s="128" t="s">
        <v>163</v>
      </c>
      <c r="C347" s="128" t="s">
        <v>205</v>
      </c>
      <c r="D347" s="128" t="s">
        <v>2703</v>
      </c>
      <c r="E347" s="128" t="s">
        <v>2496</v>
      </c>
      <c r="F347" s="128">
        <v>2007</v>
      </c>
      <c r="G347" s="128">
        <v>97</v>
      </c>
      <c r="H347" s="128">
        <v>17</v>
      </c>
      <c r="I347" s="128">
        <v>114</v>
      </c>
      <c r="J347" s="128" t="s">
        <v>2393</v>
      </c>
      <c r="K347" s="128">
        <v>95.4</v>
      </c>
      <c r="L347" s="128" t="s">
        <v>2704</v>
      </c>
      <c r="M347" s="128" t="s">
        <v>2705</v>
      </c>
      <c r="N347" s="128" t="s">
        <v>2706</v>
      </c>
      <c r="O347" s="128">
        <v>550</v>
      </c>
      <c r="P347" s="128">
        <v>135</v>
      </c>
      <c r="Q347" s="128">
        <v>87</v>
      </c>
      <c r="R347" s="128">
        <v>229</v>
      </c>
      <c r="S347" s="128">
        <v>52</v>
      </c>
      <c r="T347" s="128">
        <v>51</v>
      </c>
      <c r="U347" s="121">
        <v>554</v>
      </c>
      <c r="V347" s="122" t="s">
        <v>1547</v>
      </c>
    </row>
    <row r="348" spans="1:22" x14ac:dyDescent="0.35">
      <c r="A348" s="118">
        <v>347</v>
      </c>
      <c r="B348" s="128" t="s">
        <v>163</v>
      </c>
      <c r="C348" s="128" t="s">
        <v>205</v>
      </c>
      <c r="D348" s="128" t="s">
        <v>2707</v>
      </c>
      <c r="E348" s="128" t="s">
        <v>2708</v>
      </c>
      <c r="F348" s="128">
        <v>1993</v>
      </c>
      <c r="G348" s="128">
        <v>43</v>
      </c>
      <c r="H348" s="128">
        <v>9</v>
      </c>
      <c r="I348" s="128">
        <v>52</v>
      </c>
      <c r="J348" s="128" t="s">
        <v>2393</v>
      </c>
      <c r="K348" s="128">
        <v>96.06</v>
      </c>
      <c r="L348" s="128" t="s">
        <v>2709</v>
      </c>
      <c r="M348" s="128" t="s">
        <v>2445</v>
      </c>
      <c r="N348" s="128" t="s">
        <v>2544</v>
      </c>
      <c r="O348" s="128">
        <v>549</v>
      </c>
      <c r="P348" s="128">
        <v>125</v>
      </c>
      <c r="Q348" s="128">
        <v>96</v>
      </c>
      <c r="R348" s="128">
        <v>238</v>
      </c>
      <c r="S348" s="128">
        <v>42</v>
      </c>
      <c r="T348" s="128">
        <v>52</v>
      </c>
      <c r="U348" s="121">
        <v>553</v>
      </c>
      <c r="V348" s="122" t="s">
        <v>1547</v>
      </c>
    </row>
    <row r="349" spans="1:22" x14ac:dyDescent="0.35">
      <c r="A349" s="118">
        <v>348</v>
      </c>
      <c r="B349" s="128" t="s">
        <v>163</v>
      </c>
      <c r="C349" s="128" t="s">
        <v>205</v>
      </c>
      <c r="D349" s="128" t="s">
        <v>2710</v>
      </c>
      <c r="E349" s="128" t="s">
        <v>2711</v>
      </c>
      <c r="F349" s="128">
        <v>2007</v>
      </c>
      <c r="G349" s="128">
        <v>107</v>
      </c>
      <c r="H349" s="128">
        <v>17</v>
      </c>
      <c r="I349" s="128">
        <v>124</v>
      </c>
      <c r="J349" s="128" t="s">
        <v>2393</v>
      </c>
      <c r="K349" s="128">
        <v>96.02</v>
      </c>
      <c r="L349" s="128" t="s">
        <v>2712</v>
      </c>
      <c r="M349" s="128" t="s">
        <v>2601</v>
      </c>
      <c r="N349" s="128" t="s">
        <v>2713</v>
      </c>
      <c r="O349" s="128">
        <v>544</v>
      </c>
      <c r="P349" s="128">
        <v>123</v>
      </c>
      <c r="Q349" s="128">
        <v>86</v>
      </c>
      <c r="R349" s="128">
        <v>224</v>
      </c>
      <c r="S349" s="128">
        <v>57</v>
      </c>
      <c r="T349" s="128">
        <v>58</v>
      </c>
      <c r="U349" s="121">
        <v>548</v>
      </c>
      <c r="V349" s="122" t="s">
        <v>1547</v>
      </c>
    </row>
    <row r="350" spans="1:22" x14ac:dyDescent="0.35">
      <c r="A350" s="118">
        <v>349</v>
      </c>
      <c r="B350" s="128" t="s">
        <v>163</v>
      </c>
      <c r="C350" s="128" t="s">
        <v>205</v>
      </c>
      <c r="D350" s="128" t="s">
        <v>2714</v>
      </c>
      <c r="E350" s="128" t="s">
        <v>144</v>
      </c>
      <c r="F350" s="128">
        <v>2007</v>
      </c>
      <c r="G350" s="128">
        <v>85</v>
      </c>
      <c r="H350" s="128">
        <v>30</v>
      </c>
      <c r="I350" s="128">
        <v>115</v>
      </c>
      <c r="J350" s="128" t="s">
        <v>2393</v>
      </c>
      <c r="K350" s="128">
        <v>95.039999999999992</v>
      </c>
      <c r="L350" s="128" t="s">
        <v>2715</v>
      </c>
      <c r="M350" s="128" t="s">
        <v>2425</v>
      </c>
      <c r="N350" s="128" t="s">
        <v>2658</v>
      </c>
      <c r="O350" s="128">
        <v>716</v>
      </c>
      <c r="P350" s="128">
        <v>143</v>
      </c>
      <c r="Q350" s="128">
        <v>119</v>
      </c>
      <c r="R350" s="128">
        <v>297</v>
      </c>
      <c r="S350" s="128">
        <v>81</v>
      </c>
      <c r="T350" s="128">
        <v>80</v>
      </c>
      <c r="U350" s="121">
        <v>720</v>
      </c>
      <c r="V350" s="122" t="s">
        <v>2702</v>
      </c>
    </row>
    <row r="351" spans="1:22" x14ac:dyDescent="0.35">
      <c r="A351" s="118">
        <v>350</v>
      </c>
      <c r="B351" s="128" t="s">
        <v>163</v>
      </c>
      <c r="C351" s="128" t="s">
        <v>205</v>
      </c>
      <c r="D351" s="128" t="s">
        <v>2707</v>
      </c>
      <c r="E351" s="128" t="s">
        <v>2716</v>
      </c>
      <c r="F351" s="128">
        <v>2018</v>
      </c>
      <c r="G351" s="128">
        <v>0</v>
      </c>
      <c r="H351" s="128">
        <v>27</v>
      </c>
      <c r="I351" s="128">
        <v>27</v>
      </c>
      <c r="J351" s="128" t="s">
        <v>2393</v>
      </c>
      <c r="K351" s="128">
        <v>3.72</v>
      </c>
      <c r="L351" s="128" t="s">
        <v>2717</v>
      </c>
      <c r="M351" s="128" t="s">
        <v>2718</v>
      </c>
      <c r="N351" s="128" t="s">
        <v>2719</v>
      </c>
      <c r="O351" s="128">
        <v>267</v>
      </c>
      <c r="P351" s="128">
        <v>70</v>
      </c>
      <c r="Q351" s="128">
        <v>51</v>
      </c>
      <c r="R351" s="128">
        <v>105</v>
      </c>
      <c r="S351" s="128">
        <v>12</v>
      </c>
      <c r="T351" s="128">
        <v>32</v>
      </c>
      <c r="U351" s="121">
        <v>270</v>
      </c>
      <c r="V351" s="122" t="s">
        <v>2643</v>
      </c>
    </row>
    <row r="352" spans="1:22" x14ac:dyDescent="0.35">
      <c r="A352" s="118">
        <v>351</v>
      </c>
      <c r="B352" s="128" t="s">
        <v>163</v>
      </c>
      <c r="C352" s="128" t="s">
        <v>207</v>
      </c>
      <c r="D352" s="128" t="s">
        <v>2720</v>
      </c>
      <c r="E352" s="128" t="s">
        <v>2721</v>
      </c>
      <c r="F352" s="128">
        <v>2007</v>
      </c>
      <c r="G352" s="128">
        <v>78</v>
      </c>
      <c r="H352" s="128">
        <v>12</v>
      </c>
      <c r="I352" s="128">
        <v>90</v>
      </c>
      <c r="J352" s="128" t="s">
        <v>2393</v>
      </c>
      <c r="K352" s="128"/>
      <c r="L352" s="128" t="s">
        <v>2614</v>
      </c>
      <c r="M352" s="128" t="s">
        <v>2681</v>
      </c>
      <c r="N352" s="128" t="s">
        <v>2531</v>
      </c>
      <c r="O352" s="128">
        <v>545</v>
      </c>
      <c r="P352" s="128">
        <v>122</v>
      </c>
      <c r="Q352" s="128">
        <v>91</v>
      </c>
      <c r="R352" s="128">
        <v>223</v>
      </c>
      <c r="S352" s="128">
        <v>58</v>
      </c>
      <c r="T352" s="128">
        <v>56</v>
      </c>
      <c r="U352" s="121">
        <v>550</v>
      </c>
      <c r="V352" s="122" t="s">
        <v>1547</v>
      </c>
    </row>
    <row r="353" spans="1:22" x14ac:dyDescent="0.35">
      <c r="A353" s="118">
        <v>352</v>
      </c>
      <c r="B353" s="128" t="s">
        <v>163</v>
      </c>
      <c r="C353" s="128" t="s">
        <v>207</v>
      </c>
      <c r="D353" s="128" t="s">
        <v>2722</v>
      </c>
      <c r="E353" s="128" t="s">
        <v>2723</v>
      </c>
      <c r="F353" s="128">
        <v>1984</v>
      </c>
      <c r="G353" s="128">
        <v>75</v>
      </c>
      <c r="H353" s="128">
        <v>35</v>
      </c>
      <c r="I353" s="128">
        <v>110</v>
      </c>
      <c r="J353" s="128" t="s">
        <v>2393</v>
      </c>
      <c r="K353" s="128"/>
      <c r="L353" s="128" t="s">
        <v>2724</v>
      </c>
      <c r="M353" s="128" t="s">
        <v>2725</v>
      </c>
      <c r="N353" s="128" t="s">
        <v>2615</v>
      </c>
      <c r="O353" s="128">
        <v>567</v>
      </c>
      <c r="P353" s="128">
        <v>132</v>
      </c>
      <c r="Q353" s="128">
        <v>86</v>
      </c>
      <c r="R353" s="128">
        <v>237</v>
      </c>
      <c r="S353" s="128">
        <v>62</v>
      </c>
      <c r="T353" s="128">
        <v>53</v>
      </c>
      <c r="U353" s="121">
        <v>570</v>
      </c>
      <c r="V353" s="122" t="s">
        <v>1547</v>
      </c>
    </row>
    <row r="354" spans="1:22" x14ac:dyDescent="0.35">
      <c r="A354" s="118">
        <v>353</v>
      </c>
      <c r="B354" s="128" t="s">
        <v>163</v>
      </c>
      <c r="C354" s="128" t="s">
        <v>207</v>
      </c>
      <c r="D354" s="128" t="s">
        <v>2726</v>
      </c>
      <c r="E354" s="128" t="s">
        <v>331</v>
      </c>
      <c r="F354" s="128">
        <v>2005</v>
      </c>
      <c r="G354" s="128">
        <v>57</v>
      </c>
      <c r="H354" s="128">
        <v>33</v>
      </c>
      <c r="I354" s="128">
        <v>90</v>
      </c>
      <c r="J354" s="128" t="s">
        <v>2393</v>
      </c>
      <c r="K354" s="128"/>
      <c r="L354" s="128" t="s">
        <v>2727</v>
      </c>
      <c r="M354" s="128" t="s">
        <v>2436</v>
      </c>
      <c r="N354" s="128" t="s">
        <v>2508</v>
      </c>
      <c r="O354" s="128">
        <v>565</v>
      </c>
      <c r="P354" s="128">
        <v>127</v>
      </c>
      <c r="Q354" s="128">
        <v>86</v>
      </c>
      <c r="R354" s="128">
        <v>258</v>
      </c>
      <c r="S354" s="128">
        <v>45</v>
      </c>
      <c r="T354" s="128">
        <v>52</v>
      </c>
      <c r="U354" s="121">
        <v>568</v>
      </c>
      <c r="V354" s="122" t="s">
        <v>1547</v>
      </c>
    </row>
    <row r="355" spans="1:22" x14ac:dyDescent="0.35">
      <c r="A355" s="118">
        <v>354</v>
      </c>
      <c r="B355" s="128" t="s">
        <v>163</v>
      </c>
      <c r="C355" s="128" t="s">
        <v>207</v>
      </c>
      <c r="D355" s="128" t="s">
        <v>2534</v>
      </c>
      <c r="E355" s="128" t="s">
        <v>2728</v>
      </c>
      <c r="F355" s="128">
        <v>2001</v>
      </c>
      <c r="G355" s="128">
        <v>59</v>
      </c>
      <c r="H355" s="128">
        <v>5</v>
      </c>
      <c r="I355" s="128">
        <v>64</v>
      </c>
      <c r="J355" s="128" t="s">
        <v>2393</v>
      </c>
      <c r="K355" s="128"/>
      <c r="L355" s="128" t="s">
        <v>2729</v>
      </c>
      <c r="M355" s="128" t="s">
        <v>2730</v>
      </c>
      <c r="N355" s="128" t="s">
        <v>2731</v>
      </c>
      <c r="O355" s="128">
        <v>575</v>
      </c>
      <c r="P355" s="128">
        <v>132</v>
      </c>
      <c r="Q355" s="128">
        <v>90</v>
      </c>
      <c r="R355" s="128">
        <v>258</v>
      </c>
      <c r="S355" s="128">
        <v>43</v>
      </c>
      <c r="T355" s="128">
        <v>55</v>
      </c>
      <c r="U355" s="121">
        <v>578</v>
      </c>
      <c r="V355" s="122" t="s">
        <v>1547</v>
      </c>
    </row>
    <row r="356" spans="1:22" x14ac:dyDescent="0.35">
      <c r="A356" s="118">
        <v>355</v>
      </c>
      <c r="B356" s="128" t="s">
        <v>163</v>
      </c>
      <c r="C356" s="128" t="s">
        <v>207</v>
      </c>
      <c r="D356" s="128" t="s">
        <v>2732</v>
      </c>
      <c r="E356" s="128" t="s">
        <v>2733</v>
      </c>
      <c r="F356" s="128">
        <v>2002</v>
      </c>
      <c r="G356" s="128">
        <v>110</v>
      </c>
      <c r="H356" s="128">
        <v>16</v>
      </c>
      <c r="I356" s="128">
        <v>126</v>
      </c>
      <c r="J356" s="128" t="s">
        <v>2393</v>
      </c>
      <c r="K356" s="128"/>
      <c r="L356" s="128" t="s">
        <v>2493</v>
      </c>
      <c r="M356" s="128" t="s">
        <v>2426</v>
      </c>
      <c r="N356" s="128" t="s">
        <v>2412</v>
      </c>
      <c r="O356" s="128">
        <v>707</v>
      </c>
      <c r="P356" s="128">
        <v>137</v>
      </c>
      <c r="Q356" s="128">
        <v>118</v>
      </c>
      <c r="R356" s="128">
        <v>295</v>
      </c>
      <c r="S356" s="128">
        <v>81</v>
      </c>
      <c r="T356" s="128">
        <v>80</v>
      </c>
      <c r="U356" s="121">
        <v>711</v>
      </c>
      <c r="V356" s="122" t="s">
        <v>2702</v>
      </c>
    </row>
    <row r="357" spans="1:22" x14ac:dyDescent="0.35">
      <c r="A357" s="118">
        <v>356</v>
      </c>
      <c r="B357" s="128" t="s">
        <v>163</v>
      </c>
      <c r="C357" s="128" t="s">
        <v>207</v>
      </c>
      <c r="D357" s="128" t="s">
        <v>2391</v>
      </c>
      <c r="E357" s="128" t="s">
        <v>2734</v>
      </c>
      <c r="F357" s="128">
        <v>1980</v>
      </c>
      <c r="G357" s="128">
        <v>72</v>
      </c>
      <c r="H357" s="128">
        <v>24</v>
      </c>
      <c r="I357" s="128">
        <v>96</v>
      </c>
      <c r="J357" s="128" t="s">
        <v>2393</v>
      </c>
      <c r="K357" s="128"/>
      <c r="L357" s="128" t="s">
        <v>2735</v>
      </c>
      <c r="M357" s="128" t="s">
        <v>2736</v>
      </c>
      <c r="N357" s="128" t="s">
        <v>2731</v>
      </c>
      <c r="O357" s="128">
        <v>631</v>
      </c>
      <c r="P357" s="128">
        <v>127</v>
      </c>
      <c r="Q357" s="128">
        <v>99</v>
      </c>
      <c r="R357" s="128">
        <v>290</v>
      </c>
      <c r="S357" s="128">
        <v>59</v>
      </c>
      <c r="T357" s="128">
        <v>60</v>
      </c>
      <c r="U357" s="121">
        <v>635</v>
      </c>
      <c r="V357" s="122" t="s">
        <v>1547</v>
      </c>
    </row>
    <row r="358" spans="1:22" x14ac:dyDescent="0.35">
      <c r="A358" s="118">
        <v>357</v>
      </c>
      <c r="B358" s="128" t="s">
        <v>163</v>
      </c>
      <c r="C358" s="128" t="s">
        <v>207</v>
      </c>
      <c r="D358" s="128" t="s">
        <v>2737</v>
      </c>
      <c r="E358" s="128" t="s">
        <v>144</v>
      </c>
      <c r="F358" s="128">
        <v>2007</v>
      </c>
      <c r="G358" s="128">
        <v>83</v>
      </c>
      <c r="H358" s="128">
        <v>12</v>
      </c>
      <c r="I358" s="128">
        <v>95</v>
      </c>
      <c r="J358" s="128" t="s">
        <v>2393</v>
      </c>
      <c r="K358" s="128"/>
      <c r="L358" s="128" t="s">
        <v>2738</v>
      </c>
      <c r="M358" s="128" t="s">
        <v>2494</v>
      </c>
      <c r="N358" s="128" t="s">
        <v>2738</v>
      </c>
      <c r="O358" s="128">
        <v>465</v>
      </c>
      <c r="P358" s="128">
        <v>102</v>
      </c>
      <c r="Q358" s="128">
        <v>82</v>
      </c>
      <c r="R358" s="128">
        <v>194</v>
      </c>
      <c r="S358" s="128">
        <v>41</v>
      </c>
      <c r="T358" s="128">
        <v>51</v>
      </c>
      <c r="U358" s="121">
        <v>470</v>
      </c>
      <c r="V358" s="122" t="s">
        <v>1547</v>
      </c>
    </row>
    <row r="359" spans="1:22" x14ac:dyDescent="0.35">
      <c r="A359" s="118">
        <v>358</v>
      </c>
      <c r="B359" s="128" t="s">
        <v>163</v>
      </c>
      <c r="C359" s="128" t="s">
        <v>207</v>
      </c>
      <c r="D359" s="128" t="s">
        <v>2739</v>
      </c>
      <c r="E359" s="128" t="s">
        <v>379</v>
      </c>
      <c r="F359" s="128">
        <v>1987</v>
      </c>
      <c r="G359" s="128">
        <v>16</v>
      </c>
      <c r="H359" s="128">
        <v>8</v>
      </c>
      <c r="I359" s="128">
        <v>24</v>
      </c>
      <c r="J359" s="128" t="s">
        <v>2393</v>
      </c>
      <c r="K359" s="128"/>
      <c r="L359" s="128" t="s">
        <v>2740</v>
      </c>
      <c r="M359" s="128" t="s">
        <v>2741</v>
      </c>
      <c r="N359" s="128" t="s">
        <v>2742</v>
      </c>
      <c r="O359" s="128">
        <v>511</v>
      </c>
      <c r="P359" s="128">
        <v>112</v>
      </c>
      <c r="Q359" s="128">
        <v>92</v>
      </c>
      <c r="R359" s="128">
        <v>210</v>
      </c>
      <c r="S359" s="128">
        <v>50</v>
      </c>
      <c r="T359" s="128">
        <v>51</v>
      </c>
      <c r="U359" s="121">
        <v>515</v>
      </c>
      <c r="V359" s="122" t="s">
        <v>1547</v>
      </c>
    </row>
    <row r="360" spans="1:22" x14ac:dyDescent="0.35">
      <c r="A360" s="118">
        <v>359</v>
      </c>
      <c r="B360" s="128" t="s">
        <v>163</v>
      </c>
      <c r="C360" s="128" t="s">
        <v>207</v>
      </c>
      <c r="D360" s="128" t="s">
        <v>2644</v>
      </c>
      <c r="E360" s="128" t="s">
        <v>2743</v>
      </c>
      <c r="F360" s="128">
        <v>1984</v>
      </c>
      <c r="G360" s="128">
        <v>50</v>
      </c>
      <c r="H360" s="128">
        <v>10</v>
      </c>
      <c r="I360" s="128">
        <v>60</v>
      </c>
      <c r="J360" s="128" t="s">
        <v>2393</v>
      </c>
      <c r="K360" s="128"/>
      <c r="L360" s="128" t="s">
        <v>2744</v>
      </c>
      <c r="M360" s="128" t="s">
        <v>2745</v>
      </c>
      <c r="N360" s="128" t="s">
        <v>2746</v>
      </c>
      <c r="O360" s="128">
        <v>555</v>
      </c>
      <c r="P360" s="128">
        <v>132</v>
      </c>
      <c r="Q360" s="128">
        <v>96</v>
      </c>
      <c r="R360" s="128">
        <v>224</v>
      </c>
      <c r="S360" s="128">
        <v>53</v>
      </c>
      <c r="T360" s="128">
        <v>55</v>
      </c>
      <c r="U360" s="121">
        <v>560</v>
      </c>
      <c r="V360" s="122" t="s">
        <v>1547</v>
      </c>
    </row>
    <row r="361" spans="1:22" x14ac:dyDescent="0.35">
      <c r="A361" s="118">
        <v>360</v>
      </c>
      <c r="B361" s="128" t="s">
        <v>163</v>
      </c>
      <c r="C361" s="128" t="s">
        <v>207</v>
      </c>
      <c r="D361" s="128" t="s">
        <v>2747</v>
      </c>
      <c r="E361" s="128" t="s">
        <v>146</v>
      </c>
      <c r="F361" s="128">
        <v>2007</v>
      </c>
      <c r="G361" s="128">
        <v>41</v>
      </c>
      <c r="H361" s="128">
        <v>5</v>
      </c>
      <c r="I361" s="128">
        <v>46</v>
      </c>
      <c r="J361" s="128" t="s">
        <v>2393</v>
      </c>
      <c r="K361" s="128"/>
      <c r="L361" s="128" t="s">
        <v>2748</v>
      </c>
      <c r="M361" s="128" t="s">
        <v>2749</v>
      </c>
      <c r="N361" s="128" t="s">
        <v>2750</v>
      </c>
      <c r="O361" s="128">
        <v>715</v>
      </c>
      <c r="P361" s="128">
        <v>138</v>
      </c>
      <c r="Q361" s="128">
        <v>121</v>
      </c>
      <c r="R361" s="128">
        <v>300</v>
      </c>
      <c r="S361" s="128">
        <v>81</v>
      </c>
      <c r="T361" s="128">
        <v>80</v>
      </c>
      <c r="U361" s="121">
        <v>720</v>
      </c>
      <c r="V361" s="122" t="s">
        <v>2702</v>
      </c>
    </row>
    <row r="362" spans="1:22" x14ac:dyDescent="0.35">
      <c r="A362" s="118">
        <v>361</v>
      </c>
      <c r="B362" s="128" t="s">
        <v>163</v>
      </c>
      <c r="C362" s="128" t="s">
        <v>200</v>
      </c>
      <c r="D362" s="128" t="s">
        <v>2391</v>
      </c>
      <c r="E362" s="128" t="s">
        <v>330</v>
      </c>
      <c r="F362" s="128">
        <v>1977</v>
      </c>
      <c r="G362" s="128">
        <v>38</v>
      </c>
      <c r="H362" s="128">
        <v>11</v>
      </c>
      <c r="I362" s="128">
        <v>49</v>
      </c>
      <c r="J362" s="128" t="s">
        <v>2751</v>
      </c>
      <c r="K362" s="128">
        <v>44.608400000000003</v>
      </c>
      <c r="L362" s="128" t="s">
        <v>2603</v>
      </c>
      <c r="M362" s="128" t="s">
        <v>2752</v>
      </c>
      <c r="N362" s="128" t="s">
        <v>2753</v>
      </c>
      <c r="O362" s="128">
        <v>750</v>
      </c>
      <c r="P362" s="128">
        <v>190</v>
      </c>
      <c r="Q362" s="128">
        <v>90</v>
      </c>
      <c r="R362" s="128">
        <v>285</v>
      </c>
      <c r="S362" s="128">
        <v>90</v>
      </c>
      <c r="T362" s="128">
        <v>100</v>
      </c>
      <c r="U362" s="121">
        <v>755</v>
      </c>
      <c r="V362" s="122" t="s">
        <v>2702</v>
      </c>
    </row>
    <row r="363" spans="1:22" x14ac:dyDescent="0.35">
      <c r="A363" s="118">
        <v>362</v>
      </c>
      <c r="B363" s="128" t="s">
        <v>163</v>
      </c>
      <c r="C363" s="128" t="s">
        <v>200</v>
      </c>
      <c r="D363" s="128" t="s">
        <v>2534</v>
      </c>
      <c r="E363" s="128" t="s">
        <v>451</v>
      </c>
      <c r="F363" s="128">
        <v>1978</v>
      </c>
      <c r="G363" s="128">
        <v>37</v>
      </c>
      <c r="H363" s="128">
        <v>14</v>
      </c>
      <c r="I363" s="128">
        <v>51</v>
      </c>
      <c r="J363" s="128" t="s">
        <v>2751</v>
      </c>
      <c r="K363" s="128">
        <v>56.011599999999994</v>
      </c>
      <c r="L363" s="128" t="s">
        <v>2742</v>
      </c>
      <c r="M363" s="128" t="s">
        <v>2754</v>
      </c>
      <c r="N363" s="128" t="s">
        <v>2755</v>
      </c>
      <c r="O363" s="128">
        <v>750</v>
      </c>
      <c r="P363" s="128">
        <v>190</v>
      </c>
      <c r="Q363" s="128">
        <v>85</v>
      </c>
      <c r="R363" s="128">
        <v>285</v>
      </c>
      <c r="S363" s="128">
        <v>95</v>
      </c>
      <c r="T363" s="128">
        <v>100</v>
      </c>
      <c r="U363" s="121">
        <v>755</v>
      </c>
      <c r="V363" s="122" t="s">
        <v>2702</v>
      </c>
    </row>
    <row r="364" spans="1:22" x14ac:dyDescent="0.35">
      <c r="A364" s="118">
        <v>363</v>
      </c>
      <c r="B364" s="128" t="s">
        <v>163</v>
      </c>
      <c r="C364" s="128" t="s">
        <v>200</v>
      </c>
      <c r="D364" s="128" t="s">
        <v>2534</v>
      </c>
      <c r="E364" s="128" t="s">
        <v>112</v>
      </c>
      <c r="F364" s="128">
        <v>1984</v>
      </c>
      <c r="G364" s="128">
        <v>31</v>
      </c>
      <c r="H364" s="128">
        <v>3</v>
      </c>
      <c r="I364" s="128">
        <v>34</v>
      </c>
      <c r="J364" s="128" t="s">
        <v>2751</v>
      </c>
      <c r="K364" s="128">
        <v>45.244400000000006</v>
      </c>
      <c r="L364" s="128" t="s">
        <v>2756</v>
      </c>
      <c r="M364" s="128" t="s">
        <v>2757</v>
      </c>
      <c r="N364" s="128" t="s">
        <v>2758</v>
      </c>
      <c r="O364" s="128">
        <v>731</v>
      </c>
      <c r="P364" s="128">
        <v>185</v>
      </c>
      <c r="Q364" s="128">
        <v>86</v>
      </c>
      <c r="R364" s="128">
        <v>275</v>
      </c>
      <c r="S364" s="128">
        <v>90</v>
      </c>
      <c r="T364" s="128">
        <v>100</v>
      </c>
      <c r="U364" s="121">
        <v>736</v>
      </c>
      <c r="V364" s="122" t="s">
        <v>2702</v>
      </c>
    </row>
    <row r="365" spans="1:22" x14ac:dyDescent="0.35">
      <c r="A365" s="118">
        <v>364</v>
      </c>
      <c r="B365" s="128" t="s">
        <v>163</v>
      </c>
      <c r="C365" s="128" t="s">
        <v>200</v>
      </c>
      <c r="D365" s="128" t="s">
        <v>2534</v>
      </c>
      <c r="E365" s="128" t="s">
        <v>2759</v>
      </c>
      <c r="F365" s="128">
        <v>1994</v>
      </c>
      <c r="G365" s="128">
        <v>33</v>
      </c>
      <c r="H365" s="128">
        <v>9</v>
      </c>
      <c r="I365" s="128">
        <v>42</v>
      </c>
      <c r="J365" s="128" t="s">
        <v>2751</v>
      </c>
      <c r="K365" s="128">
        <v>46.4572</v>
      </c>
      <c r="L365" s="128" t="s">
        <v>2760</v>
      </c>
      <c r="M365" s="128" t="s">
        <v>2761</v>
      </c>
      <c r="N365" s="128" t="s">
        <v>2615</v>
      </c>
      <c r="O365" s="128">
        <v>712</v>
      </c>
      <c r="P365" s="128">
        <v>185</v>
      </c>
      <c r="Q365" s="128">
        <v>85</v>
      </c>
      <c r="R365" s="128">
        <v>263</v>
      </c>
      <c r="S365" s="128">
        <v>90</v>
      </c>
      <c r="T365" s="128">
        <v>95</v>
      </c>
      <c r="U365" s="121">
        <v>718</v>
      </c>
      <c r="V365" s="122" t="s">
        <v>2702</v>
      </c>
    </row>
    <row r="366" spans="1:22" x14ac:dyDescent="0.35">
      <c r="A366" s="118">
        <v>365</v>
      </c>
      <c r="B366" s="128" t="s">
        <v>163</v>
      </c>
      <c r="C366" s="128" t="s">
        <v>200</v>
      </c>
      <c r="D366" s="128" t="s">
        <v>2762</v>
      </c>
      <c r="E366" s="128" t="s">
        <v>686</v>
      </c>
      <c r="F366" s="128">
        <v>1998</v>
      </c>
      <c r="G366" s="128">
        <v>62</v>
      </c>
      <c r="H366" s="128">
        <v>2</v>
      </c>
      <c r="I366" s="128">
        <v>64</v>
      </c>
      <c r="J366" s="128" t="s">
        <v>2751</v>
      </c>
      <c r="K366" s="128">
        <v>66.692399999999992</v>
      </c>
      <c r="L366" s="128" t="s">
        <v>2763</v>
      </c>
      <c r="M366" s="128" t="s">
        <v>2764</v>
      </c>
      <c r="N366" s="128" t="s">
        <v>2544</v>
      </c>
      <c r="O366" s="128">
        <v>549</v>
      </c>
      <c r="P366" s="128">
        <v>135</v>
      </c>
      <c r="Q366" s="128">
        <v>82</v>
      </c>
      <c r="R366" s="128">
        <v>195</v>
      </c>
      <c r="S366" s="128">
        <v>70</v>
      </c>
      <c r="T366" s="128">
        <v>70</v>
      </c>
      <c r="U366" s="121">
        <v>552</v>
      </c>
      <c r="V366" s="122" t="s">
        <v>1547</v>
      </c>
    </row>
    <row r="367" spans="1:22" x14ac:dyDescent="0.35">
      <c r="A367" s="118">
        <v>366</v>
      </c>
      <c r="B367" s="128" t="s">
        <v>163</v>
      </c>
      <c r="C367" s="128" t="s">
        <v>200</v>
      </c>
      <c r="D367" s="128" t="s">
        <v>2765</v>
      </c>
      <c r="E367" s="128" t="s">
        <v>2766</v>
      </c>
      <c r="F367" s="128">
        <v>1984</v>
      </c>
      <c r="G367" s="128">
        <v>41</v>
      </c>
      <c r="H367" s="128">
        <v>2</v>
      </c>
      <c r="I367" s="128">
        <v>43</v>
      </c>
      <c r="J367" s="128" t="s">
        <v>2751</v>
      </c>
      <c r="K367" s="128">
        <v>74.038800000000009</v>
      </c>
      <c r="L367" s="128" t="s">
        <v>2767</v>
      </c>
      <c r="M367" s="128" t="s">
        <v>2768</v>
      </c>
      <c r="N367" s="128" t="s">
        <v>2769</v>
      </c>
      <c r="O367" s="128">
        <v>692</v>
      </c>
      <c r="P367" s="128">
        <v>275</v>
      </c>
      <c r="Q367" s="128">
        <v>83</v>
      </c>
      <c r="R367" s="128">
        <v>196</v>
      </c>
      <c r="S367" s="128">
        <v>65</v>
      </c>
      <c r="T367" s="128">
        <v>78</v>
      </c>
      <c r="U367" s="121">
        <v>697</v>
      </c>
      <c r="V367" s="122" t="s">
        <v>1547</v>
      </c>
    </row>
    <row r="368" spans="1:22" x14ac:dyDescent="0.35">
      <c r="A368" s="118">
        <v>367</v>
      </c>
      <c r="B368" s="128" t="s">
        <v>163</v>
      </c>
      <c r="C368" s="128" t="s">
        <v>200</v>
      </c>
      <c r="D368" s="128" t="s">
        <v>2770</v>
      </c>
      <c r="E368" s="128" t="s">
        <v>331</v>
      </c>
      <c r="F368" s="128">
        <v>1999</v>
      </c>
      <c r="G368" s="128">
        <v>40</v>
      </c>
      <c r="H368" s="128">
        <v>10</v>
      </c>
      <c r="I368" s="128">
        <v>50</v>
      </c>
      <c r="J368" s="128" t="s">
        <v>2393</v>
      </c>
      <c r="K368" s="128">
        <v>49.29</v>
      </c>
      <c r="L368" s="128" t="s">
        <v>2771</v>
      </c>
      <c r="M368" s="128" t="s">
        <v>2772</v>
      </c>
      <c r="N368" s="128" t="s">
        <v>2773</v>
      </c>
      <c r="O368" s="128">
        <v>546</v>
      </c>
      <c r="P368" s="128">
        <v>135</v>
      </c>
      <c r="Q368" s="128">
        <v>91</v>
      </c>
      <c r="R368" s="128">
        <v>200</v>
      </c>
      <c r="S368" s="128">
        <v>65</v>
      </c>
      <c r="T368" s="128">
        <v>78</v>
      </c>
      <c r="U368" s="121">
        <v>569</v>
      </c>
      <c r="V368" s="122" t="s">
        <v>1547</v>
      </c>
    </row>
    <row r="369" spans="1:22" x14ac:dyDescent="0.35">
      <c r="A369" s="118">
        <v>368</v>
      </c>
      <c r="B369" s="128" t="s">
        <v>163</v>
      </c>
      <c r="C369" s="128" t="s">
        <v>200</v>
      </c>
      <c r="D369" s="128" t="s">
        <v>2774</v>
      </c>
      <c r="E369" s="128" t="s">
        <v>2775</v>
      </c>
      <c r="F369" s="128">
        <v>1978</v>
      </c>
      <c r="G369" s="128">
        <v>53</v>
      </c>
      <c r="H369" s="128">
        <v>15</v>
      </c>
      <c r="I369" s="128">
        <v>68</v>
      </c>
      <c r="J369" s="128" t="s">
        <v>2393</v>
      </c>
      <c r="K369" s="128">
        <v>51.258800000000001</v>
      </c>
      <c r="L369" s="128" t="s">
        <v>2531</v>
      </c>
      <c r="M369" s="128" t="s">
        <v>2776</v>
      </c>
      <c r="N369" s="128" t="s">
        <v>2777</v>
      </c>
      <c r="O369" s="128">
        <v>543</v>
      </c>
      <c r="P369" s="128">
        <v>135</v>
      </c>
      <c r="Q369" s="128">
        <v>83</v>
      </c>
      <c r="R369" s="128">
        <v>214</v>
      </c>
      <c r="S369" s="128">
        <v>65</v>
      </c>
      <c r="T369" s="128">
        <v>80</v>
      </c>
      <c r="U369" s="121">
        <v>577</v>
      </c>
      <c r="V369" s="122" t="s">
        <v>1547</v>
      </c>
    </row>
    <row r="370" spans="1:22" x14ac:dyDescent="0.35">
      <c r="A370" s="118">
        <v>369</v>
      </c>
      <c r="B370" s="128" t="s">
        <v>163</v>
      </c>
      <c r="C370" s="128" t="s">
        <v>200</v>
      </c>
      <c r="D370" s="128" t="s">
        <v>2778</v>
      </c>
      <c r="E370" s="128" t="s">
        <v>2699</v>
      </c>
      <c r="F370" s="128">
        <v>2006</v>
      </c>
      <c r="G370" s="128">
        <v>56</v>
      </c>
      <c r="H370" s="128">
        <v>18</v>
      </c>
      <c r="I370" s="128">
        <v>74</v>
      </c>
      <c r="J370" s="128" t="s">
        <v>2393</v>
      </c>
      <c r="K370" s="128">
        <v>73.278400000000005</v>
      </c>
      <c r="L370" s="128" t="s">
        <v>2779</v>
      </c>
      <c r="M370" s="128" t="s">
        <v>2681</v>
      </c>
      <c r="N370" s="128" t="s">
        <v>2780</v>
      </c>
      <c r="O370" s="128">
        <v>498</v>
      </c>
      <c r="P370" s="128">
        <v>120</v>
      </c>
      <c r="Q370" s="128">
        <v>85</v>
      </c>
      <c r="R370" s="128">
        <v>195</v>
      </c>
      <c r="S370" s="128">
        <v>60</v>
      </c>
      <c r="T370" s="128">
        <v>60</v>
      </c>
      <c r="U370" s="121">
        <v>520</v>
      </c>
      <c r="V370" s="122" t="s">
        <v>1547</v>
      </c>
    </row>
    <row r="371" spans="1:22" x14ac:dyDescent="0.35">
      <c r="A371" s="118">
        <v>370</v>
      </c>
      <c r="B371" s="128" t="s">
        <v>163</v>
      </c>
      <c r="C371" s="128" t="s">
        <v>200</v>
      </c>
      <c r="D371" s="128" t="s">
        <v>2391</v>
      </c>
      <c r="E371" s="128" t="s">
        <v>361</v>
      </c>
      <c r="F371" s="128">
        <v>1998</v>
      </c>
      <c r="G371" s="128">
        <v>28</v>
      </c>
      <c r="H371" s="128">
        <v>4</v>
      </c>
      <c r="I371" s="128">
        <v>32</v>
      </c>
      <c r="J371" s="128" t="s">
        <v>2751</v>
      </c>
      <c r="K371" s="128">
        <v>39.799999999999997</v>
      </c>
      <c r="L371" s="128" t="s">
        <v>2781</v>
      </c>
      <c r="M371" s="128" t="s">
        <v>2782</v>
      </c>
      <c r="N371" s="128" t="s">
        <v>2783</v>
      </c>
      <c r="O371" s="128">
        <v>591</v>
      </c>
      <c r="P371" s="128">
        <v>135</v>
      </c>
      <c r="Q371" s="128">
        <v>91</v>
      </c>
      <c r="R371" s="128">
        <v>217</v>
      </c>
      <c r="S371" s="128">
        <v>90</v>
      </c>
      <c r="T371" s="128">
        <v>80</v>
      </c>
      <c r="U371" s="121">
        <v>613</v>
      </c>
      <c r="V371" s="122" t="s">
        <v>1547</v>
      </c>
    </row>
    <row r="372" spans="1:22" x14ac:dyDescent="0.35">
      <c r="A372" s="118">
        <v>371</v>
      </c>
      <c r="B372" s="128" t="s">
        <v>163</v>
      </c>
      <c r="C372" s="128" t="s">
        <v>200</v>
      </c>
      <c r="D372" s="128" t="s">
        <v>2762</v>
      </c>
      <c r="E372" s="128" t="s">
        <v>38</v>
      </c>
      <c r="F372" s="128">
        <v>2001</v>
      </c>
      <c r="G372" s="128">
        <v>31</v>
      </c>
      <c r="H372" s="128">
        <v>2</v>
      </c>
      <c r="I372" s="128">
        <v>33</v>
      </c>
      <c r="J372" s="128" t="s">
        <v>2751</v>
      </c>
      <c r="K372" s="128">
        <v>52.492800000000003</v>
      </c>
      <c r="L372" s="128" t="s">
        <v>2524</v>
      </c>
      <c r="M372" s="128" t="s">
        <v>2784</v>
      </c>
      <c r="N372" s="128" t="s">
        <v>2637</v>
      </c>
      <c r="O372" s="128">
        <v>750</v>
      </c>
      <c r="P372" s="128">
        <v>190</v>
      </c>
      <c r="Q372" s="128">
        <v>118</v>
      </c>
      <c r="R372" s="128">
        <v>275</v>
      </c>
      <c r="S372" s="128">
        <v>95</v>
      </c>
      <c r="T372" s="128">
        <v>100</v>
      </c>
      <c r="U372" s="121">
        <v>778</v>
      </c>
      <c r="V372" s="122" t="s">
        <v>2702</v>
      </c>
    </row>
    <row r="373" spans="1:22" x14ac:dyDescent="0.35">
      <c r="A373" s="118">
        <v>372</v>
      </c>
      <c r="B373" s="128" t="s">
        <v>163</v>
      </c>
      <c r="C373" s="128" t="s">
        <v>200</v>
      </c>
      <c r="D373" s="128" t="s">
        <v>2785</v>
      </c>
      <c r="E373" s="128" t="s">
        <v>2675</v>
      </c>
      <c r="F373" s="128">
        <v>2001</v>
      </c>
      <c r="G373" s="128">
        <v>61</v>
      </c>
      <c r="H373" s="128">
        <v>9</v>
      </c>
      <c r="I373" s="128">
        <v>70</v>
      </c>
      <c r="J373" s="128" t="s">
        <v>2393</v>
      </c>
      <c r="K373" s="128">
        <v>74.762</v>
      </c>
      <c r="L373" s="128" t="s">
        <v>2786</v>
      </c>
      <c r="M373" s="128" t="s">
        <v>2787</v>
      </c>
      <c r="N373" s="128" t="s">
        <v>2788</v>
      </c>
      <c r="O373" s="128">
        <v>550</v>
      </c>
      <c r="P373" s="128">
        <v>135</v>
      </c>
      <c r="Q373" s="128">
        <v>88</v>
      </c>
      <c r="R373" s="128">
        <v>220</v>
      </c>
      <c r="S373" s="128">
        <v>65</v>
      </c>
      <c r="T373" s="128">
        <v>60</v>
      </c>
      <c r="U373" s="121">
        <v>568</v>
      </c>
      <c r="V373" s="122" t="s">
        <v>1547</v>
      </c>
    </row>
    <row r="374" spans="1:22" x14ac:dyDescent="0.35">
      <c r="A374" s="118">
        <v>373</v>
      </c>
      <c r="B374" s="128" t="s">
        <v>163</v>
      </c>
      <c r="C374" s="128" t="s">
        <v>200</v>
      </c>
      <c r="D374" s="128" t="s">
        <v>2789</v>
      </c>
      <c r="E374" s="128" t="s">
        <v>2790</v>
      </c>
      <c r="F374" s="128">
        <v>2006</v>
      </c>
      <c r="G374" s="128">
        <v>47</v>
      </c>
      <c r="H374" s="128">
        <v>22</v>
      </c>
      <c r="I374" s="128">
        <v>69</v>
      </c>
      <c r="J374" s="128" t="s">
        <v>2393</v>
      </c>
      <c r="K374" s="128">
        <v>65.790400000000005</v>
      </c>
      <c r="L374" s="128" t="s">
        <v>2521</v>
      </c>
      <c r="M374" s="128" t="s">
        <v>2791</v>
      </c>
      <c r="N374" s="128" t="s">
        <v>2615</v>
      </c>
      <c r="O374" s="128">
        <v>509</v>
      </c>
      <c r="P374" s="128">
        <v>120</v>
      </c>
      <c r="Q374" s="128">
        <v>83</v>
      </c>
      <c r="R374" s="128">
        <v>200</v>
      </c>
      <c r="S374" s="128">
        <v>54</v>
      </c>
      <c r="T374" s="128">
        <v>70</v>
      </c>
      <c r="U374" s="121">
        <v>527</v>
      </c>
      <c r="V374" s="122" t="s">
        <v>1547</v>
      </c>
    </row>
    <row r="375" spans="1:22" x14ac:dyDescent="0.35">
      <c r="A375" s="118">
        <v>374</v>
      </c>
      <c r="B375" s="128" t="s">
        <v>163</v>
      </c>
      <c r="C375" s="128" t="s">
        <v>200</v>
      </c>
      <c r="D375" s="128" t="s">
        <v>2792</v>
      </c>
      <c r="E375" s="128" t="s">
        <v>443</v>
      </c>
      <c r="F375" s="128">
        <v>2001</v>
      </c>
      <c r="G375" s="128">
        <v>57</v>
      </c>
      <c r="H375" s="128">
        <v>28</v>
      </c>
      <c r="I375" s="128">
        <v>85</v>
      </c>
      <c r="J375" s="128" t="s">
        <v>2393</v>
      </c>
      <c r="K375" s="128">
        <v>63.835999999999999</v>
      </c>
      <c r="L375" s="128" t="s">
        <v>2793</v>
      </c>
      <c r="M375" s="128" t="s">
        <v>2794</v>
      </c>
      <c r="N375" s="128" t="s">
        <v>2795</v>
      </c>
      <c r="O375" s="128">
        <v>560</v>
      </c>
      <c r="P375" s="128">
        <v>135</v>
      </c>
      <c r="Q375" s="128">
        <v>91</v>
      </c>
      <c r="R375" s="128">
        <v>210</v>
      </c>
      <c r="S375" s="128">
        <v>60</v>
      </c>
      <c r="T375" s="128">
        <v>70</v>
      </c>
      <c r="U375" s="121">
        <v>566</v>
      </c>
      <c r="V375" s="122" t="s">
        <v>1547</v>
      </c>
    </row>
    <row r="376" spans="1:22" x14ac:dyDescent="0.35">
      <c r="A376" s="118">
        <v>375</v>
      </c>
      <c r="B376" s="128" t="s">
        <v>163</v>
      </c>
      <c r="C376" s="128" t="s">
        <v>200</v>
      </c>
      <c r="D376" s="128" t="s">
        <v>2792</v>
      </c>
      <c r="E376" s="128" t="s">
        <v>144</v>
      </c>
      <c r="F376" s="128">
        <v>2019</v>
      </c>
      <c r="G376" s="128">
        <v>51</v>
      </c>
      <c r="H376" s="128">
        <v>14</v>
      </c>
      <c r="I376" s="128">
        <v>65</v>
      </c>
      <c r="J376" s="128" t="s">
        <v>2393</v>
      </c>
      <c r="K376" s="128">
        <v>51.403999999999996</v>
      </c>
      <c r="L376" s="128" t="s">
        <v>2729</v>
      </c>
      <c r="M376" s="128" t="s">
        <v>2796</v>
      </c>
      <c r="N376" s="128" t="s">
        <v>2797</v>
      </c>
      <c r="O376" s="128">
        <v>384</v>
      </c>
      <c r="P376" s="128">
        <v>100</v>
      </c>
      <c r="Q376" s="128">
        <v>65</v>
      </c>
      <c r="R376" s="128">
        <v>150</v>
      </c>
      <c r="S376" s="128">
        <v>40</v>
      </c>
      <c r="T376" s="128">
        <v>32</v>
      </c>
      <c r="U376" s="121">
        <v>387</v>
      </c>
      <c r="V376" s="122" t="s">
        <v>2643</v>
      </c>
    </row>
    <row r="377" spans="1:22" x14ac:dyDescent="0.35">
      <c r="A377" s="118">
        <v>376</v>
      </c>
      <c r="B377" s="128" t="s">
        <v>163</v>
      </c>
      <c r="C377" s="128" t="s">
        <v>198</v>
      </c>
      <c r="D377" s="128" t="s">
        <v>2798</v>
      </c>
      <c r="E377" s="128" t="s">
        <v>104</v>
      </c>
      <c r="F377" s="128">
        <v>1979</v>
      </c>
      <c r="G377" s="128">
        <v>26</v>
      </c>
      <c r="H377" s="128">
        <v>6</v>
      </c>
      <c r="I377" s="128">
        <v>32</v>
      </c>
      <c r="J377" s="128" t="s">
        <v>2751</v>
      </c>
      <c r="K377" s="128">
        <v>73.768000000000001</v>
      </c>
      <c r="L377" s="128" t="s">
        <v>2799</v>
      </c>
      <c r="M377" s="128" t="s">
        <v>2661</v>
      </c>
      <c r="N377" s="128" t="s">
        <v>2658</v>
      </c>
      <c r="O377" s="128">
        <v>760</v>
      </c>
      <c r="P377" s="128">
        <v>143</v>
      </c>
      <c r="Q377" s="128">
        <v>126</v>
      </c>
      <c r="R377" s="128">
        <v>318</v>
      </c>
      <c r="S377" s="128">
        <v>81</v>
      </c>
      <c r="T377" s="128">
        <v>95</v>
      </c>
      <c r="U377" s="121">
        <v>763</v>
      </c>
      <c r="V377" s="122" t="s">
        <v>2702</v>
      </c>
    </row>
    <row r="378" spans="1:22" x14ac:dyDescent="0.35">
      <c r="A378" s="118">
        <v>377</v>
      </c>
      <c r="B378" s="128" t="s">
        <v>163</v>
      </c>
      <c r="C378" s="128" t="s">
        <v>198</v>
      </c>
      <c r="D378" s="128" t="s">
        <v>2800</v>
      </c>
      <c r="E378" s="128" t="s">
        <v>2801</v>
      </c>
      <c r="F378" s="128">
        <v>2007</v>
      </c>
      <c r="G378" s="128">
        <v>58</v>
      </c>
      <c r="H378" s="128">
        <v>16</v>
      </c>
      <c r="I378" s="128">
        <v>74</v>
      </c>
      <c r="J378" s="128" t="s">
        <v>2802</v>
      </c>
      <c r="K378" s="128">
        <v>56.725999999999999</v>
      </c>
      <c r="L378" s="128" t="s">
        <v>2803</v>
      </c>
      <c r="M378" s="128" t="s">
        <v>2804</v>
      </c>
      <c r="N378" s="128" t="s">
        <v>2805</v>
      </c>
      <c r="O378" s="128">
        <v>719</v>
      </c>
      <c r="P378" s="128">
        <v>150</v>
      </c>
      <c r="Q378" s="128">
        <v>118</v>
      </c>
      <c r="R378" s="128">
        <v>295</v>
      </c>
      <c r="S378" s="128">
        <v>81</v>
      </c>
      <c r="T378" s="128">
        <v>81</v>
      </c>
      <c r="U378" s="121">
        <v>725</v>
      </c>
      <c r="V378" s="122" t="s">
        <v>2702</v>
      </c>
    </row>
    <row r="379" spans="1:22" x14ac:dyDescent="0.35">
      <c r="A379" s="118">
        <v>378</v>
      </c>
      <c r="B379" s="128" t="s">
        <v>163</v>
      </c>
      <c r="C379" s="128" t="s">
        <v>198</v>
      </c>
      <c r="D379" s="128" t="s">
        <v>2806</v>
      </c>
      <c r="E379" s="128" t="s">
        <v>2807</v>
      </c>
      <c r="F379" s="128">
        <v>2007</v>
      </c>
      <c r="G379" s="128">
        <v>24</v>
      </c>
      <c r="H379" s="128">
        <v>10</v>
      </c>
      <c r="I379" s="128">
        <v>34</v>
      </c>
      <c r="J379" s="128" t="s">
        <v>2751</v>
      </c>
      <c r="K379" s="128">
        <v>57.106000000000002</v>
      </c>
      <c r="L379" s="128" t="s">
        <v>2808</v>
      </c>
      <c r="M379" s="128" t="s">
        <v>2425</v>
      </c>
      <c r="N379" s="128" t="s">
        <v>2809</v>
      </c>
      <c r="O379" s="128">
        <v>500</v>
      </c>
      <c r="P379" s="128">
        <v>120</v>
      </c>
      <c r="Q379" s="128">
        <v>62</v>
      </c>
      <c r="R379" s="128">
        <v>198</v>
      </c>
      <c r="S379" s="128">
        <v>60</v>
      </c>
      <c r="T379" s="128">
        <v>70</v>
      </c>
      <c r="U379" s="121">
        <v>510</v>
      </c>
      <c r="V379" s="122" t="s">
        <v>1547</v>
      </c>
    </row>
    <row r="380" spans="1:22" x14ac:dyDescent="0.35">
      <c r="A380" s="118">
        <v>379</v>
      </c>
      <c r="B380" s="128" t="s">
        <v>163</v>
      </c>
      <c r="C380" s="128" t="s">
        <v>198</v>
      </c>
      <c r="D380" s="128" t="s">
        <v>2810</v>
      </c>
      <c r="E380" s="128" t="s">
        <v>2811</v>
      </c>
      <c r="F380" s="128">
        <v>1996</v>
      </c>
      <c r="G380" s="128">
        <v>43</v>
      </c>
      <c r="H380" s="128">
        <v>11</v>
      </c>
      <c r="I380" s="128">
        <v>54</v>
      </c>
      <c r="J380" s="128" t="s">
        <v>2802</v>
      </c>
      <c r="K380" s="128">
        <v>48.545999999999999</v>
      </c>
      <c r="L380" s="128" t="s">
        <v>2462</v>
      </c>
      <c r="M380" s="128" t="s">
        <v>2749</v>
      </c>
      <c r="N380" s="128" t="s">
        <v>2812</v>
      </c>
      <c r="O380" s="128">
        <v>490</v>
      </c>
      <c r="P380" s="128">
        <v>110</v>
      </c>
      <c r="Q380" s="128">
        <v>87</v>
      </c>
      <c r="R380" s="128">
        <v>208</v>
      </c>
      <c r="S380" s="128">
        <v>50</v>
      </c>
      <c r="T380" s="128">
        <v>60</v>
      </c>
      <c r="U380" s="121">
        <v>515</v>
      </c>
      <c r="V380" s="122" t="s">
        <v>1547</v>
      </c>
    </row>
    <row r="381" spans="1:22" x14ac:dyDescent="0.35">
      <c r="A381" s="118">
        <v>380</v>
      </c>
      <c r="B381" s="128" t="s">
        <v>163</v>
      </c>
      <c r="C381" s="128" t="s">
        <v>198</v>
      </c>
      <c r="D381" s="128" t="s">
        <v>2813</v>
      </c>
      <c r="E381" s="128" t="s">
        <v>1254</v>
      </c>
      <c r="F381" s="128">
        <v>1996</v>
      </c>
      <c r="G381" s="128">
        <v>48</v>
      </c>
      <c r="H381" s="128">
        <v>20</v>
      </c>
      <c r="I381" s="128">
        <v>68</v>
      </c>
      <c r="J381" s="128" t="s">
        <v>2393</v>
      </c>
      <c r="K381" s="128">
        <v>75.201999999999998</v>
      </c>
      <c r="L381" s="128" t="s">
        <v>2814</v>
      </c>
      <c r="M381" s="128" t="s">
        <v>2815</v>
      </c>
      <c r="N381" s="128" t="s">
        <v>2816</v>
      </c>
      <c r="O381" s="128">
        <v>532</v>
      </c>
      <c r="P381" s="128">
        <v>135</v>
      </c>
      <c r="Q381" s="128">
        <v>83</v>
      </c>
      <c r="R381" s="128">
        <v>195</v>
      </c>
      <c r="S381" s="128">
        <v>60</v>
      </c>
      <c r="T381" s="128">
        <v>65</v>
      </c>
      <c r="U381" s="121">
        <v>538</v>
      </c>
      <c r="V381" s="122" t="s">
        <v>1547</v>
      </c>
    </row>
    <row r="382" spans="1:22" x14ac:dyDescent="0.35">
      <c r="A382" s="118">
        <v>381</v>
      </c>
      <c r="B382" s="128" t="s">
        <v>163</v>
      </c>
      <c r="C382" s="128" t="s">
        <v>198</v>
      </c>
      <c r="D382" s="128" t="s">
        <v>2813</v>
      </c>
      <c r="E382" s="128" t="s">
        <v>1253</v>
      </c>
      <c r="F382" s="128">
        <v>2007</v>
      </c>
      <c r="G382" s="128">
        <v>44</v>
      </c>
      <c r="H382" s="128">
        <v>24</v>
      </c>
      <c r="I382" s="128">
        <v>68</v>
      </c>
      <c r="J382" s="128" t="s">
        <v>2393</v>
      </c>
      <c r="K382" s="128">
        <v>58.972000000000001</v>
      </c>
      <c r="L382" s="128" t="s">
        <v>2817</v>
      </c>
      <c r="M382" s="128" t="s">
        <v>2489</v>
      </c>
      <c r="N382" s="128" t="s">
        <v>2818</v>
      </c>
      <c r="O382" s="128">
        <v>545</v>
      </c>
      <c r="P382" s="128">
        <v>115</v>
      </c>
      <c r="Q382" s="128">
        <v>88</v>
      </c>
      <c r="R382" s="128">
        <v>204</v>
      </c>
      <c r="S382" s="128">
        <v>60</v>
      </c>
      <c r="T382" s="128">
        <v>80</v>
      </c>
      <c r="U382" s="121">
        <v>547</v>
      </c>
      <c r="V382" s="122" t="s">
        <v>1547</v>
      </c>
    </row>
    <row r="383" spans="1:22" x14ac:dyDescent="0.35">
      <c r="A383" s="118">
        <v>382</v>
      </c>
      <c r="B383" s="128" t="s">
        <v>163</v>
      </c>
      <c r="C383" s="128" t="s">
        <v>198</v>
      </c>
      <c r="D383" s="128" t="s">
        <v>2806</v>
      </c>
      <c r="E383" s="128" t="s">
        <v>2819</v>
      </c>
      <c r="F383" s="128">
        <v>1984</v>
      </c>
      <c r="G383" s="128">
        <v>50</v>
      </c>
      <c r="H383" s="128">
        <v>28</v>
      </c>
      <c r="I383" s="128">
        <v>78</v>
      </c>
      <c r="J383" s="128" t="s">
        <v>2751</v>
      </c>
      <c r="K383" s="128">
        <v>67.822000000000003</v>
      </c>
      <c r="L383" s="128" t="s">
        <v>2820</v>
      </c>
      <c r="M383" s="128" t="s">
        <v>2821</v>
      </c>
      <c r="N383" s="128" t="s">
        <v>2822</v>
      </c>
      <c r="O383" s="128">
        <v>745</v>
      </c>
      <c r="P383" s="128">
        <v>150</v>
      </c>
      <c r="Q383" s="128">
        <v>120</v>
      </c>
      <c r="R383" s="128">
        <v>295</v>
      </c>
      <c r="S383" s="128">
        <v>85</v>
      </c>
      <c r="T383" s="128">
        <v>100</v>
      </c>
      <c r="U383" s="121">
        <v>750</v>
      </c>
      <c r="V383" s="122" t="s">
        <v>2702</v>
      </c>
    </row>
    <row r="384" spans="1:22" x14ac:dyDescent="0.35">
      <c r="A384" s="118">
        <v>383</v>
      </c>
      <c r="B384" s="128" t="s">
        <v>163</v>
      </c>
      <c r="C384" s="128" t="s">
        <v>198</v>
      </c>
      <c r="D384" s="128" t="s">
        <v>2806</v>
      </c>
      <c r="E384" s="128" t="s">
        <v>2823</v>
      </c>
      <c r="F384" s="128">
        <v>2006</v>
      </c>
      <c r="G384" s="128">
        <v>19</v>
      </c>
      <c r="H384" s="128">
        <v>7</v>
      </c>
      <c r="I384" s="128">
        <v>26</v>
      </c>
      <c r="J384" s="128" t="s">
        <v>2751</v>
      </c>
      <c r="K384" s="128">
        <v>45.484000000000002</v>
      </c>
      <c r="L384" s="128" t="s">
        <v>2426</v>
      </c>
      <c r="M384" s="128" t="s">
        <v>2566</v>
      </c>
      <c r="N384" s="128" t="s">
        <v>2824</v>
      </c>
      <c r="O384" s="128">
        <v>550</v>
      </c>
      <c r="P384" s="128">
        <v>120</v>
      </c>
      <c r="Q384" s="128">
        <v>95</v>
      </c>
      <c r="R384" s="128">
        <v>210</v>
      </c>
      <c r="S384" s="128">
        <v>60</v>
      </c>
      <c r="T384" s="128">
        <v>70</v>
      </c>
      <c r="U384" s="121">
        <v>555</v>
      </c>
      <c r="V384" s="122" t="s">
        <v>1547</v>
      </c>
    </row>
    <row r="385" spans="1:22" x14ac:dyDescent="0.35">
      <c r="A385" s="118">
        <v>384</v>
      </c>
      <c r="B385" s="128" t="s">
        <v>163</v>
      </c>
      <c r="C385" s="128" t="s">
        <v>198</v>
      </c>
      <c r="D385" s="128" t="s">
        <v>2538</v>
      </c>
      <c r="E385" s="128" t="s">
        <v>331</v>
      </c>
      <c r="F385" s="128">
        <v>1998</v>
      </c>
      <c r="G385" s="128">
        <v>50</v>
      </c>
      <c r="H385" s="128">
        <v>6</v>
      </c>
      <c r="I385" s="128">
        <v>56</v>
      </c>
      <c r="J385" s="128" t="s">
        <v>2802</v>
      </c>
      <c r="K385" s="128">
        <v>64.843999999999994</v>
      </c>
      <c r="L385" s="128" t="s">
        <v>2825</v>
      </c>
      <c r="M385" s="128" t="s">
        <v>2826</v>
      </c>
      <c r="N385" s="128" t="s">
        <v>2827</v>
      </c>
      <c r="O385" s="128">
        <v>540</v>
      </c>
      <c r="P385" s="128">
        <v>120</v>
      </c>
      <c r="Q385" s="128">
        <v>83</v>
      </c>
      <c r="R385" s="128">
        <v>217</v>
      </c>
      <c r="S385" s="128">
        <v>55</v>
      </c>
      <c r="T385" s="128">
        <v>70</v>
      </c>
      <c r="U385" s="121">
        <v>545</v>
      </c>
      <c r="V385" s="122" t="s">
        <v>1547</v>
      </c>
    </row>
    <row r="386" spans="1:22" x14ac:dyDescent="0.35">
      <c r="A386" s="118">
        <v>385</v>
      </c>
      <c r="B386" s="128" t="s">
        <v>163</v>
      </c>
      <c r="C386" s="128" t="s">
        <v>198</v>
      </c>
      <c r="D386" s="128" t="s">
        <v>2828</v>
      </c>
      <c r="E386" s="128" t="s">
        <v>38</v>
      </c>
      <c r="F386" s="128">
        <v>2001</v>
      </c>
      <c r="G386" s="128">
        <v>31</v>
      </c>
      <c r="H386" s="128">
        <v>14</v>
      </c>
      <c r="I386" s="128">
        <v>45</v>
      </c>
      <c r="J386" s="128" t="s">
        <v>2802</v>
      </c>
      <c r="K386" s="128">
        <v>53.58</v>
      </c>
      <c r="L386" s="128" t="s">
        <v>2829</v>
      </c>
      <c r="M386" s="128" t="s">
        <v>2681</v>
      </c>
      <c r="N386" s="128" t="s">
        <v>2830</v>
      </c>
      <c r="O386" s="128">
        <v>495</v>
      </c>
      <c r="P386" s="128">
        <v>110</v>
      </c>
      <c r="Q386" s="128">
        <v>86</v>
      </c>
      <c r="R386" s="128">
        <v>196</v>
      </c>
      <c r="S386" s="128">
        <v>50</v>
      </c>
      <c r="T386" s="128">
        <v>70</v>
      </c>
      <c r="U386" s="121">
        <v>512</v>
      </c>
      <c r="V386" s="122" t="s">
        <v>1547</v>
      </c>
    </row>
    <row r="387" spans="1:22" x14ac:dyDescent="0.35">
      <c r="A387" s="118">
        <v>386</v>
      </c>
      <c r="B387" s="128" t="s">
        <v>163</v>
      </c>
      <c r="C387" s="128" t="s">
        <v>198</v>
      </c>
      <c r="D387" s="128" t="s">
        <v>2831</v>
      </c>
      <c r="E387" s="128" t="s">
        <v>2832</v>
      </c>
      <c r="F387" s="128">
        <v>1986</v>
      </c>
      <c r="G387" s="128">
        <v>28</v>
      </c>
      <c r="H387" s="128">
        <v>12</v>
      </c>
      <c r="I387" s="128">
        <v>40</v>
      </c>
      <c r="J387" s="128" t="s">
        <v>2393</v>
      </c>
      <c r="K387" s="128">
        <v>39.46</v>
      </c>
      <c r="L387" s="128" t="s">
        <v>2833</v>
      </c>
      <c r="M387" s="128" t="s">
        <v>2834</v>
      </c>
      <c r="N387" s="128" t="s">
        <v>2835</v>
      </c>
      <c r="O387" s="128">
        <v>550</v>
      </c>
      <c r="P387" s="128">
        <v>130</v>
      </c>
      <c r="Q387" s="128">
        <v>91</v>
      </c>
      <c r="R387" s="128">
        <v>208</v>
      </c>
      <c r="S387" s="128">
        <v>41</v>
      </c>
      <c r="T387" s="128">
        <v>80</v>
      </c>
      <c r="U387" s="121">
        <v>550</v>
      </c>
      <c r="V387" s="122" t="s">
        <v>1547</v>
      </c>
    </row>
    <row r="388" spans="1:22" x14ac:dyDescent="0.35">
      <c r="A388" s="118">
        <v>387</v>
      </c>
      <c r="B388" s="128" t="s">
        <v>163</v>
      </c>
      <c r="C388" s="128" t="s">
        <v>198</v>
      </c>
      <c r="D388" s="128" t="s">
        <v>2831</v>
      </c>
      <c r="E388" s="128" t="s">
        <v>2836</v>
      </c>
      <c r="F388" s="128">
        <v>2007</v>
      </c>
      <c r="G388" s="128">
        <v>24</v>
      </c>
      <c r="H388" s="128">
        <v>19</v>
      </c>
      <c r="I388" s="128">
        <v>43</v>
      </c>
      <c r="J388" s="128" t="s">
        <v>2393</v>
      </c>
      <c r="K388" s="128">
        <v>42.231999999999999</v>
      </c>
      <c r="L388" s="128" t="s">
        <v>2837</v>
      </c>
      <c r="M388" s="128" t="s">
        <v>2838</v>
      </c>
      <c r="N388" s="128" t="s">
        <v>2786</v>
      </c>
      <c r="O388" s="128">
        <v>495</v>
      </c>
      <c r="P388" s="128">
        <v>113</v>
      </c>
      <c r="Q388" s="128">
        <v>87</v>
      </c>
      <c r="R388" s="128">
        <v>196</v>
      </c>
      <c r="S388" s="128">
        <v>44</v>
      </c>
      <c r="T388" s="128">
        <v>60</v>
      </c>
      <c r="U388" s="121">
        <v>500</v>
      </c>
      <c r="V388" s="122" t="s">
        <v>1547</v>
      </c>
    </row>
    <row r="389" spans="1:22" x14ac:dyDescent="0.35">
      <c r="A389" s="118">
        <v>388</v>
      </c>
      <c r="B389" s="128" t="s">
        <v>163</v>
      </c>
      <c r="C389" s="128" t="s">
        <v>198</v>
      </c>
      <c r="D389" s="128" t="s">
        <v>2831</v>
      </c>
      <c r="E389" s="128" t="s">
        <v>2839</v>
      </c>
      <c r="F389" s="128">
        <v>2007</v>
      </c>
      <c r="G389" s="128">
        <v>19</v>
      </c>
      <c r="H389" s="128">
        <v>14</v>
      </c>
      <c r="I389" s="128">
        <v>33</v>
      </c>
      <c r="J389" s="128" t="s">
        <v>2393</v>
      </c>
      <c r="K389" s="128">
        <v>43.281999999999996</v>
      </c>
      <c r="L389" s="128" t="s">
        <v>2509</v>
      </c>
      <c r="M389" s="128" t="s">
        <v>2661</v>
      </c>
      <c r="N389" s="128" t="s">
        <v>2840</v>
      </c>
      <c r="O389" s="128">
        <v>715</v>
      </c>
      <c r="P389" s="128">
        <v>141</v>
      </c>
      <c r="Q389" s="128">
        <v>118</v>
      </c>
      <c r="R389" s="128">
        <v>295</v>
      </c>
      <c r="S389" s="128">
        <v>81</v>
      </c>
      <c r="T389" s="128">
        <v>85</v>
      </c>
      <c r="U389" s="121">
        <v>720</v>
      </c>
      <c r="V389" s="122" t="s">
        <v>2702</v>
      </c>
    </row>
    <row r="390" spans="1:22" x14ac:dyDescent="0.35">
      <c r="A390" s="118">
        <v>389</v>
      </c>
      <c r="B390" s="128" t="s">
        <v>163</v>
      </c>
      <c r="C390" s="128" t="s">
        <v>198</v>
      </c>
      <c r="D390" s="128" t="s">
        <v>2841</v>
      </c>
      <c r="E390" s="128" t="s">
        <v>2842</v>
      </c>
      <c r="F390" s="128">
        <v>1996</v>
      </c>
      <c r="G390" s="128">
        <v>42</v>
      </c>
      <c r="H390" s="128">
        <v>6</v>
      </c>
      <c r="I390" s="128">
        <v>48</v>
      </c>
      <c r="J390" s="128" t="s">
        <v>2802</v>
      </c>
      <c r="K390" s="128">
        <v>55.402000000000001</v>
      </c>
      <c r="L390" s="128" t="s">
        <v>2678</v>
      </c>
      <c r="M390" s="128" t="s">
        <v>2772</v>
      </c>
      <c r="N390" s="128" t="s">
        <v>2843</v>
      </c>
      <c r="O390" s="128">
        <v>545</v>
      </c>
      <c r="P390" s="128">
        <v>110</v>
      </c>
      <c r="Q390" s="128">
        <v>98</v>
      </c>
      <c r="R390" s="128">
        <v>222</v>
      </c>
      <c r="S390" s="128">
        <v>50</v>
      </c>
      <c r="T390" s="128">
        <v>70</v>
      </c>
      <c r="U390" s="121">
        <v>550</v>
      </c>
      <c r="V390" s="122" t="s">
        <v>1547</v>
      </c>
    </row>
    <row r="391" spans="1:22" x14ac:dyDescent="0.35">
      <c r="A391" s="118">
        <v>390</v>
      </c>
      <c r="B391" s="128" t="s">
        <v>163</v>
      </c>
      <c r="C391" s="128" t="s">
        <v>198</v>
      </c>
      <c r="D391" s="128" t="s">
        <v>2844</v>
      </c>
      <c r="E391" s="128" t="s">
        <v>813</v>
      </c>
      <c r="F391" s="128">
        <v>1993</v>
      </c>
      <c r="G391" s="128">
        <v>26</v>
      </c>
      <c r="H391" s="128">
        <v>8</v>
      </c>
      <c r="I391" s="128">
        <v>34</v>
      </c>
      <c r="J391" s="128" t="s">
        <v>2802</v>
      </c>
      <c r="K391" s="128">
        <v>38.636000000000003</v>
      </c>
      <c r="L391" s="128" t="s">
        <v>2845</v>
      </c>
      <c r="M391" s="128" t="s">
        <v>2805</v>
      </c>
      <c r="N391" s="128" t="s">
        <v>2519</v>
      </c>
      <c r="O391" s="128">
        <v>535</v>
      </c>
      <c r="P391" s="128">
        <v>110</v>
      </c>
      <c r="Q391" s="128">
        <v>83</v>
      </c>
      <c r="R391" s="128">
        <v>222</v>
      </c>
      <c r="S391" s="128">
        <v>50</v>
      </c>
      <c r="T391" s="128">
        <v>70</v>
      </c>
      <c r="U391" s="121">
        <v>535</v>
      </c>
      <c r="V391" s="122" t="s">
        <v>1547</v>
      </c>
    </row>
    <row r="392" spans="1:22" x14ac:dyDescent="0.35">
      <c r="A392" s="118">
        <v>391</v>
      </c>
      <c r="B392" s="128" t="s">
        <v>163</v>
      </c>
      <c r="C392" s="128" t="s">
        <v>198</v>
      </c>
      <c r="D392" s="128" t="s">
        <v>2846</v>
      </c>
      <c r="E392" s="128" t="s">
        <v>812</v>
      </c>
      <c r="F392" s="128">
        <v>2007</v>
      </c>
      <c r="G392" s="128">
        <v>40</v>
      </c>
      <c r="H392" s="128">
        <v>13</v>
      </c>
      <c r="I392" s="128">
        <v>53</v>
      </c>
      <c r="J392" s="128" t="s">
        <v>2802</v>
      </c>
      <c r="K392" s="128">
        <v>51.921999999999997</v>
      </c>
      <c r="L392" s="128" t="s">
        <v>2637</v>
      </c>
      <c r="M392" s="128" t="s">
        <v>2847</v>
      </c>
      <c r="N392" s="128" t="s">
        <v>2753</v>
      </c>
      <c r="O392" s="128">
        <v>525</v>
      </c>
      <c r="P392" s="128">
        <v>110</v>
      </c>
      <c r="Q392" s="128">
        <v>91</v>
      </c>
      <c r="R392" s="128">
        <v>212</v>
      </c>
      <c r="S392" s="128">
        <v>50</v>
      </c>
      <c r="T392" s="128">
        <v>70</v>
      </c>
      <c r="U392" s="121">
        <v>533</v>
      </c>
      <c r="V392" s="122" t="s">
        <v>1547</v>
      </c>
    </row>
    <row r="393" spans="1:22" x14ac:dyDescent="0.35">
      <c r="A393" s="118">
        <v>392</v>
      </c>
      <c r="B393" s="128" t="s">
        <v>163</v>
      </c>
      <c r="C393" s="128" t="s">
        <v>198</v>
      </c>
      <c r="D393" s="128" t="s">
        <v>2848</v>
      </c>
      <c r="E393" s="128" t="s">
        <v>2496</v>
      </c>
      <c r="F393" s="128">
        <v>2007</v>
      </c>
      <c r="G393" s="128">
        <v>15</v>
      </c>
      <c r="H393" s="128">
        <v>6</v>
      </c>
      <c r="I393" s="128">
        <v>21</v>
      </c>
      <c r="J393" s="128" t="s">
        <v>2393</v>
      </c>
      <c r="K393" s="128">
        <v>41.004000000000005</v>
      </c>
      <c r="L393" s="128" t="s">
        <v>2849</v>
      </c>
      <c r="M393" s="128" t="s">
        <v>2609</v>
      </c>
      <c r="N393" s="128" t="s">
        <v>2850</v>
      </c>
      <c r="O393" s="128">
        <v>485</v>
      </c>
      <c r="P393" s="128">
        <v>115</v>
      </c>
      <c r="Q393" s="128">
        <v>83</v>
      </c>
      <c r="R393" s="128">
        <v>195</v>
      </c>
      <c r="S393" s="128">
        <v>41</v>
      </c>
      <c r="T393" s="128">
        <v>56</v>
      </c>
      <c r="U393" s="121">
        <v>490</v>
      </c>
      <c r="V393" s="122" t="s">
        <v>1547</v>
      </c>
    </row>
    <row r="394" spans="1:22" x14ac:dyDescent="0.35">
      <c r="A394" s="118">
        <v>393</v>
      </c>
      <c r="B394" s="128" t="s">
        <v>163</v>
      </c>
      <c r="C394" s="128" t="s">
        <v>198</v>
      </c>
      <c r="D394" s="128" t="s">
        <v>2798</v>
      </c>
      <c r="E394" s="128" t="s">
        <v>136</v>
      </c>
      <c r="F394" s="128">
        <v>1998</v>
      </c>
      <c r="G394" s="128">
        <v>29</v>
      </c>
      <c r="H394" s="128">
        <v>7</v>
      </c>
      <c r="I394" s="128">
        <v>36</v>
      </c>
      <c r="J394" s="128" t="s">
        <v>2751</v>
      </c>
      <c r="K394" s="128">
        <v>60.793999999999997</v>
      </c>
      <c r="L394" s="128" t="s">
        <v>2787</v>
      </c>
      <c r="M394" s="128" t="s">
        <v>2851</v>
      </c>
      <c r="N394" s="128" t="s">
        <v>2852</v>
      </c>
      <c r="O394" s="128">
        <v>725</v>
      </c>
      <c r="P394" s="128">
        <v>160</v>
      </c>
      <c r="Q394" s="128">
        <v>118</v>
      </c>
      <c r="R394" s="128">
        <v>297</v>
      </c>
      <c r="S394" s="128">
        <v>81</v>
      </c>
      <c r="T394" s="128">
        <v>81</v>
      </c>
      <c r="U394" s="121">
        <v>737</v>
      </c>
      <c r="V394" s="122" t="s">
        <v>2702</v>
      </c>
    </row>
    <row r="395" spans="1:22" x14ac:dyDescent="0.35">
      <c r="A395" s="118">
        <v>394</v>
      </c>
      <c r="B395" s="128" t="s">
        <v>163</v>
      </c>
      <c r="C395" s="128" t="s">
        <v>198</v>
      </c>
      <c r="D395" s="128" t="s">
        <v>2853</v>
      </c>
      <c r="E395" s="128" t="s">
        <v>2854</v>
      </c>
      <c r="F395" s="128">
        <v>1996</v>
      </c>
      <c r="G395" s="128">
        <v>16</v>
      </c>
      <c r="H395" s="128">
        <v>14</v>
      </c>
      <c r="I395" s="128">
        <v>30</v>
      </c>
      <c r="J395" s="128" t="s">
        <v>2393</v>
      </c>
      <c r="K395" s="128">
        <v>32.770000000000003</v>
      </c>
      <c r="L395" s="128" t="s">
        <v>2787</v>
      </c>
      <c r="M395" s="128" t="s">
        <v>2615</v>
      </c>
      <c r="N395" s="128" t="s">
        <v>2855</v>
      </c>
      <c r="O395" s="128">
        <v>535</v>
      </c>
      <c r="P395" s="128">
        <v>102</v>
      </c>
      <c r="Q395" s="128">
        <v>87</v>
      </c>
      <c r="R395" s="128">
        <v>231</v>
      </c>
      <c r="S395" s="128">
        <v>45</v>
      </c>
      <c r="T395" s="128">
        <v>75</v>
      </c>
      <c r="U395" s="121">
        <v>540</v>
      </c>
      <c r="V395" s="122" t="s">
        <v>1547</v>
      </c>
    </row>
    <row r="396" spans="1:22" x14ac:dyDescent="0.35">
      <c r="A396" s="118">
        <v>395</v>
      </c>
      <c r="B396" s="128" t="s">
        <v>163</v>
      </c>
      <c r="C396" s="128" t="s">
        <v>198</v>
      </c>
      <c r="D396" s="128" t="s">
        <v>2853</v>
      </c>
      <c r="E396" s="128" t="s">
        <v>2856</v>
      </c>
      <c r="F396" s="128">
        <v>2008</v>
      </c>
      <c r="G396" s="128">
        <v>24</v>
      </c>
      <c r="H396" s="128">
        <v>4</v>
      </c>
      <c r="I396" s="128">
        <v>28</v>
      </c>
      <c r="J396" s="128" t="s">
        <v>2393</v>
      </c>
      <c r="K396" s="128">
        <v>29.322000000000003</v>
      </c>
      <c r="L396" s="128" t="s">
        <v>2857</v>
      </c>
      <c r="M396" s="128" t="s">
        <v>2858</v>
      </c>
      <c r="N396" s="128" t="s">
        <v>2859</v>
      </c>
      <c r="O396" s="128">
        <v>533</v>
      </c>
      <c r="P396" s="128">
        <v>103</v>
      </c>
      <c r="Q396" s="128">
        <v>91</v>
      </c>
      <c r="R396" s="128">
        <v>224</v>
      </c>
      <c r="S396" s="128">
        <v>45</v>
      </c>
      <c r="T396" s="128">
        <v>75</v>
      </c>
      <c r="U396" s="121">
        <v>538</v>
      </c>
      <c r="V396" s="122" t="s">
        <v>1547</v>
      </c>
    </row>
    <row r="397" spans="1:22" x14ac:dyDescent="0.35">
      <c r="A397" s="118">
        <v>396</v>
      </c>
      <c r="B397" s="128" t="s">
        <v>163</v>
      </c>
      <c r="C397" s="128" t="s">
        <v>202</v>
      </c>
      <c r="D397" s="128" t="s">
        <v>2391</v>
      </c>
      <c r="E397" s="128" t="s">
        <v>112</v>
      </c>
      <c r="F397" s="128">
        <v>2007</v>
      </c>
      <c r="G397" s="128">
        <v>107</v>
      </c>
      <c r="H397" s="128">
        <v>39</v>
      </c>
      <c r="I397" s="128">
        <v>146</v>
      </c>
      <c r="J397" s="128" t="s">
        <v>2393</v>
      </c>
      <c r="K397" s="128">
        <v>75</v>
      </c>
      <c r="L397" s="128" t="s">
        <v>2860</v>
      </c>
      <c r="M397" s="128" t="s">
        <v>2861</v>
      </c>
      <c r="N397" s="128" t="s">
        <v>2862</v>
      </c>
      <c r="O397" s="128">
        <v>503</v>
      </c>
      <c r="P397" s="128">
        <v>109</v>
      </c>
      <c r="Q397" s="128">
        <v>92</v>
      </c>
      <c r="R397" s="128">
        <v>216</v>
      </c>
      <c r="S397" s="128">
        <v>55</v>
      </c>
      <c r="T397" s="128">
        <v>55</v>
      </c>
      <c r="U397" s="121">
        <v>527</v>
      </c>
      <c r="V397" s="122" t="s">
        <v>1547</v>
      </c>
    </row>
    <row r="398" spans="1:22" x14ac:dyDescent="0.35">
      <c r="A398" s="118">
        <v>397</v>
      </c>
      <c r="B398" s="128" t="s">
        <v>163</v>
      </c>
      <c r="C398" s="128" t="s">
        <v>202</v>
      </c>
      <c r="D398" s="128" t="s">
        <v>2863</v>
      </c>
      <c r="E398" s="128" t="s">
        <v>686</v>
      </c>
      <c r="F398" s="128">
        <v>2007</v>
      </c>
      <c r="G398" s="128">
        <v>60</v>
      </c>
      <c r="H398" s="128">
        <v>20</v>
      </c>
      <c r="I398" s="128">
        <v>80</v>
      </c>
      <c r="J398" s="128" t="s">
        <v>2393</v>
      </c>
      <c r="K398" s="128">
        <v>53</v>
      </c>
      <c r="L398" s="128" t="s">
        <v>2864</v>
      </c>
      <c r="M398" s="128" t="s">
        <v>2575</v>
      </c>
      <c r="N398" s="128" t="s">
        <v>2451</v>
      </c>
      <c r="O398" s="128">
        <v>480</v>
      </c>
      <c r="P398" s="128">
        <v>108</v>
      </c>
      <c r="Q398" s="128">
        <v>94</v>
      </c>
      <c r="R398" s="128">
        <v>208</v>
      </c>
      <c r="S398" s="128">
        <v>68</v>
      </c>
      <c r="T398" s="128">
        <v>65</v>
      </c>
      <c r="U398" s="121">
        <v>543</v>
      </c>
      <c r="V398" s="122" t="s">
        <v>1547</v>
      </c>
    </row>
    <row r="399" spans="1:22" x14ac:dyDescent="0.35">
      <c r="A399" s="118">
        <v>398</v>
      </c>
      <c r="B399" s="128" t="s">
        <v>163</v>
      </c>
      <c r="C399" s="128" t="s">
        <v>202</v>
      </c>
      <c r="D399" s="128" t="s">
        <v>2865</v>
      </c>
      <c r="E399" s="128" t="s">
        <v>147</v>
      </c>
      <c r="F399" s="128">
        <v>1989</v>
      </c>
      <c r="G399" s="128">
        <v>50</v>
      </c>
      <c r="H399" s="128">
        <v>8</v>
      </c>
      <c r="I399" s="128">
        <v>58</v>
      </c>
      <c r="J399" s="128" t="s">
        <v>2393</v>
      </c>
      <c r="K399" s="128">
        <v>38</v>
      </c>
      <c r="L399" s="128" t="s">
        <v>2866</v>
      </c>
      <c r="M399" s="128" t="s">
        <v>2425</v>
      </c>
      <c r="N399" s="128" t="s">
        <v>2512</v>
      </c>
      <c r="O399" s="128">
        <v>482</v>
      </c>
      <c r="P399" s="128">
        <v>115</v>
      </c>
      <c r="Q399" s="128">
        <v>95</v>
      </c>
      <c r="R399" s="128">
        <v>243</v>
      </c>
      <c r="S399" s="128">
        <v>55</v>
      </c>
      <c r="T399" s="128">
        <v>60</v>
      </c>
      <c r="U399" s="121">
        <v>568</v>
      </c>
      <c r="V399" s="122" t="s">
        <v>1547</v>
      </c>
    </row>
    <row r="400" spans="1:22" x14ac:dyDescent="0.35">
      <c r="A400" s="118">
        <v>399</v>
      </c>
      <c r="B400" s="128" t="s">
        <v>163</v>
      </c>
      <c r="C400" s="128" t="s">
        <v>202</v>
      </c>
      <c r="D400" s="128" t="s">
        <v>2867</v>
      </c>
      <c r="E400" s="128" t="s">
        <v>2868</v>
      </c>
      <c r="F400" s="128">
        <v>1989</v>
      </c>
      <c r="G400" s="128">
        <v>62</v>
      </c>
      <c r="H400" s="128">
        <v>29</v>
      </c>
      <c r="I400" s="128">
        <v>91</v>
      </c>
      <c r="J400" s="128" t="s">
        <v>2393</v>
      </c>
      <c r="K400" s="128">
        <v>52</v>
      </c>
      <c r="L400" s="128" t="s">
        <v>2509</v>
      </c>
      <c r="M400" s="128" t="s">
        <v>2512</v>
      </c>
      <c r="N400" s="128" t="s">
        <v>2669</v>
      </c>
      <c r="O400" s="128">
        <v>722</v>
      </c>
      <c r="P400" s="128">
        <v>170</v>
      </c>
      <c r="Q400" s="128">
        <v>121</v>
      </c>
      <c r="R400" s="128">
        <v>305</v>
      </c>
      <c r="S400" s="128">
        <v>94</v>
      </c>
      <c r="T400" s="128">
        <v>92</v>
      </c>
      <c r="U400" s="121">
        <v>782</v>
      </c>
      <c r="V400" s="122" t="s">
        <v>2702</v>
      </c>
    </row>
    <row r="401" spans="1:22" x14ac:dyDescent="0.35">
      <c r="A401" s="118">
        <v>400</v>
      </c>
      <c r="B401" s="128" t="s">
        <v>163</v>
      </c>
      <c r="C401" s="128" t="s">
        <v>202</v>
      </c>
      <c r="D401" s="128" t="s">
        <v>2869</v>
      </c>
      <c r="E401" s="128" t="s">
        <v>6257</v>
      </c>
      <c r="F401" s="128">
        <v>2007</v>
      </c>
      <c r="G401" s="128">
        <v>66</v>
      </c>
      <c r="H401" s="128">
        <v>23</v>
      </c>
      <c r="I401" s="128">
        <v>89</v>
      </c>
      <c r="J401" s="128" t="s">
        <v>2393</v>
      </c>
      <c r="K401" s="128">
        <v>24</v>
      </c>
      <c r="L401" s="128" t="s">
        <v>2870</v>
      </c>
      <c r="M401" s="128" t="s">
        <v>2871</v>
      </c>
      <c r="N401" s="128" t="s">
        <v>2431</v>
      </c>
      <c r="O401" s="128">
        <v>296</v>
      </c>
      <c r="P401" s="128">
        <v>80</v>
      </c>
      <c r="Q401" s="128">
        <v>57</v>
      </c>
      <c r="R401" s="128">
        <v>120</v>
      </c>
      <c r="S401" s="128">
        <v>35</v>
      </c>
      <c r="T401" s="128">
        <v>45</v>
      </c>
      <c r="U401" s="121">
        <v>337</v>
      </c>
      <c r="V401" s="122" t="s">
        <v>2643</v>
      </c>
    </row>
    <row r="402" spans="1:22" x14ac:dyDescent="0.35">
      <c r="A402" s="118">
        <v>401</v>
      </c>
      <c r="B402" s="128" t="s">
        <v>163</v>
      </c>
      <c r="C402" s="128" t="s">
        <v>202</v>
      </c>
      <c r="D402" s="128" t="s">
        <v>2872</v>
      </c>
      <c r="E402" s="128" t="s">
        <v>339</v>
      </c>
      <c r="F402" s="128">
        <v>2007</v>
      </c>
      <c r="G402" s="128">
        <v>63</v>
      </c>
      <c r="H402" s="128">
        <v>22</v>
      </c>
      <c r="I402" s="128">
        <v>85</v>
      </c>
      <c r="J402" s="128" t="s">
        <v>2393</v>
      </c>
      <c r="K402" s="128">
        <v>59</v>
      </c>
      <c r="L402" s="128" t="s">
        <v>2873</v>
      </c>
      <c r="M402" s="128" t="s">
        <v>2874</v>
      </c>
      <c r="N402" s="128" t="s">
        <v>2740</v>
      </c>
      <c r="O402" s="128">
        <v>488</v>
      </c>
      <c r="P402" s="128">
        <v>115</v>
      </c>
      <c r="Q402" s="128">
        <v>83</v>
      </c>
      <c r="R402" s="128">
        <v>207</v>
      </c>
      <c r="S402" s="128">
        <v>70</v>
      </c>
      <c r="T402" s="128">
        <v>70</v>
      </c>
      <c r="U402" s="121">
        <v>545</v>
      </c>
      <c r="V402" s="122" t="s">
        <v>1547</v>
      </c>
    </row>
    <row r="403" spans="1:22" x14ac:dyDescent="0.35">
      <c r="A403" s="118">
        <v>402</v>
      </c>
      <c r="B403" s="128" t="s">
        <v>163</v>
      </c>
      <c r="C403" s="128" t="s">
        <v>202</v>
      </c>
      <c r="D403" s="128" t="s">
        <v>2867</v>
      </c>
      <c r="E403" s="128" t="s">
        <v>6256</v>
      </c>
      <c r="F403" s="128">
        <v>2007</v>
      </c>
      <c r="G403" s="128"/>
      <c r="H403" s="128">
        <v>30</v>
      </c>
      <c r="I403" s="128">
        <v>30</v>
      </c>
      <c r="J403" s="128" t="s">
        <v>2393</v>
      </c>
      <c r="K403" s="128"/>
      <c r="L403" s="128" t="s">
        <v>2875</v>
      </c>
      <c r="M403" s="128" t="s">
        <v>2876</v>
      </c>
      <c r="N403" s="128" t="s">
        <v>2877</v>
      </c>
      <c r="O403" s="128">
        <v>269</v>
      </c>
      <c r="P403" s="128">
        <v>76</v>
      </c>
      <c r="Q403" s="128">
        <v>48</v>
      </c>
      <c r="R403" s="128">
        <v>100</v>
      </c>
      <c r="S403" s="128">
        <v>25</v>
      </c>
      <c r="T403" s="128">
        <v>31</v>
      </c>
      <c r="U403" s="121">
        <v>280</v>
      </c>
      <c r="V403" s="122" t="s">
        <v>2643</v>
      </c>
    </row>
    <row r="404" spans="1:22" x14ac:dyDescent="0.35">
      <c r="A404" s="118">
        <v>403</v>
      </c>
      <c r="B404" s="128" t="s">
        <v>1</v>
      </c>
      <c r="C404" s="128" t="s">
        <v>191</v>
      </c>
      <c r="D404" s="128" t="s">
        <v>1517</v>
      </c>
      <c r="E404" s="128" t="s">
        <v>37</v>
      </c>
      <c r="F404" s="128">
        <v>2003</v>
      </c>
      <c r="G404" s="128">
        <v>79</v>
      </c>
      <c r="H404" s="128">
        <v>3</v>
      </c>
      <c r="I404" s="128">
        <v>82</v>
      </c>
      <c r="J404" s="128" t="s">
        <v>2878</v>
      </c>
      <c r="K404" s="128">
        <v>54.316000000000003</v>
      </c>
      <c r="L404" s="128" t="s">
        <v>2879</v>
      </c>
      <c r="M404" s="128" t="s">
        <v>2880</v>
      </c>
      <c r="N404" s="128" t="s">
        <v>1699</v>
      </c>
      <c r="O404" s="128">
        <v>505</v>
      </c>
      <c r="P404" s="128">
        <v>107</v>
      </c>
      <c r="Q404" s="128">
        <v>88</v>
      </c>
      <c r="R404" s="128">
        <v>214</v>
      </c>
      <c r="S404" s="128">
        <v>45</v>
      </c>
      <c r="T404" s="128">
        <v>56</v>
      </c>
      <c r="U404" s="128">
        <v>510</v>
      </c>
      <c r="V404" s="128" t="s">
        <v>1397</v>
      </c>
    </row>
    <row r="405" spans="1:22" x14ac:dyDescent="0.35">
      <c r="A405" s="118">
        <v>404</v>
      </c>
      <c r="B405" s="128" t="s">
        <v>1</v>
      </c>
      <c r="C405" s="128" t="s">
        <v>191</v>
      </c>
      <c r="D405" s="128" t="s">
        <v>1517</v>
      </c>
      <c r="E405" s="128" t="s">
        <v>2881</v>
      </c>
      <c r="F405" s="128">
        <v>1984</v>
      </c>
      <c r="G405" s="128">
        <v>96</v>
      </c>
      <c r="H405" s="128">
        <v>6</v>
      </c>
      <c r="I405" s="128">
        <v>102</v>
      </c>
      <c r="J405" s="128" t="s">
        <v>2882</v>
      </c>
      <c r="K405" s="128">
        <v>62.599000000000004</v>
      </c>
      <c r="L405" s="128" t="s">
        <v>1653</v>
      </c>
      <c r="M405" s="128" t="s">
        <v>2883</v>
      </c>
      <c r="N405" s="128" t="s">
        <v>1577</v>
      </c>
      <c r="O405" s="128">
        <v>495</v>
      </c>
      <c r="P405" s="128">
        <v>105</v>
      </c>
      <c r="Q405" s="128">
        <v>91</v>
      </c>
      <c r="R405" s="128">
        <v>205</v>
      </c>
      <c r="S405" s="128">
        <v>45</v>
      </c>
      <c r="T405" s="128">
        <v>56</v>
      </c>
      <c r="U405" s="128">
        <v>502</v>
      </c>
      <c r="V405" s="128" t="s">
        <v>1397</v>
      </c>
    </row>
    <row r="406" spans="1:22" x14ac:dyDescent="0.35">
      <c r="A406" s="118">
        <v>405</v>
      </c>
      <c r="B406" s="128" t="s">
        <v>1</v>
      </c>
      <c r="C406" s="128" t="s">
        <v>191</v>
      </c>
      <c r="D406" s="128" t="s">
        <v>1517</v>
      </c>
      <c r="E406" s="128" t="s">
        <v>450</v>
      </c>
      <c r="F406" s="128">
        <v>1984</v>
      </c>
      <c r="G406" s="128">
        <v>96</v>
      </c>
      <c r="H406" s="128">
        <v>5</v>
      </c>
      <c r="I406" s="128">
        <v>101</v>
      </c>
      <c r="J406" s="128" t="s">
        <v>1929</v>
      </c>
      <c r="K406" s="128">
        <v>150.38379999999998</v>
      </c>
      <c r="L406" s="128" t="s">
        <v>2884</v>
      </c>
      <c r="M406" s="128" t="s">
        <v>2885</v>
      </c>
      <c r="N406" s="128" t="s">
        <v>2886</v>
      </c>
      <c r="O406" s="128">
        <v>291</v>
      </c>
      <c r="P406" s="128">
        <v>73</v>
      </c>
      <c r="Q406" s="128">
        <v>51</v>
      </c>
      <c r="R406" s="128">
        <v>112</v>
      </c>
      <c r="S406" s="128">
        <v>27</v>
      </c>
      <c r="T406" s="128">
        <v>34</v>
      </c>
      <c r="U406" s="128">
        <v>297</v>
      </c>
      <c r="V406" s="128" t="s">
        <v>1416</v>
      </c>
    </row>
    <row r="407" spans="1:22" x14ac:dyDescent="0.35">
      <c r="A407" s="118">
        <v>406</v>
      </c>
      <c r="B407" s="128" t="s">
        <v>1</v>
      </c>
      <c r="C407" s="128" t="s">
        <v>191</v>
      </c>
      <c r="D407" s="128" t="s">
        <v>2887</v>
      </c>
      <c r="E407" s="128" t="s">
        <v>659</v>
      </c>
      <c r="F407" s="128">
        <v>2001</v>
      </c>
      <c r="G407" s="128">
        <v>198</v>
      </c>
      <c r="H407" s="128">
        <v>10</v>
      </c>
      <c r="I407" s="128">
        <v>208</v>
      </c>
      <c r="J407" s="128" t="s">
        <v>2273</v>
      </c>
      <c r="K407" s="128">
        <v>169.46959999999999</v>
      </c>
      <c r="L407" s="128" t="s">
        <v>1536</v>
      </c>
      <c r="M407" s="128" t="s">
        <v>2888</v>
      </c>
      <c r="N407" s="128" t="s">
        <v>2889</v>
      </c>
      <c r="O407" s="128">
        <v>491</v>
      </c>
      <c r="P407" s="128">
        <v>105</v>
      </c>
      <c r="Q407" s="128">
        <v>91</v>
      </c>
      <c r="R407" s="128">
        <v>204</v>
      </c>
      <c r="S407" s="128">
        <v>42</v>
      </c>
      <c r="T407" s="128">
        <v>55</v>
      </c>
      <c r="U407" s="128">
        <v>497</v>
      </c>
      <c r="V407" s="128" t="s">
        <v>1397</v>
      </c>
    </row>
    <row r="408" spans="1:22" x14ac:dyDescent="0.35">
      <c r="A408" s="118">
        <v>407</v>
      </c>
      <c r="B408" s="128" t="s">
        <v>1</v>
      </c>
      <c r="C408" s="128" t="s">
        <v>191</v>
      </c>
      <c r="D408" s="128" t="s">
        <v>2890</v>
      </c>
      <c r="E408" s="128" t="s">
        <v>2463</v>
      </c>
      <c r="F408" s="128">
        <v>1984</v>
      </c>
      <c r="G408" s="128">
        <v>52</v>
      </c>
      <c r="H408" s="128">
        <v>4</v>
      </c>
      <c r="I408" s="128">
        <v>56</v>
      </c>
      <c r="J408" s="128" t="s">
        <v>2891</v>
      </c>
      <c r="K408" s="128">
        <v>72.543999999999997</v>
      </c>
      <c r="L408" s="128" t="s">
        <v>2217</v>
      </c>
      <c r="M408" s="128" t="s">
        <v>1699</v>
      </c>
      <c r="N408" s="128" t="s">
        <v>2892</v>
      </c>
      <c r="O408" s="128">
        <v>276</v>
      </c>
      <c r="P408" s="128">
        <v>71</v>
      </c>
      <c r="Q408" s="128">
        <v>53</v>
      </c>
      <c r="R408" s="128">
        <v>111</v>
      </c>
      <c r="S408" s="128">
        <v>13</v>
      </c>
      <c r="T408" s="128">
        <v>33</v>
      </c>
      <c r="U408" s="128">
        <v>281</v>
      </c>
      <c r="V408" s="128" t="s">
        <v>1416</v>
      </c>
    </row>
    <row r="409" spans="1:22" x14ac:dyDescent="0.35">
      <c r="A409" s="118">
        <v>408</v>
      </c>
      <c r="B409" s="128" t="s">
        <v>1</v>
      </c>
      <c r="C409" s="128" t="s">
        <v>191</v>
      </c>
      <c r="D409" s="128" t="s">
        <v>2890</v>
      </c>
      <c r="E409" s="128" t="s">
        <v>2893</v>
      </c>
      <c r="F409" s="128">
        <v>1984</v>
      </c>
      <c r="G409" s="128">
        <v>139</v>
      </c>
      <c r="H409" s="128">
        <v>3</v>
      </c>
      <c r="I409" s="128">
        <v>142</v>
      </c>
      <c r="J409" s="128" t="s">
        <v>2894</v>
      </c>
      <c r="K409" s="128">
        <v>98.162000000000006</v>
      </c>
      <c r="L409" s="128" t="s">
        <v>2895</v>
      </c>
      <c r="M409" s="128" t="s">
        <v>2896</v>
      </c>
      <c r="N409" s="128" t="s">
        <v>2897</v>
      </c>
      <c r="O409" s="128">
        <v>278</v>
      </c>
      <c r="P409" s="128">
        <v>72</v>
      </c>
      <c r="Q409" s="128">
        <v>52</v>
      </c>
      <c r="R409" s="128">
        <v>112</v>
      </c>
      <c r="S409" s="128">
        <v>15</v>
      </c>
      <c r="T409" s="128">
        <v>33</v>
      </c>
      <c r="U409" s="128">
        <v>284</v>
      </c>
      <c r="V409" s="128" t="s">
        <v>1416</v>
      </c>
    </row>
    <row r="410" spans="1:22" x14ac:dyDescent="0.35">
      <c r="A410" s="118">
        <v>409</v>
      </c>
      <c r="B410" s="128" t="s">
        <v>1</v>
      </c>
      <c r="C410" s="128" t="s">
        <v>191</v>
      </c>
      <c r="D410" s="128" t="s">
        <v>2890</v>
      </c>
      <c r="E410" s="128" t="s">
        <v>2898</v>
      </c>
      <c r="F410" s="128">
        <v>2007</v>
      </c>
      <c r="G410" s="128">
        <v>65</v>
      </c>
      <c r="H410" s="128">
        <v>3</v>
      </c>
      <c r="I410" s="128">
        <v>68</v>
      </c>
      <c r="J410" s="128" t="s">
        <v>2899</v>
      </c>
      <c r="K410" s="128">
        <v>74.877999999999986</v>
      </c>
      <c r="L410" s="128" t="s">
        <v>1856</v>
      </c>
      <c r="M410" s="128" t="s">
        <v>1555</v>
      </c>
      <c r="N410" s="128" t="s">
        <v>2900</v>
      </c>
      <c r="O410" s="128">
        <v>497</v>
      </c>
      <c r="P410" s="128">
        <v>106</v>
      </c>
      <c r="Q410" s="128">
        <v>90</v>
      </c>
      <c r="R410" s="128">
        <v>205</v>
      </c>
      <c r="S410" s="128">
        <v>48</v>
      </c>
      <c r="T410" s="128">
        <v>55</v>
      </c>
      <c r="U410" s="128">
        <v>504</v>
      </c>
      <c r="V410" s="128" t="s">
        <v>1397</v>
      </c>
    </row>
    <row r="411" spans="1:22" x14ac:dyDescent="0.35">
      <c r="A411" s="118">
        <v>410</v>
      </c>
      <c r="B411" s="128" t="s">
        <v>1</v>
      </c>
      <c r="C411" s="128" t="s">
        <v>191</v>
      </c>
      <c r="D411" s="128" t="s">
        <v>2890</v>
      </c>
      <c r="E411" s="128" t="s">
        <v>161</v>
      </c>
      <c r="F411" s="128">
        <v>1984</v>
      </c>
      <c r="G411" s="128">
        <v>42</v>
      </c>
      <c r="H411" s="128">
        <v>0</v>
      </c>
      <c r="I411" s="128">
        <v>42</v>
      </c>
      <c r="J411" s="128" t="s">
        <v>2891</v>
      </c>
      <c r="K411" s="128">
        <v>76.126800000000003</v>
      </c>
      <c r="L411" s="128" t="s">
        <v>2901</v>
      </c>
      <c r="M411" s="128" t="s">
        <v>2902</v>
      </c>
      <c r="N411" s="128" t="s">
        <v>2903</v>
      </c>
      <c r="O411" s="128">
        <v>271</v>
      </c>
      <c r="P411" s="128">
        <v>71</v>
      </c>
      <c r="Q411" s="128">
        <v>51</v>
      </c>
      <c r="R411" s="128">
        <v>108</v>
      </c>
      <c r="S411" s="128">
        <v>12</v>
      </c>
      <c r="T411" s="128">
        <v>34</v>
      </c>
      <c r="U411" s="128">
        <v>276</v>
      </c>
      <c r="V411" s="128" t="s">
        <v>1416</v>
      </c>
    </row>
    <row r="412" spans="1:22" x14ac:dyDescent="0.35">
      <c r="A412" s="118">
        <v>411</v>
      </c>
      <c r="B412" s="128" t="s">
        <v>1</v>
      </c>
      <c r="C412" s="128" t="s">
        <v>191</v>
      </c>
      <c r="D412" s="128" t="s">
        <v>2890</v>
      </c>
      <c r="E412" s="128" t="s">
        <v>2904</v>
      </c>
      <c r="F412" s="128">
        <v>2007</v>
      </c>
      <c r="G412" s="128">
        <v>64</v>
      </c>
      <c r="H412" s="128">
        <v>2</v>
      </c>
      <c r="I412" s="128">
        <v>66</v>
      </c>
      <c r="J412" s="128" t="s">
        <v>2899</v>
      </c>
      <c r="K412" s="128">
        <v>73.143999999999991</v>
      </c>
      <c r="L412" s="128" t="s">
        <v>2905</v>
      </c>
      <c r="M412" s="128" t="s">
        <v>2906</v>
      </c>
      <c r="N412" s="128" t="s">
        <v>2907</v>
      </c>
      <c r="O412" s="128">
        <v>489</v>
      </c>
      <c r="P412" s="128">
        <v>108</v>
      </c>
      <c r="Q412" s="128">
        <v>86</v>
      </c>
      <c r="R412" s="128">
        <v>201</v>
      </c>
      <c r="S412" s="128">
        <v>44</v>
      </c>
      <c r="T412" s="128">
        <v>55</v>
      </c>
      <c r="U412" s="128">
        <v>494</v>
      </c>
      <c r="V412" s="128" t="s">
        <v>1397</v>
      </c>
    </row>
    <row r="413" spans="1:22" x14ac:dyDescent="0.35">
      <c r="A413" s="118">
        <v>412</v>
      </c>
      <c r="B413" s="128" t="s">
        <v>1</v>
      </c>
      <c r="C413" s="128" t="s">
        <v>191</v>
      </c>
      <c r="D413" s="128" t="s">
        <v>1537</v>
      </c>
      <c r="E413" s="128" t="s">
        <v>440</v>
      </c>
      <c r="F413" s="128">
        <v>1984</v>
      </c>
      <c r="G413" s="128">
        <v>232</v>
      </c>
      <c r="H413" s="128">
        <v>14</v>
      </c>
      <c r="I413" s="128">
        <v>246</v>
      </c>
      <c r="J413" s="128" t="s">
        <v>2908</v>
      </c>
      <c r="K413" s="128">
        <v>134.934</v>
      </c>
      <c r="L413" s="128" t="s">
        <v>2909</v>
      </c>
      <c r="M413" s="128" t="s">
        <v>2910</v>
      </c>
      <c r="N413" s="128" t="s">
        <v>2911</v>
      </c>
      <c r="O413" s="128">
        <v>471</v>
      </c>
      <c r="P413" s="128">
        <v>110</v>
      </c>
      <c r="Q413" s="128">
        <v>87</v>
      </c>
      <c r="R413" s="128">
        <v>183</v>
      </c>
      <c r="S413" s="128">
        <v>43</v>
      </c>
      <c r="T413" s="128">
        <v>52</v>
      </c>
      <c r="U413" s="128">
        <v>475</v>
      </c>
      <c r="V413" s="128" t="s">
        <v>1397</v>
      </c>
    </row>
    <row r="414" spans="1:22" x14ac:dyDescent="0.35">
      <c r="A414" s="118">
        <v>413</v>
      </c>
      <c r="B414" s="128" t="s">
        <v>1</v>
      </c>
      <c r="C414" s="128" t="s">
        <v>191</v>
      </c>
      <c r="D414" s="128" t="s">
        <v>1537</v>
      </c>
      <c r="E414" s="128" t="s">
        <v>1101</v>
      </c>
      <c r="F414" s="128">
        <v>2006</v>
      </c>
      <c r="G414" s="128">
        <v>153</v>
      </c>
      <c r="H414" s="128">
        <v>3</v>
      </c>
      <c r="I414" s="128">
        <v>156</v>
      </c>
      <c r="J414" s="128" t="s">
        <v>2273</v>
      </c>
      <c r="K414" s="128">
        <v>106.66419999999999</v>
      </c>
      <c r="L414" s="128" t="s">
        <v>1657</v>
      </c>
      <c r="M414" s="128" t="s">
        <v>2912</v>
      </c>
      <c r="N414" s="128" t="s">
        <v>2913</v>
      </c>
      <c r="O414" s="128">
        <v>740</v>
      </c>
      <c r="P414" s="128">
        <v>162</v>
      </c>
      <c r="Q414" s="128">
        <v>99</v>
      </c>
      <c r="R414" s="128">
        <v>309</v>
      </c>
      <c r="S414" s="128">
        <v>84</v>
      </c>
      <c r="T414" s="128">
        <v>93</v>
      </c>
      <c r="U414" s="128">
        <v>747</v>
      </c>
      <c r="V414" s="128" t="s">
        <v>1417</v>
      </c>
    </row>
    <row r="415" spans="1:22" x14ac:dyDescent="0.35">
      <c r="A415" s="118">
        <v>414</v>
      </c>
      <c r="B415" s="128" t="s">
        <v>1</v>
      </c>
      <c r="C415" s="128" t="s">
        <v>191</v>
      </c>
      <c r="D415" s="128" t="s">
        <v>2914</v>
      </c>
      <c r="E415" s="128" t="s">
        <v>2915</v>
      </c>
      <c r="F415" s="128">
        <v>2002</v>
      </c>
      <c r="G415" s="128">
        <v>57</v>
      </c>
      <c r="H415" s="128">
        <v>4</v>
      </c>
      <c r="I415" s="128">
        <v>61</v>
      </c>
      <c r="J415" s="128" t="s">
        <v>1929</v>
      </c>
      <c r="K415" s="128">
        <v>102.26300000000001</v>
      </c>
      <c r="L415" s="128" t="s">
        <v>2916</v>
      </c>
      <c r="M415" s="128" t="s">
        <v>1564</v>
      </c>
      <c r="N415" s="128" t="s">
        <v>2917</v>
      </c>
      <c r="O415" s="128">
        <v>274</v>
      </c>
      <c r="P415" s="128">
        <v>70</v>
      </c>
      <c r="Q415" s="128">
        <v>51</v>
      </c>
      <c r="R415" s="128">
        <v>113</v>
      </c>
      <c r="S415" s="128">
        <v>12</v>
      </c>
      <c r="T415" s="128">
        <v>32</v>
      </c>
      <c r="U415" s="128">
        <v>278</v>
      </c>
      <c r="V415" s="128" t="s">
        <v>1416</v>
      </c>
    </row>
    <row r="416" spans="1:22" x14ac:dyDescent="0.35">
      <c r="A416" s="118">
        <v>415</v>
      </c>
      <c r="B416" s="128" t="s">
        <v>1</v>
      </c>
      <c r="C416" s="128" t="s">
        <v>191</v>
      </c>
      <c r="D416" s="128" t="s">
        <v>2914</v>
      </c>
      <c r="E416" s="128" t="s">
        <v>397</v>
      </c>
      <c r="F416" s="128">
        <v>1984</v>
      </c>
      <c r="G416" s="128">
        <v>68</v>
      </c>
      <c r="H416" s="128">
        <v>5</v>
      </c>
      <c r="I416" s="128">
        <v>73</v>
      </c>
      <c r="J416" s="128" t="s">
        <v>2878</v>
      </c>
      <c r="K416" s="128">
        <v>66.087999999999994</v>
      </c>
      <c r="L416" s="128" t="s">
        <v>2918</v>
      </c>
      <c r="M416" s="128" t="s">
        <v>2919</v>
      </c>
      <c r="N416" s="128" t="s">
        <v>2920</v>
      </c>
      <c r="O416" s="128">
        <v>278</v>
      </c>
      <c r="P416" s="128">
        <v>73</v>
      </c>
      <c r="Q416" s="128">
        <v>52</v>
      </c>
      <c r="R416" s="128">
        <v>107</v>
      </c>
      <c r="S416" s="128">
        <v>17</v>
      </c>
      <c r="T416" s="128">
        <v>34</v>
      </c>
      <c r="U416" s="128">
        <v>283</v>
      </c>
      <c r="V416" s="128" t="s">
        <v>1416</v>
      </c>
    </row>
    <row r="417" spans="1:22" x14ac:dyDescent="0.35">
      <c r="A417" s="118">
        <v>416</v>
      </c>
      <c r="B417" s="128" t="s">
        <v>1</v>
      </c>
      <c r="C417" s="128" t="s">
        <v>191</v>
      </c>
      <c r="D417" s="128" t="s">
        <v>2914</v>
      </c>
      <c r="E417" s="128" t="s">
        <v>692</v>
      </c>
      <c r="F417" s="128">
        <v>2008</v>
      </c>
      <c r="G417" s="128">
        <v>61</v>
      </c>
      <c r="H417" s="128">
        <v>5</v>
      </c>
      <c r="I417" s="128">
        <v>66</v>
      </c>
      <c r="J417" s="128" t="s">
        <v>1929</v>
      </c>
      <c r="K417" s="128">
        <v>81.17</v>
      </c>
      <c r="L417" s="128" t="s">
        <v>2252</v>
      </c>
      <c r="M417" s="128" t="s">
        <v>1607</v>
      </c>
      <c r="N417" s="128" t="s">
        <v>2921</v>
      </c>
      <c r="O417" s="128">
        <v>279</v>
      </c>
      <c r="P417" s="128">
        <v>71</v>
      </c>
      <c r="Q417" s="128">
        <v>52</v>
      </c>
      <c r="R417" s="128">
        <v>111</v>
      </c>
      <c r="S417" s="128">
        <v>17</v>
      </c>
      <c r="T417" s="128">
        <v>32</v>
      </c>
      <c r="U417" s="128">
        <v>283</v>
      </c>
      <c r="V417" s="128" t="s">
        <v>1416</v>
      </c>
    </row>
    <row r="418" spans="1:22" x14ac:dyDescent="0.35">
      <c r="A418" s="118">
        <v>417</v>
      </c>
      <c r="B418" s="128" t="s">
        <v>1</v>
      </c>
      <c r="C418" s="128" t="s">
        <v>191</v>
      </c>
      <c r="D418" s="128" t="s">
        <v>2922</v>
      </c>
      <c r="E418" s="128" t="s">
        <v>42</v>
      </c>
      <c r="F418" s="128">
        <v>1984</v>
      </c>
      <c r="G418" s="128">
        <v>76</v>
      </c>
      <c r="H418" s="128">
        <v>4</v>
      </c>
      <c r="I418" s="128">
        <v>80</v>
      </c>
      <c r="J418" s="128" t="s">
        <v>2878</v>
      </c>
      <c r="K418" s="128">
        <v>66.959600000000009</v>
      </c>
      <c r="L418" s="128" t="s">
        <v>1875</v>
      </c>
      <c r="M418" s="128" t="s">
        <v>2923</v>
      </c>
      <c r="N418" s="128" t="s">
        <v>1830</v>
      </c>
      <c r="O418" s="128">
        <v>508</v>
      </c>
      <c r="P418" s="128">
        <v>111</v>
      </c>
      <c r="Q418" s="128">
        <v>89</v>
      </c>
      <c r="R418" s="128">
        <v>208</v>
      </c>
      <c r="S418" s="128">
        <v>46</v>
      </c>
      <c r="T418" s="128">
        <v>57</v>
      </c>
      <c r="U418" s="128">
        <v>511</v>
      </c>
      <c r="V418" s="128" t="s">
        <v>1397</v>
      </c>
    </row>
    <row r="419" spans="1:22" x14ac:dyDescent="0.35">
      <c r="A419" s="118">
        <v>418</v>
      </c>
      <c r="B419" s="128" t="s">
        <v>1</v>
      </c>
      <c r="C419" s="128" t="s">
        <v>191</v>
      </c>
      <c r="D419" s="128" t="s">
        <v>2922</v>
      </c>
      <c r="E419" s="128" t="s">
        <v>2924</v>
      </c>
      <c r="F419" s="128">
        <v>2004</v>
      </c>
      <c r="G419" s="128">
        <v>68</v>
      </c>
      <c r="H419" s="128">
        <v>2</v>
      </c>
      <c r="I419" s="128">
        <v>70</v>
      </c>
      <c r="J419" s="128" t="s">
        <v>1929</v>
      </c>
      <c r="K419" s="128">
        <v>84.898999999999987</v>
      </c>
      <c r="L419" s="128" t="s">
        <v>1798</v>
      </c>
      <c r="M419" s="128" t="s">
        <v>2925</v>
      </c>
      <c r="N419" s="128" t="s">
        <v>2926</v>
      </c>
      <c r="O419" s="128">
        <v>281</v>
      </c>
      <c r="P419" s="128">
        <v>73</v>
      </c>
      <c r="Q419" s="128">
        <v>53</v>
      </c>
      <c r="R419" s="128">
        <v>110</v>
      </c>
      <c r="S419" s="128">
        <v>17</v>
      </c>
      <c r="T419" s="128">
        <v>33</v>
      </c>
      <c r="U419" s="128">
        <v>286</v>
      </c>
      <c r="V419" s="128" t="s">
        <v>1416</v>
      </c>
    </row>
    <row r="420" spans="1:22" x14ac:dyDescent="0.35">
      <c r="A420" s="118">
        <v>419</v>
      </c>
      <c r="B420" s="128" t="s">
        <v>1</v>
      </c>
      <c r="C420" s="128" t="s">
        <v>191</v>
      </c>
      <c r="D420" s="128" t="s">
        <v>2922</v>
      </c>
      <c r="E420" s="128" t="s">
        <v>435</v>
      </c>
      <c r="F420" s="128">
        <v>2004</v>
      </c>
      <c r="G420" s="128">
        <v>166</v>
      </c>
      <c r="H420" s="128">
        <v>7</v>
      </c>
      <c r="I420" s="128">
        <v>173</v>
      </c>
      <c r="J420" s="128" t="s">
        <v>2878</v>
      </c>
      <c r="K420" s="128">
        <v>64.634</v>
      </c>
      <c r="L420" s="128" t="s">
        <v>2927</v>
      </c>
      <c r="M420" s="128" t="s">
        <v>1904</v>
      </c>
      <c r="N420" s="128" t="s">
        <v>2928</v>
      </c>
      <c r="O420" s="128">
        <v>278</v>
      </c>
      <c r="P420" s="128">
        <v>75</v>
      </c>
      <c r="Q420" s="128">
        <v>51</v>
      </c>
      <c r="R420" s="128">
        <v>107</v>
      </c>
      <c r="S420" s="128">
        <v>18</v>
      </c>
      <c r="T420" s="128">
        <v>33</v>
      </c>
      <c r="U420" s="128">
        <v>284</v>
      </c>
      <c r="V420" s="128" t="s">
        <v>1416</v>
      </c>
    </row>
    <row r="421" spans="1:22" x14ac:dyDescent="0.35">
      <c r="A421" s="118">
        <v>420</v>
      </c>
      <c r="B421" s="128" t="s">
        <v>1</v>
      </c>
      <c r="C421" s="128" t="s">
        <v>191</v>
      </c>
      <c r="D421" s="128" t="s">
        <v>2929</v>
      </c>
      <c r="E421" s="128" t="s">
        <v>149</v>
      </c>
      <c r="F421" s="128">
        <v>1992</v>
      </c>
      <c r="G421" s="128">
        <v>54</v>
      </c>
      <c r="H421" s="128">
        <v>5</v>
      </c>
      <c r="I421" s="128">
        <v>59</v>
      </c>
      <c r="J421" s="128" t="s">
        <v>2273</v>
      </c>
      <c r="K421" s="128">
        <v>74.733999999999995</v>
      </c>
      <c r="L421" s="128" t="s">
        <v>2930</v>
      </c>
      <c r="M421" s="128" t="s">
        <v>2931</v>
      </c>
      <c r="N421" s="128" t="s">
        <v>2584</v>
      </c>
      <c r="O421" s="128">
        <v>281</v>
      </c>
      <c r="P421" s="128">
        <v>70</v>
      </c>
      <c r="Q421" s="128">
        <v>51</v>
      </c>
      <c r="R421" s="128">
        <v>110</v>
      </c>
      <c r="S421" s="128">
        <v>19</v>
      </c>
      <c r="T421" s="128">
        <v>34</v>
      </c>
      <c r="U421" s="128">
        <v>284</v>
      </c>
      <c r="V421" s="128" t="s">
        <v>1416</v>
      </c>
    </row>
    <row r="422" spans="1:22" x14ac:dyDescent="0.35">
      <c r="A422" s="118">
        <v>421</v>
      </c>
      <c r="B422" s="128" t="s">
        <v>1</v>
      </c>
      <c r="C422" s="128" t="s">
        <v>191</v>
      </c>
      <c r="D422" s="128" t="s">
        <v>2929</v>
      </c>
      <c r="E422" s="128" t="s">
        <v>2932</v>
      </c>
      <c r="F422" s="128">
        <v>2007</v>
      </c>
      <c r="G422" s="128">
        <v>148</v>
      </c>
      <c r="H422" s="128">
        <v>7</v>
      </c>
      <c r="I422" s="128">
        <v>155</v>
      </c>
      <c r="J422" s="128" t="s">
        <v>1929</v>
      </c>
      <c r="K422" s="128">
        <v>86.744</v>
      </c>
      <c r="L422" s="128" t="s">
        <v>2933</v>
      </c>
      <c r="M422" s="128" t="s">
        <v>2934</v>
      </c>
      <c r="N422" s="128" t="s">
        <v>2935</v>
      </c>
      <c r="O422" s="128">
        <v>275</v>
      </c>
      <c r="P422" s="128">
        <v>68</v>
      </c>
      <c r="Q422" s="128">
        <v>52</v>
      </c>
      <c r="R422" s="128">
        <v>106</v>
      </c>
      <c r="S422" s="128">
        <v>18</v>
      </c>
      <c r="T422" s="128">
        <v>33</v>
      </c>
      <c r="U422" s="128">
        <v>277</v>
      </c>
      <c r="V422" s="128" t="s">
        <v>1416</v>
      </c>
    </row>
    <row r="423" spans="1:22" x14ac:dyDescent="0.35">
      <c r="A423" s="118">
        <v>422</v>
      </c>
      <c r="B423" s="128" t="s">
        <v>1</v>
      </c>
      <c r="C423" s="128" t="s">
        <v>191</v>
      </c>
      <c r="D423" s="128" t="s">
        <v>2929</v>
      </c>
      <c r="E423" s="128" t="s">
        <v>2936</v>
      </c>
      <c r="F423" s="128">
        <v>2008</v>
      </c>
      <c r="G423" s="128">
        <v>87</v>
      </c>
      <c r="H423" s="128">
        <v>3</v>
      </c>
      <c r="I423" s="128">
        <v>90</v>
      </c>
      <c r="J423" s="128" t="s">
        <v>1929</v>
      </c>
      <c r="K423" s="128">
        <v>97.10799999999999</v>
      </c>
      <c r="L423" s="128" t="s">
        <v>2937</v>
      </c>
      <c r="M423" s="128" t="s">
        <v>2278</v>
      </c>
      <c r="N423" s="128" t="s">
        <v>2938</v>
      </c>
      <c r="O423" s="128">
        <v>451</v>
      </c>
      <c r="P423" s="128">
        <v>108</v>
      </c>
      <c r="Q423" s="128">
        <v>88</v>
      </c>
      <c r="R423" s="128">
        <v>203</v>
      </c>
      <c r="S423" s="128">
        <v>0</v>
      </c>
      <c r="T423" s="128">
        <v>55</v>
      </c>
      <c r="U423" s="128">
        <v>454</v>
      </c>
      <c r="V423" s="128" t="s">
        <v>1397</v>
      </c>
    </row>
    <row r="424" spans="1:22" x14ac:dyDescent="0.35">
      <c r="A424" s="118">
        <v>423</v>
      </c>
      <c r="B424" s="128" t="s">
        <v>1</v>
      </c>
      <c r="C424" s="128" t="s">
        <v>191</v>
      </c>
      <c r="D424" s="128" t="s">
        <v>1517</v>
      </c>
      <c r="E424" s="128" t="s">
        <v>2939</v>
      </c>
      <c r="F424" s="128">
        <v>2008</v>
      </c>
      <c r="G424" s="128">
        <v>0</v>
      </c>
      <c r="H424" s="128">
        <v>26</v>
      </c>
      <c r="I424" s="128">
        <v>26</v>
      </c>
      <c r="J424" s="128" t="s">
        <v>1728</v>
      </c>
      <c r="K424" s="128">
        <v>11.25</v>
      </c>
      <c r="L424" s="128" t="s">
        <v>2940</v>
      </c>
      <c r="M424" s="128" t="s">
        <v>2941</v>
      </c>
      <c r="N424" s="128" t="s">
        <v>2942</v>
      </c>
      <c r="O424" s="128">
        <v>279</v>
      </c>
      <c r="P424" s="128">
        <v>69</v>
      </c>
      <c r="Q424" s="128">
        <v>51</v>
      </c>
      <c r="R424" s="128">
        <v>109</v>
      </c>
      <c r="S424" s="128">
        <v>19</v>
      </c>
      <c r="T424" s="128">
        <v>34</v>
      </c>
      <c r="U424" s="128">
        <v>282</v>
      </c>
      <c r="V424" s="128" t="s">
        <v>1416</v>
      </c>
    </row>
    <row r="425" spans="1:22" x14ac:dyDescent="0.35">
      <c r="A425" s="118">
        <v>424</v>
      </c>
      <c r="B425" s="128" t="s">
        <v>1</v>
      </c>
      <c r="C425" s="128" t="s">
        <v>191</v>
      </c>
      <c r="D425" s="128" t="s">
        <v>2914</v>
      </c>
      <c r="E425" s="128" t="s">
        <v>2943</v>
      </c>
      <c r="F425" s="128">
        <v>2008</v>
      </c>
      <c r="G425" s="128">
        <v>0</v>
      </c>
      <c r="H425" s="128">
        <v>31</v>
      </c>
      <c r="I425" s="128">
        <v>31</v>
      </c>
      <c r="J425" s="128" t="s">
        <v>2944</v>
      </c>
      <c r="K425" s="128">
        <v>15.95</v>
      </c>
      <c r="L425" s="128" t="s">
        <v>2945</v>
      </c>
      <c r="M425" s="128" t="s">
        <v>2946</v>
      </c>
      <c r="N425" s="128" t="s">
        <v>2947</v>
      </c>
      <c r="O425" s="128">
        <v>258</v>
      </c>
      <c r="P425" s="128">
        <v>66</v>
      </c>
      <c r="Q425" s="128">
        <v>48</v>
      </c>
      <c r="R425" s="128">
        <v>103</v>
      </c>
      <c r="S425" s="128">
        <v>12</v>
      </c>
      <c r="T425" s="128">
        <v>32</v>
      </c>
      <c r="U425" s="128">
        <v>261</v>
      </c>
      <c r="V425" s="128" t="s">
        <v>1416</v>
      </c>
    </row>
    <row r="426" spans="1:22" x14ac:dyDescent="0.35">
      <c r="A426" s="118">
        <v>425</v>
      </c>
      <c r="B426" s="128" t="s">
        <v>1</v>
      </c>
      <c r="C426" s="128" t="s">
        <v>191</v>
      </c>
      <c r="D426" s="128" t="s">
        <v>2890</v>
      </c>
      <c r="E426" s="128" t="s">
        <v>2948</v>
      </c>
      <c r="F426" s="128">
        <v>2023</v>
      </c>
      <c r="G426" s="128">
        <v>57</v>
      </c>
      <c r="H426" s="128">
        <v>7</v>
      </c>
      <c r="I426" s="128">
        <v>64</v>
      </c>
      <c r="J426" s="128" t="s">
        <v>2949</v>
      </c>
      <c r="K426" s="128">
        <v>28.58</v>
      </c>
      <c r="L426" s="128" t="s">
        <v>2950</v>
      </c>
      <c r="M426" s="128" t="s">
        <v>2951</v>
      </c>
      <c r="N426" s="128" t="s">
        <v>2952</v>
      </c>
      <c r="O426" s="128">
        <v>104</v>
      </c>
      <c r="P426" s="128">
        <v>32</v>
      </c>
      <c r="Q426" s="128">
        <v>19</v>
      </c>
      <c r="R426" s="128">
        <v>43</v>
      </c>
      <c r="S426" s="128">
        <v>6</v>
      </c>
      <c r="T426" s="128">
        <v>12</v>
      </c>
      <c r="U426" s="128">
        <v>112</v>
      </c>
      <c r="V426" s="128" t="s">
        <v>2953</v>
      </c>
    </row>
    <row r="427" spans="1:22" x14ac:dyDescent="0.35">
      <c r="A427" s="118">
        <v>426</v>
      </c>
      <c r="B427" s="128" t="s">
        <v>1</v>
      </c>
      <c r="C427" s="128" t="s">
        <v>1474</v>
      </c>
      <c r="D427" s="128" t="s">
        <v>1517</v>
      </c>
      <c r="E427" s="128" t="s">
        <v>2954</v>
      </c>
      <c r="F427" s="128">
        <v>2003</v>
      </c>
      <c r="G427" s="128">
        <v>69</v>
      </c>
      <c r="H427" s="128">
        <v>5</v>
      </c>
      <c r="I427" s="128">
        <v>74</v>
      </c>
      <c r="J427" s="128" t="s">
        <v>2878</v>
      </c>
      <c r="K427" s="128">
        <v>7.75</v>
      </c>
      <c r="L427" s="128" t="s">
        <v>2955</v>
      </c>
      <c r="M427" s="128" t="s">
        <v>2956</v>
      </c>
      <c r="N427" s="128" t="s">
        <v>2957</v>
      </c>
      <c r="O427" s="128">
        <v>562</v>
      </c>
      <c r="P427" s="128">
        <v>111</v>
      </c>
      <c r="Q427" s="128">
        <v>94</v>
      </c>
      <c r="R427" s="128">
        <v>251</v>
      </c>
      <c r="S427" s="128">
        <v>54</v>
      </c>
      <c r="T427" s="128">
        <v>60</v>
      </c>
      <c r="U427" s="128">
        <v>570</v>
      </c>
      <c r="V427" s="128" t="s">
        <v>1397</v>
      </c>
    </row>
    <row r="428" spans="1:22" x14ac:dyDescent="0.35">
      <c r="A428" s="118">
        <v>427</v>
      </c>
      <c r="B428" s="128" t="s">
        <v>1</v>
      </c>
      <c r="C428" s="128" t="s">
        <v>1474</v>
      </c>
      <c r="D428" s="128" t="s">
        <v>1517</v>
      </c>
      <c r="E428" s="128" t="s">
        <v>472</v>
      </c>
      <c r="F428" s="128">
        <v>1984</v>
      </c>
      <c r="G428" s="128">
        <v>47</v>
      </c>
      <c r="H428" s="128">
        <v>0</v>
      </c>
      <c r="I428" s="128">
        <v>47</v>
      </c>
      <c r="J428" s="128" t="s">
        <v>2878</v>
      </c>
      <c r="K428" s="128">
        <v>10</v>
      </c>
      <c r="L428" s="128" t="s">
        <v>2958</v>
      </c>
      <c r="M428" s="128" t="s">
        <v>2959</v>
      </c>
      <c r="N428" s="128" t="s">
        <v>2960</v>
      </c>
      <c r="O428" s="128">
        <v>495</v>
      </c>
      <c r="P428" s="128">
        <v>107</v>
      </c>
      <c r="Q428" s="128">
        <v>94</v>
      </c>
      <c r="R428" s="128">
        <v>202</v>
      </c>
      <c r="S428" s="128">
        <v>42</v>
      </c>
      <c r="T428" s="128">
        <v>52</v>
      </c>
      <c r="U428" s="128">
        <v>497</v>
      </c>
      <c r="V428" s="128" t="s">
        <v>1397</v>
      </c>
    </row>
    <row r="429" spans="1:22" x14ac:dyDescent="0.35">
      <c r="A429" s="118">
        <v>428</v>
      </c>
      <c r="B429" s="128" t="s">
        <v>1</v>
      </c>
      <c r="C429" s="128" t="s">
        <v>1474</v>
      </c>
      <c r="D429" s="128" t="s">
        <v>1517</v>
      </c>
      <c r="E429" s="128" t="s">
        <v>2961</v>
      </c>
      <c r="F429" s="128">
        <v>1984</v>
      </c>
      <c r="G429" s="128">
        <v>59</v>
      </c>
      <c r="H429" s="128">
        <v>0</v>
      </c>
      <c r="I429" s="128">
        <v>59</v>
      </c>
      <c r="J429" s="128" t="s">
        <v>2878</v>
      </c>
      <c r="K429" s="128">
        <v>138</v>
      </c>
      <c r="L429" s="128" t="s">
        <v>2127</v>
      </c>
      <c r="M429" s="128" t="s">
        <v>1830</v>
      </c>
      <c r="N429" s="128" t="s">
        <v>2149</v>
      </c>
      <c r="O429" s="128">
        <v>558</v>
      </c>
      <c r="P429" s="128">
        <v>105</v>
      </c>
      <c r="Q429" s="128">
        <v>93</v>
      </c>
      <c r="R429" s="128">
        <v>246</v>
      </c>
      <c r="S429" s="128">
        <v>62</v>
      </c>
      <c r="T429" s="128">
        <v>61</v>
      </c>
      <c r="U429" s="128">
        <v>567</v>
      </c>
      <c r="V429" s="128" t="s">
        <v>1397</v>
      </c>
    </row>
    <row r="430" spans="1:22" x14ac:dyDescent="0.35">
      <c r="A430" s="118">
        <v>429</v>
      </c>
      <c r="B430" s="128" t="s">
        <v>1</v>
      </c>
      <c r="C430" s="128" t="s">
        <v>1474</v>
      </c>
      <c r="D430" s="128" t="s">
        <v>2962</v>
      </c>
      <c r="E430" s="128" t="s">
        <v>712</v>
      </c>
      <c r="F430" s="128">
        <v>2001</v>
      </c>
      <c r="G430" s="128">
        <v>17</v>
      </c>
      <c r="H430" s="128">
        <v>0</v>
      </c>
      <c r="I430" s="128">
        <v>17</v>
      </c>
      <c r="J430" s="128" t="s">
        <v>2878</v>
      </c>
      <c r="K430" s="128">
        <v>5.7</v>
      </c>
      <c r="L430" s="128" t="s">
        <v>1660</v>
      </c>
      <c r="M430" s="128" t="s">
        <v>2963</v>
      </c>
      <c r="N430" s="128" t="s">
        <v>1602</v>
      </c>
      <c r="O430" s="128">
        <v>319</v>
      </c>
      <c r="P430" s="128">
        <v>71</v>
      </c>
      <c r="Q430" s="128">
        <v>53</v>
      </c>
      <c r="R430" s="128">
        <v>134</v>
      </c>
      <c r="S430" s="128">
        <v>26</v>
      </c>
      <c r="T430" s="128">
        <v>35</v>
      </c>
      <c r="U430" s="128">
        <v>319</v>
      </c>
      <c r="V430" s="128" t="s">
        <v>1416</v>
      </c>
    </row>
    <row r="431" spans="1:22" x14ac:dyDescent="0.35">
      <c r="A431" s="118">
        <v>430</v>
      </c>
      <c r="B431" s="128" t="s">
        <v>1</v>
      </c>
      <c r="C431" s="128" t="s">
        <v>1474</v>
      </c>
      <c r="D431" s="128" t="s">
        <v>2962</v>
      </c>
      <c r="E431" s="128" t="s">
        <v>2964</v>
      </c>
      <c r="F431" s="128">
        <v>1984</v>
      </c>
      <c r="G431" s="128">
        <v>48</v>
      </c>
      <c r="H431" s="128">
        <v>0</v>
      </c>
      <c r="I431" s="128">
        <v>48</v>
      </c>
      <c r="J431" s="128" t="s">
        <v>2965</v>
      </c>
      <c r="K431" s="128">
        <v>13.5</v>
      </c>
      <c r="L431" s="128" t="s">
        <v>2966</v>
      </c>
      <c r="M431" s="128" t="s">
        <v>2967</v>
      </c>
      <c r="N431" s="128" t="s">
        <v>2968</v>
      </c>
      <c r="O431" s="128">
        <v>561</v>
      </c>
      <c r="P431" s="128">
        <v>110</v>
      </c>
      <c r="Q431" s="128">
        <v>93</v>
      </c>
      <c r="R431" s="128">
        <v>245</v>
      </c>
      <c r="S431" s="128">
        <v>53</v>
      </c>
      <c r="T431" s="128">
        <v>60</v>
      </c>
      <c r="U431" s="128">
        <v>561</v>
      </c>
      <c r="V431" s="128" t="s">
        <v>1397</v>
      </c>
    </row>
    <row r="432" spans="1:22" x14ac:dyDescent="0.35">
      <c r="A432" s="118">
        <v>431</v>
      </c>
      <c r="B432" s="128" t="s">
        <v>1</v>
      </c>
      <c r="C432" s="128" t="s">
        <v>1474</v>
      </c>
      <c r="D432" s="128" t="s">
        <v>2962</v>
      </c>
      <c r="E432" s="128" t="s">
        <v>2969</v>
      </c>
      <c r="F432" s="128">
        <v>1984</v>
      </c>
      <c r="G432" s="128">
        <v>34</v>
      </c>
      <c r="H432" s="128">
        <v>2</v>
      </c>
      <c r="I432" s="128">
        <v>36</v>
      </c>
      <c r="J432" s="128" t="s">
        <v>2273</v>
      </c>
      <c r="K432" s="128">
        <v>28.1</v>
      </c>
      <c r="L432" s="128" t="s">
        <v>2970</v>
      </c>
      <c r="M432" s="128" t="s">
        <v>1751</v>
      </c>
      <c r="N432" s="128" t="s">
        <v>2971</v>
      </c>
      <c r="O432" s="128">
        <v>537</v>
      </c>
      <c r="P432" s="128">
        <v>105</v>
      </c>
      <c r="Q432" s="128">
        <v>95</v>
      </c>
      <c r="R432" s="128">
        <v>228</v>
      </c>
      <c r="S432" s="128">
        <v>59</v>
      </c>
      <c r="T432" s="128">
        <v>58</v>
      </c>
      <c r="U432" s="128">
        <v>545</v>
      </c>
      <c r="V432" s="128" t="s">
        <v>1397</v>
      </c>
    </row>
    <row r="433" spans="1:22" x14ac:dyDescent="0.35">
      <c r="A433" s="118">
        <v>432</v>
      </c>
      <c r="B433" s="128" t="s">
        <v>1</v>
      </c>
      <c r="C433" s="128" t="s">
        <v>1474</v>
      </c>
      <c r="D433" s="128" t="s">
        <v>2962</v>
      </c>
      <c r="E433" s="128" t="s">
        <v>2972</v>
      </c>
      <c r="F433" s="128">
        <v>2007</v>
      </c>
      <c r="G433" s="128">
        <v>73</v>
      </c>
      <c r="H433" s="128">
        <v>1</v>
      </c>
      <c r="I433" s="128">
        <v>74</v>
      </c>
      <c r="J433" s="128" t="s">
        <v>2273</v>
      </c>
      <c r="K433" s="128">
        <v>24.6</v>
      </c>
      <c r="L433" s="128" t="s">
        <v>2973</v>
      </c>
      <c r="M433" s="128" t="s">
        <v>2974</v>
      </c>
      <c r="N433" s="128" t="s">
        <v>2975</v>
      </c>
      <c r="O433" s="128">
        <v>278</v>
      </c>
      <c r="P433" s="128">
        <v>67</v>
      </c>
      <c r="Q433" s="128">
        <v>50</v>
      </c>
      <c r="R433" s="128">
        <v>106</v>
      </c>
      <c r="S433" s="128">
        <v>20</v>
      </c>
      <c r="T433" s="128">
        <v>35</v>
      </c>
      <c r="U433" s="128">
        <v>278</v>
      </c>
      <c r="V433" s="128" t="s">
        <v>1416</v>
      </c>
    </row>
    <row r="434" spans="1:22" x14ac:dyDescent="0.35">
      <c r="A434" s="118">
        <v>433</v>
      </c>
      <c r="B434" s="128" t="s">
        <v>1</v>
      </c>
      <c r="C434" s="128" t="s">
        <v>1474</v>
      </c>
      <c r="D434" s="128" t="s">
        <v>2962</v>
      </c>
      <c r="E434" s="128" t="s">
        <v>504</v>
      </c>
      <c r="F434" s="128">
        <v>1984</v>
      </c>
      <c r="G434" s="128">
        <v>73</v>
      </c>
      <c r="H434" s="128">
        <v>1</v>
      </c>
      <c r="I434" s="128">
        <v>74</v>
      </c>
      <c r="J434" s="128" t="s">
        <v>2965</v>
      </c>
      <c r="K434" s="128">
        <v>16.37</v>
      </c>
      <c r="L434" s="128" t="s">
        <v>2976</v>
      </c>
      <c r="M434" s="128" t="s">
        <v>1647</v>
      </c>
      <c r="N434" s="128" t="s">
        <v>2977</v>
      </c>
      <c r="O434" s="128">
        <v>286</v>
      </c>
      <c r="P434" s="128">
        <v>70</v>
      </c>
      <c r="Q434" s="128">
        <v>52</v>
      </c>
      <c r="R434" s="128">
        <v>107</v>
      </c>
      <c r="S434" s="128">
        <v>21</v>
      </c>
      <c r="T434" s="128">
        <v>36</v>
      </c>
      <c r="U434" s="128">
        <v>286</v>
      </c>
      <c r="V434" s="128" t="s">
        <v>1416</v>
      </c>
    </row>
    <row r="435" spans="1:22" x14ac:dyDescent="0.35">
      <c r="A435" s="118">
        <v>434</v>
      </c>
      <c r="B435" s="128" t="s">
        <v>1</v>
      </c>
      <c r="C435" s="128" t="s">
        <v>1474</v>
      </c>
      <c r="D435" s="128" t="s">
        <v>2962</v>
      </c>
      <c r="E435" s="128" t="s">
        <v>442</v>
      </c>
      <c r="F435" s="128">
        <v>2007</v>
      </c>
      <c r="G435" s="128">
        <v>30</v>
      </c>
      <c r="H435" s="128">
        <v>0</v>
      </c>
      <c r="I435" s="128">
        <v>30</v>
      </c>
      <c r="J435" s="128" t="s">
        <v>2878</v>
      </c>
      <c r="K435" s="128">
        <v>674</v>
      </c>
      <c r="L435" s="128" t="s">
        <v>2978</v>
      </c>
      <c r="M435" s="128" t="s">
        <v>2979</v>
      </c>
      <c r="N435" s="128" t="s">
        <v>2980</v>
      </c>
      <c r="O435" s="128">
        <v>564</v>
      </c>
      <c r="P435" s="128">
        <v>114</v>
      </c>
      <c r="Q435" s="128">
        <v>98</v>
      </c>
      <c r="R435" s="128">
        <v>239</v>
      </c>
      <c r="S435" s="128">
        <v>62</v>
      </c>
      <c r="T435" s="128">
        <v>62</v>
      </c>
      <c r="U435" s="128">
        <v>575</v>
      </c>
      <c r="V435" s="128" t="s">
        <v>1397</v>
      </c>
    </row>
    <row r="436" spans="1:22" x14ac:dyDescent="0.35">
      <c r="A436" s="118">
        <v>435</v>
      </c>
      <c r="B436" s="128" t="s">
        <v>1</v>
      </c>
      <c r="C436" s="128" t="s">
        <v>1474</v>
      </c>
      <c r="D436" s="128" t="s">
        <v>2962</v>
      </c>
      <c r="E436" s="128" t="s">
        <v>671</v>
      </c>
      <c r="F436" s="128">
        <v>1984</v>
      </c>
      <c r="G436" s="128">
        <v>45</v>
      </c>
      <c r="H436" s="128">
        <v>6</v>
      </c>
      <c r="I436" s="128">
        <v>51</v>
      </c>
      <c r="J436" s="128" t="s">
        <v>2273</v>
      </c>
      <c r="K436" s="128">
        <v>8.3000000000000007</v>
      </c>
      <c r="L436" s="128" t="s">
        <v>1620</v>
      </c>
      <c r="M436" s="128" t="s">
        <v>2981</v>
      </c>
      <c r="N436" s="128" t="s">
        <v>2039</v>
      </c>
      <c r="O436" s="128">
        <v>586</v>
      </c>
      <c r="P436" s="128">
        <v>116</v>
      </c>
      <c r="Q436" s="128">
        <v>102</v>
      </c>
      <c r="R436" s="128">
        <v>251</v>
      </c>
      <c r="S436" s="128">
        <v>60</v>
      </c>
      <c r="T436" s="128">
        <v>63</v>
      </c>
      <c r="U436" s="128">
        <v>592</v>
      </c>
      <c r="V436" s="128" t="s">
        <v>1397</v>
      </c>
    </row>
    <row r="437" spans="1:22" x14ac:dyDescent="0.35">
      <c r="A437" s="118">
        <v>436</v>
      </c>
      <c r="B437" s="128" t="s">
        <v>1</v>
      </c>
      <c r="C437" s="128" t="s">
        <v>1474</v>
      </c>
      <c r="D437" s="128" t="s">
        <v>2003</v>
      </c>
      <c r="E437" s="128" t="s">
        <v>705</v>
      </c>
      <c r="F437" s="128">
        <v>2006</v>
      </c>
      <c r="G437" s="128">
        <v>42</v>
      </c>
      <c r="H437" s="128">
        <v>3</v>
      </c>
      <c r="I437" s="128">
        <v>45</v>
      </c>
      <c r="J437" s="128" t="s">
        <v>1929</v>
      </c>
      <c r="K437" s="128">
        <v>9.9</v>
      </c>
      <c r="L437" s="128" t="s">
        <v>1649</v>
      </c>
      <c r="M437" s="128" t="s">
        <v>2982</v>
      </c>
      <c r="N437" s="128" t="s">
        <v>2983</v>
      </c>
      <c r="O437" s="128">
        <v>292</v>
      </c>
      <c r="P437" s="128">
        <v>73</v>
      </c>
      <c r="Q437" s="128">
        <v>53</v>
      </c>
      <c r="R437" s="128">
        <v>110</v>
      </c>
      <c r="S437" s="128">
        <v>23</v>
      </c>
      <c r="T437" s="128">
        <v>37</v>
      </c>
      <c r="U437" s="128">
        <v>296</v>
      </c>
      <c r="V437" s="128" t="s">
        <v>1416</v>
      </c>
    </row>
    <row r="438" spans="1:22" x14ac:dyDescent="0.35">
      <c r="A438" s="118">
        <v>437</v>
      </c>
      <c r="B438" s="128" t="s">
        <v>1</v>
      </c>
      <c r="C438" s="128" t="s">
        <v>1474</v>
      </c>
      <c r="D438" s="128" t="s">
        <v>2003</v>
      </c>
      <c r="E438" s="128" t="s">
        <v>483</v>
      </c>
      <c r="F438" s="128">
        <v>2002</v>
      </c>
      <c r="G438" s="128">
        <v>39</v>
      </c>
      <c r="H438" s="128">
        <v>4</v>
      </c>
      <c r="I438" s="128">
        <v>43</v>
      </c>
      <c r="J438" s="128" t="s">
        <v>1929</v>
      </c>
      <c r="K438" s="128">
        <v>9.9</v>
      </c>
      <c r="L438" s="128" t="s">
        <v>2984</v>
      </c>
      <c r="M438" s="128" t="s">
        <v>2985</v>
      </c>
      <c r="N438" s="128" t="s">
        <v>1997</v>
      </c>
      <c r="O438" s="128">
        <v>291</v>
      </c>
      <c r="P438" s="128">
        <v>77</v>
      </c>
      <c r="Q438" s="128">
        <v>56</v>
      </c>
      <c r="R438" s="128">
        <v>116</v>
      </c>
      <c r="S438" s="128">
        <v>25</v>
      </c>
      <c r="T438" s="128">
        <v>38</v>
      </c>
      <c r="U438" s="128">
        <v>312</v>
      </c>
      <c r="V438" s="128" t="s">
        <v>1416</v>
      </c>
    </row>
    <row r="439" spans="1:22" x14ac:dyDescent="0.35">
      <c r="A439" s="118">
        <v>438</v>
      </c>
      <c r="B439" s="128" t="s">
        <v>1</v>
      </c>
      <c r="C439" s="128" t="s">
        <v>1474</v>
      </c>
      <c r="D439" s="128" t="s">
        <v>2003</v>
      </c>
      <c r="E439" s="128" t="s">
        <v>455</v>
      </c>
      <c r="F439" s="128">
        <v>1984</v>
      </c>
      <c r="G439" s="128">
        <v>71</v>
      </c>
      <c r="H439" s="128">
        <v>11</v>
      </c>
      <c r="I439" s="128">
        <v>82</v>
      </c>
      <c r="J439" s="128" t="s">
        <v>2878</v>
      </c>
      <c r="K439" s="128">
        <v>16.649999999999999</v>
      </c>
      <c r="L439" s="128" t="s">
        <v>2986</v>
      </c>
      <c r="M439" s="128" t="s">
        <v>2987</v>
      </c>
      <c r="N439" s="128" t="s">
        <v>2988</v>
      </c>
      <c r="O439" s="128">
        <v>587</v>
      </c>
      <c r="P439" s="128">
        <v>117</v>
      </c>
      <c r="Q439" s="128">
        <v>99</v>
      </c>
      <c r="R439" s="128">
        <v>253</v>
      </c>
      <c r="S439" s="128">
        <v>62</v>
      </c>
      <c r="T439" s="128">
        <v>63</v>
      </c>
      <c r="U439" s="128">
        <v>594</v>
      </c>
      <c r="V439" s="128" t="s">
        <v>1397</v>
      </c>
    </row>
    <row r="440" spans="1:22" x14ac:dyDescent="0.35">
      <c r="A440" s="118">
        <v>439</v>
      </c>
      <c r="B440" s="128" t="s">
        <v>1</v>
      </c>
      <c r="C440" s="128" t="s">
        <v>1474</v>
      </c>
      <c r="D440" s="128" t="s">
        <v>2003</v>
      </c>
      <c r="E440" s="128" t="s">
        <v>476</v>
      </c>
      <c r="F440" s="128">
        <v>2008</v>
      </c>
      <c r="G440" s="128">
        <v>41</v>
      </c>
      <c r="H440" s="128">
        <v>2</v>
      </c>
      <c r="I440" s="128">
        <v>43</v>
      </c>
      <c r="J440" s="128" t="s">
        <v>2878</v>
      </c>
      <c r="K440" s="128">
        <v>14.95</v>
      </c>
      <c r="L440" s="128" t="s">
        <v>2989</v>
      </c>
      <c r="M440" s="128" t="s">
        <v>2990</v>
      </c>
      <c r="N440" s="128" t="s">
        <v>2991</v>
      </c>
      <c r="O440" s="128">
        <v>291</v>
      </c>
      <c r="P440" s="128">
        <v>73</v>
      </c>
      <c r="Q440" s="128">
        <v>55</v>
      </c>
      <c r="R440" s="128">
        <v>110</v>
      </c>
      <c r="S440" s="128">
        <v>23</v>
      </c>
      <c r="T440" s="128">
        <v>36</v>
      </c>
      <c r="U440" s="128">
        <v>297</v>
      </c>
      <c r="V440" s="128" t="s">
        <v>1416</v>
      </c>
    </row>
    <row r="441" spans="1:22" x14ac:dyDescent="0.35">
      <c r="A441" s="118">
        <v>440</v>
      </c>
      <c r="B441" s="128" t="s">
        <v>1</v>
      </c>
      <c r="C441" s="128" t="s">
        <v>1474</v>
      </c>
      <c r="D441" s="128" t="s">
        <v>2003</v>
      </c>
      <c r="E441" s="128" t="s">
        <v>2992</v>
      </c>
      <c r="F441" s="128">
        <v>1984</v>
      </c>
      <c r="G441" s="128">
        <v>83</v>
      </c>
      <c r="H441" s="128">
        <v>13</v>
      </c>
      <c r="I441" s="128">
        <v>96</v>
      </c>
      <c r="J441" s="128" t="s">
        <v>2993</v>
      </c>
      <c r="K441" s="128">
        <v>60</v>
      </c>
      <c r="L441" s="128" t="s">
        <v>2994</v>
      </c>
      <c r="M441" s="128" t="s">
        <v>1653</v>
      </c>
      <c r="N441" s="128" t="s">
        <v>2995</v>
      </c>
      <c r="O441" s="128">
        <v>585</v>
      </c>
      <c r="P441" s="128">
        <v>115</v>
      </c>
      <c r="Q441" s="128">
        <v>98</v>
      </c>
      <c r="R441" s="128">
        <v>250</v>
      </c>
      <c r="S441" s="128">
        <v>64</v>
      </c>
      <c r="T441" s="128">
        <v>64</v>
      </c>
      <c r="U441" s="128">
        <v>591</v>
      </c>
      <c r="V441" s="128" t="s">
        <v>1397</v>
      </c>
    </row>
    <row r="442" spans="1:22" x14ac:dyDescent="0.35">
      <c r="A442" s="118">
        <v>441</v>
      </c>
      <c r="B442" s="128" t="s">
        <v>1</v>
      </c>
      <c r="C442" s="128" t="s">
        <v>1474</v>
      </c>
      <c r="D442" s="128" t="s">
        <v>2996</v>
      </c>
      <c r="E442" s="128" t="s">
        <v>427</v>
      </c>
      <c r="F442" s="128">
        <v>2004</v>
      </c>
      <c r="G442" s="128">
        <v>121</v>
      </c>
      <c r="H442" s="128">
        <v>19</v>
      </c>
      <c r="I442" s="128">
        <v>140</v>
      </c>
      <c r="J442" s="128" t="s">
        <v>2894</v>
      </c>
      <c r="K442" s="128">
        <v>19.82</v>
      </c>
      <c r="L442" s="128" t="s">
        <v>2997</v>
      </c>
      <c r="M442" s="128" t="s">
        <v>1736</v>
      </c>
      <c r="N442" s="128" t="s">
        <v>2580</v>
      </c>
      <c r="O442" s="128">
        <v>584</v>
      </c>
      <c r="P442" s="128">
        <v>116</v>
      </c>
      <c r="Q442" s="128">
        <v>100</v>
      </c>
      <c r="R442" s="128">
        <v>248</v>
      </c>
      <c r="S442" s="128">
        <v>64</v>
      </c>
      <c r="T442" s="128">
        <v>62</v>
      </c>
      <c r="U442" s="128">
        <v>590</v>
      </c>
      <c r="V442" s="128" t="s">
        <v>1397</v>
      </c>
    </row>
    <row r="443" spans="1:22" x14ac:dyDescent="0.35">
      <c r="A443" s="118">
        <v>442</v>
      </c>
      <c r="B443" s="128" t="s">
        <v>1</v>
      </c>
      <c r="C443" s="128" t="s">
        <v>1474</v>
      </c>
      <c r="D443" s="128" t="s">
        <v>2996</v>
      </c>
      <c r="E443" s="128" t="s">
        <v>2998</v>
      </c>
      <c r="F443" s="128">
        <v>2004</v>
      </c>
      <c r="G443" s="128">
        <v>109</v>
      </c>
      <c r="H443" s="128">
        <v>10</v>
      </c>
      <c r="I443" s="128">
        <v>119</v>
      </c>
      <c r="J443" s="128" t="s">
        <v>2273</v>
      </c>
      <c r="K443" s="128">
        <v>19.45</v>
      </c>
      <c r="L443" s="128" t="s">
        <v>2960</v>
      </c>
      <c r="M443" s="128" t="s">
        <v>2999</v>
      </c>
      <c r="N443" s="128" t="s">
        <v>1807</v>
      </c>
      <c r="O443" s="128">
        <v>300</v>
      </c>
      <c r="P443" s="128">
        <v>75</v>
      </c>
      <c r="Q443" s="128">
        <v>55</v>
      </c>
      <c r="R443" s="128">
        <v>111</v>
      </c>
      <c r="S443" s="128">
        <v>26</v>
      </c>
      <c r="T443" s="128">
        <v>38</v>
      </c>
      <c r="U443" s="128">
        <v>305</v>
      </c>
      <c r="V443" s="128" t="s">
        <v>1416</v>
      </c>
    </row>
    <row r="444" spans="1:22" x14ac:dyDescent="0.35">
      <c r="A444" s="118">
        <v>443</v>
      </c>
      <c r="B444" s="128" t="s">
        <v>1</v>
      </c>
      <c r="C444" s="128" t="s">
        <v>1474</v>
      </c>
      <c r="D444" s="128" t="s">
        <v>3000</v>
      </c>
      <c r="E444" s="128" t="s">
        <v>711</v>
      </c>
      <c r="F444" s="128">
        <v>1992</v>
      </c>
      <c r="G444" s="128">
        <v>127</v>
      </c>
      <c r="H444" s="128">
        <v>21</v>
      </c>
      <c r="I444" s="128">
        <v>148</v>
      </c>
      <c r="J444" s="128" t="s">
        <v>1929</v>
      </c>
      <c r="K444" s="128">
        <v>16.149999999999999</v>
      </c>
      <c r="L444" s="128" t="s">
        <v>1876</v>
      </c>
      <c r="M444" s="128" t="s">
        <v>1647</v>
      </c>
      <c r="N444" s="128" t="s">
        <v>3001</v>
      </c>
      <c r="O444" s="128">
        <v>281</v>
      </c>
      <c r="P444" s="128">
        <v>69</v>
      </c>
      <c r="Q444" s="128">
        <v>50</v>
      </c>
      <c r="R444" s="128">
        <v>110</v>
      </c>
      <c r="S444" s="128">
        <v>22</v>
      </c>
      <c r="T444" s="128">
        <v>37</v>
      </c>
      <c r="U444" s="128">
        <v>288</v>
      </c>
      <c r="V444" s="128" t="s">
        <v>1416</v>
      </c>
    </row>
    <row r="445" spans="1:22" x14ac:dyDescent="0.35">
      <c r="A445" s="118">
        <v>444</v>
      </c>
      <c r="B445" s="128" t="s">
        <v>1</v>
      </c>
      <c r="C445" s="128" t="s">
        <v>1474</v>
      </c>
      <c r="D445" s="128" t="s">
        <v>3002</v>
      </c>
      <c r="E445" s="128" t="s">
        <v>3003</v>
      </c>
      <c r="F445" s="128">
        <v>2007</v>
      </c>
      <c r="G445" s="128">
        <v>104</v>
      </c>
      <c r="H445" s="128">
        <v>0</v>
      </c>
      <c r="I445" s="128">
        <v>104</v>
      </c>
      <c r="J445" s="128" t="s">
        <v>2273</v>
      </c>
      <c r="K445" s="128">
        <v>41</v>
      </c>
      <c r="L445" s="128" t="s">
        <v>3004</v>
      </c>
      <c r="M445" s="128" t="s">
        <v>3005</v>
      </c>
      <c r="N445" s="128" t="s">
        <v>3006</v>
      </c>
      <c r="O445" s="128">
        <v>301</v>
      </c>
      <c r="P445" s="128">
        <v>75</v>
      </c>
      <c r="Q445" s="128">
        <v>58</v>
      </c>
      <c r="R445" s="128">
        <v>114</v>
      </c>
      <c r="S445" s="128">
        <v>26</v>
      </c>
      <c r="T445" s="128">
        <v>37</v>
      </c>
      <c r="U445" s="128">
        <v>310</v>
      </c>
      <c r="V445" s="128" t="s">
        <v>1416</v>
      </c>
    </row>
    <row r="446" spans="1:22" x14ac:dyDescent="0.35">
      <c r="A446" s="118">
        <v>445</v>
      </c>
      <c r="B446" s="128" t="s">
        <v>1</v>
      </c>
      <c r="C446" s="128" t="s">
        <v>1474</v>
      </c>
      <c r="D446" s="128" t="s">
        <v>3002</v>
      </c>
      <c r="E446" s="128" t="s">
        <v>356</v>
      </c>
      <c r="F446" s="128">
        <v>2008</v>
      </c>
      <c r="G446" s="128">
        <v>63</v>
      </c>
      <c r="H446" s="128">
        <v>10</v>
      </c>
      <c r="I446" s="128">
        <v>73</v>
      </c>
      <c r="J446" s="128" t="s">
        <v>2273</v>
      </c>
      <c r="K446" s="128">
        <v>35.6</v>
      </c>
      <c r="L446" s="128" t="s">
        <v>3007</v>
      </c>
      <c r="M446" s="128" t="s">
        <v>3008</v>
      </c>
      <c r="N446" s="128" t="s">
        <v>3009</v>
      </c>
      <c r="O446" s="128">
        <v>303</v>
      </c>
      <c r="P446" s="128">
        <v>78</v>
      </c>
      <c r="Q446" s="128">
        <v>57</v>
      </c>
      <c r="R446" s="128">
        <v>112</v>
      </c>
      <c r="S446" s="128">
        <v>26</v>
      </c>
      <c r="T446" s="128">
        <v>37</v>
      </c>
      <c r="U446" s="128">
        <v>310</v>
      </c>
      <c r="V446" s="128" t="s">
        <v>1416</v>
      </c>
    </row>
    <row r="447" spans="1:22" x14ac:dyDescent="0.35">
      <c r="A447" s="118">
        <v>446</v>
      </c>
      <c r="B447" s="128" t="s">
        <v>1</v>
      </c>
      <c r="C447" s="128" t="s">
        <v>1474</v>
      </c>
      <c r="D447" s="128" t="s">
        <v>2003</v>
      </c>
      <c r="E447" s="128" t="s">
        <v>3010</v>
      </c>
      <c r="F447" s="128">
        <v>2015</v>
      </c>
      <c r="G447" s="128">
        <v>0</v>
      </c>
      <c r="H447" s="128">
        <v>30</v>
      </c>
      <c r="I447" s="128">
        <v>30</v>
      </c>
      <c r="J447" s="128" t="s">
        <v>1728</v>
      </c>
      <c r="K447" s="128">
        <v>5.35</v>
      </c>
      <c r="L447" s="128" t="s">
        <v>1516</v>
      </c>
      <c r="M447" s="128" t="s">
        <v>3011</v>
      </c>
      <c r="N447" s="128" t="s">
        <v>3012</v>
      </c>
      <c r="O447" s="128">
        <v>290</v>
      </c>
      <c r="P447" s="128">
        <v>72</v>
      </c>
      <c r="Q447" s="128">
        <v>52</v>
      </c>
      <c r="R447" s="128">
        <v>112</v>
      </c>
      <c r="S447" s="128">
        <v>23</v>
      </c>
      <c r="T447" s="128">
        <v>35</v>
      </c>
      <c r="U447" s="128">
        <v>294</v>
      </c>
      <c r="V447" s="128" t="s">
        <v>1416</v>
      </c>
    </row>
    <row r="448" spans="1:22" x14ac:dyDescent="0.35">
      <c r="A448" s="118">
        <v>447</v>
      </c>
      <c r="B448" s="128" t="s">
        <v>1</v>
      </c>
      <c r="C448" s="128" t="s">
        <v>192</v>
      </c>
      <c r="D448" s="128" t="s">
        <v>1517</v>
      </c>
      <c r="E448" s="128" t="s">
        <v>42</v>
      </c>
      <c r="F448" s="128">
        <v>1983</v>
      </c>
      <c r="G448" s="128">
        <v>53</v>
      </c>
      <c r="H448" s="128">
        <v>6</v>
      </c>
      <c r="I448" s="128">
        <v>59</v>
      </c>
      <c r="J448" s="128" t="s">
        <v>3013</v>
      </c>
      <c r="K448" s="128">
        <v>55.064399999999999</v>
      </c>
      <c r="L448" s="128" t="s">
        <v>3014</v>
      </c>
      <c r="M448" s="128" t="s">
        <v>3015</v>
      </c>
      <c r="N448" s="128" t="s">
        <v>2895</v>
      </c>
      <c r="O448" s="128">
        <v>564</v>
      </c>
      <c r="P448" s="128">
        <v>112</v>
      </c>
      <c r="Q448" s="128">
        <v>97</v>
      </c>
      <c r="R448" s="128">
        <v>233</v>
      </c>
      <c r="S448" s="128">
        <v>67</v>
      </c>
      <c r="T448" s="128">
        <v>63</v>
      </c>
      <c r="U448" s="128">
        <v>572</v>
      </c>
      <c r="V448" s="128" t="s">
        <v>1397</v>
      </c>
    </row>
    <row r="449" spans="1:22" x14ac:dyDescent="0.35">
      <c r="A449" s="118">
        <v>448</v>
      </c>
      <c r="B449" s="128" t="s">
        <v>1</v>
      </c>
      <c r="C449" s="128" t="s">
        <v>192</v>
      </c>
      <c r="D449" s="128" t="s">
        <v>1517</v>
      </c>
      <c r="E449" s="128" t="s">
        <v>485</v>
      </c>
      <c r="F449" s="128">
        <v>1983</v>
      </c>
      <c r="G449" s="128">
        <v>75</v>
      </c>
      <c r="H449" s="128">
        <v>5</v>
      </c>
      <c r="I449" s="128">
        <v>80</v>
      </c>
      <c r="J449" s="128" t="s">
        <v>3013</v>
      </c>
      <c r="K449" s="128">
        <v>52.817399999999999</v>
      </c>
      <c r="L449" s="128" t="s">
        <v>3016</v>
      </c>
      <c r="M449" s="128" t="s">
        <v>3017</v>
      </c>
      <c r="N449" s="128" t="s">
        <v>3018</v>
      </c>
      <c r="O449" s="128">
        <v>504</v>
      </c>
      <c r="P449" s="128">
        <v>110</v>
      </c>
      <c r="Q449" s="128">
        <v>86</v>
      </c>
      <c r="R449" s="128">
        <v>204</v>
      </c>
      <c r="S449" s="128">
        <v>54</v>
      </c>
      <c r="T449" s="128">
        <v>54</v>
      </c>
      <c r="U449" s="128">
        <v>508</v>
      </c>
      <c r="V449" s="128" t="s">
        <v>1397</v>
      </c>
    </row>
    <row r="450" spans="1:22" x14ac:dyDescent="0.35">
      <c r="A450" s="118">
        <v>449</v>
      </c>
      <c r="B450" s="128" t="s">
        <v>1</v>
      </c>
      <c r="C450" s="128" t="s">
        <v>192</v>
      </c>
      <c r="D450" s="128" t="s">
        <v>1517</v>
      </c>
      <c r="E450" s="128" t="s">
        <v>1078</v>
      </c>
      <c r="F450" s="128">
        <v>1983</v>
      </c>
      <c r="G450" s="128">
        <v>47</v>
      </c>
      <c r="H450" s="128">
        <v>4</v>
      </c>
      <c r="I450" s="128">
        <v>51</v>
      </c>
      <c r="J450" s="128" t="s">
        <v>3013</v>
      </c>
      <c r="K450" s="128">
        <v>49.631099999999996</v>
      </c>
      <c r="L450" s="128" t="s">
        <v>3019</v>
      </c>
      <c r="M450" s="128" t="s">
        <v>3020</v>
      </c>
      <c r="N450" s="128" t="s">
        <v>3021</v>
      </c>
      <c r="O450" s="128">
        <v>718</v>
      </c>
      <c r="P450" s="128">
        <v>138</v>
      </c>
      <c r="Q450" s="128">
        <v>120</v>
      </c>
      <c r="R450" s="128">
        <v>295</v>
      </c>
      <c r="S450" s="128">
        <v>82</v>
      </c>
      <c r="T450" s="128">
        <v>83</v>
      </c>
      <c r="U450" s="128">
        <v>718</v>
      </c>
      <c r="V450" s="128" t="s">
        <v>1417</v>
      </c>
    </row>
    <row r="451" spans="1:22" x14ac:dyDescent="0.35">
      <c r="A451" s="118">
        <v>450</v>
      </c>
      <c r="B451" s="128" t="s">
        <v>1</v>
      </c>
      <c r="C451" s="128" t="s">
        <v>192</v>
      </c>
      <c r="D451" s="128" t="s">
        <v>1517</v>
      </c>
      <c r="E451" s="128" t="s">
        <v>2893</v>
      </c>
      <c r="F451" s="128">
        <v>1983</v>
      </c>
      <c r="G451" s="128">
        <v>44</v>
      </c>
      <c r="H451" s="128">
        <v>2</v>
      </c>
      <c r="I451" s="128">
        <v>46</v>
      </c>
      <c r="J451" s="128" t="s">
        <v>3013</v>
      </c>
      <c r="K451" s="128">
        <v>45.198999999999998</v>
      </c>
      <c r="L451" s="128" t="s">
        <v>1939</v>
      </c>
      <c r="M451" s="128" t="s">
        <v>3022</v>
      </c>
      <c r="N451" s="128" t="s">
        <v>3023</v>
      </c>
      <c r="O451" s="128">
        <v>479</v>
      </c>
      <c r="P451" s="128">
        <v>105</v>
      </c>
      <c r="Q451" s="128">
        <v>84</v>
      </c>
      <c r="R451" s="128">
        <v>197</v>
      </c>
      <c r="S451" s="128">
        <v>43</v>
      </c>
      <c r="T451" s="128">
        <v>52</v>
      </c>
      <c r="U451" s="128">
        <v>481</v>
      </c>
      <c r="V451" s="128" t="s">
        <v>1397</v>
      </c>
    </row>
    <row r="452" spans="1:22" x14ac:dyDescent="0.35">
      <c r="A452" s="118">
        <v>451</v>
      </c>
      <c r="B452" s="128" t="s">
        <v>1</v>
      </c>
      <c r="C452" s="128" t="s">
        <v>192</v>
      </c>
      <c r="D452" s="128" t="s">
        <v>3024</v>
      </c>
      <c r="E452" s="128" t="s">
        <v>3025</v>
      </c>
      <c r="F452" s="128">
        <v>1983</v>
      </c>
      <c r="G452" s="128">
        <v>60</v>
      </c>
      <c r="H452" s="128">
        <v>7</v>
      </c>
      <c r="I452" s="128">
        <v>67</v>
      </c>
      <c r="J452" s="128" t="s">
        <v>3013</v>
      </c>
      <c r="K452" s="128">
        <v>47.5779</v>
      </c>
      <c r="L452" s="128" t="s">
        <v>2586</v>
      </c>
      <c r="M452" s="128" t="s">
        <v>3026</v>
      </c>
      <c r="N452" s="128" t="s">
        <v>3027</v>
      </c>
      <c r="O452" s="128">
        <v>482</v>
      </c>
      <c r="P452" s="128">
        <v>104</v>
      </c>
      <c r="Q452" s="128">
        <v>86</v>
      </c>
      <c r="R452" s="128">
        <v>200</v>
      </c>
      <c r="S452" s="128">
        <v>42</v>
      </c>
      <c r="T452" s="128">
        <v>52</v>
      </c>
      <c r="U452" s="128">
        <v>484</v>
      </c>
      <c r="V452" s="128" t="s">
        <v>1397</v>
      </c>
    </row>
    <row r="453" spans="1:22" x14ac:dyDescent="0.35">
      <c r="A453" s="118">
        <v>452</v>
      </c>
      <c r="B453" s="128" t="s">
        <v>1</v>
      </c>
      <c r="C453" s="128" t="s">
        <v>192</v>
      </c>
      <c r="D453" s="128" t="s">
        <v>3024</v>
      </c>
      <c r="E453" s="128" t="s">
        <v>3028</v>
      </c>
      <c r="F453" s="128">
        <v>1984</v>
      </c>
      <c r="G453" s="128">
        <v>27</v>
      </c>
      <c r="H453" s="128">
        <v>0</v>
      </c>
      <c r="I453" s="128">
        <v>27</v>
      </c>
      <c r="J453" s="128" t="s">
        <v>3013</v>
      </c>
      <c r="K453" s="128">
        <v>35.722999999999999</v>
      </c>
      <c r="L453" s="128" t="s">
        <v>3029</v>
      </c>
      <c r="M453" s="128" t="s">
        <v>3026</v>
      </c>
      <c r="N453" s="128" t="s">
        <v>3030</v>
      </c>
      <c r="O453" s="128">
        <v>473</v>
      </c>
      <c r="P453" s="128">
        <v>102</v>
      </c>
      <c r="Q453" s="128">
        <v>83</v>
      </c>
      <c r="R453" s="128">
        <v>195</v>
      </c>
      <c r="S453" s="128">
        <v>41</v>
      </c>
      <c r="T453" s="128">
        <v>52</v>
      </c>
      <c r="U453" s="128">
        <v>473</v>
      </c>
      <c r="V453" s="128" t="s">
        <v>1397</v>
      </c>
    </row>
    <row r="454" spans="1:22" x14ac:dyDescent="0.35">
      <c r="A454" s="118">
        <v>453</v>
      </c>
      <c r="B454" s="128" t="s">
        <v>1</v>
      </c>
      <c r="C454" s="128" t="s">
        <v>192</v>
      </c>
      <c r="D454" s="128" t="s">
        <v>3024</v>
      </c>
      <c r="E454" s="128" t="s">
        <v>464</v>
      </c>
      <c r="F454" s="128">
        <v>1983</v>
      </c>
      <c r="G454" s="128">
        <v>66</v>
      </c>
      <c r="H454" s="128">
        <v>8</v>
      </c>
      <c r="I454" s="128">
        <v>74</v>
      </c>
      <c r="J454" s="128" t="s">
        <v>3013</v>
      </c>
      <c r="K454" s="128">
        <v>89.362200000000001</v>
      </c>
      <c r="L454" s="128" t="s">
        <v>3031</v>
      </c>
      <c r="M454" s="128" t="s">
        <v>3032</v>
      </c>
      <c r="N454" s="128" t="s">
        <v>3033</v>
      </c>
      <c r="O454" s="128">
        <v>569</v>
      </c>
      <c r="P454" s="128">
        <v>125</v>
      </c>
      <c r="Q454" s="128">
        <v>96</v>
      </c>
      <c r="R454" s="128">
        <v>234</v>
      </c>
      <c r="S454" s="128">
        <v>61</v>
      </c>
      <c r="T454" s="128">
        <v>60</v>
      </c>
      <c r="U454" s="128">
        <v>576</v>
      </c>
      <c r="V454" s="128" t="s">
        <v>1397</v>
      </c>
    </row>
    <row r="455" spans="1:22" x14ac:dyDescent="0.35">
      <c r="A455" s="118">
        <v>454</v>
      </c>
      <c r="B455" s="128" t="s">
        <v>1</v>
      </c>
      <c r="C455" s="128" t="s">
        <v>192</v>
      </c>
      <c r="D455" s="128" t="s">
        <v>3024</v>
      </c>
      <c r="E455" s="128" t="s">
        <v>3034</v>
      </c>
      <c r="F455" s="128">
        <v>1984</v>
      </c>
      <c r="G455" s="128">
        <v>66</v>
      </c>
      <c r="H455" s="128">
        <v>3</v>
      </c>
      <c r="I455" s="128">
        <v>69</v>
      </c>
      <c r="J455" s="128" t="s">
        <v>3013</v>
      </c>
      <c r="K455" s="128">
        <v>60.229899999999994</v>
      </c>
      <c r="L455" s="128" t="s">
        <v>3035</v>
      </c>
      <c r="M455" s="128" t="s">
        <v>3036</v>
      </c>
      <c r="N455" s="128" t="s">
        <v>3037</v>
      </c>
      <c r="O455" s="128">
        <v>478</v>
      </c>
      <c r="P455" s="128">
        <v>103</v>
      </c>
      <c r="Q455" s="128">
        <v>84</v>
      </c>
      <c r="R455" s="128">
        <v>197</v>
      </c>
      <c r="S455" s="128">
        <v>43</v>
      </c>
      <c r="T455" s="128">
        <v>52</v>
      </c>
      <c r="U455" s="128">
        <v>479</v>
      </c>
      <c r="V455" s="128" t="s">
        <v>1397</v>
      </c>
    </row>
    <row r="456" spans="1:22" x14ac:dyDescent="0.35">
      <c r="A456" s="118">
        <v>455</v>
      </c>
      <c r="B456" s="128" t="s">
        <v>1</v>
      </c>
      <c r="C456" s="128" t="s">
        <v>192</v>
      </c>
      <c r="D456" s="128" t="s">
        <v>3024</v>
      </c>
      <c r="E456" s="128" t="s">
        <v>2998</v>
      </c>
      <c r="F456" s="128">
        <v>1983</v>
      </c>
      <c r="G456" s="128">
        <v>46</v>
      </c>
      <c r="H456" s="128">
        <v>2</v>
      </c>
      <c r="I456" s="128">
        <v>48</v>
      </c>
      <c r="J456" s="128" t="s">
        <v>3013</v>
      </c>
      <c r="K456" s="128">
        <v>40.284500000000001</v>
      </c>
      <c r="L456" s="128" t="s">
        <v>1770</v>
      </c>
      <c r="M456" s="128" t="s">
        <v>1997</v>
      </c>
      <c r="N456" s="128" t="s">
        <v>3038</v>
      </c>
      <c r="O456" s="128">
        <v>500</v>
      </c>
      <c r="P456" s="128">
        <v>109</v>
      </c>
      <c r="Q456" s="128">
        <v>85</v>
      </c>
      <c r="R456" s="128">
        <v>200</v>
      </c>
      <c r="S456" s="128">
        <v>53</v>
      </c>
      <c r="T456" s="128">
        <v>55</v>
      </c>
      <c r="U456" s="128">
        <v>502</v>
      </c>
      <c r="V456" s="128" t="s">
        <v>1397</v>
      </c>
    </row>
    <row r="457" spans="1:22" x14ac:dyDescent="0.35">
      <c r="A457" s="118">
        <v>456</v>
      </c>
      <c r="B457" s="128" t="s">
        <v>1</v>
      </c>
      <c r="C457" s="128" t="s">
        <v>192</v>
      </c>
      <c r="D457" s="128" t="s">
        <v>3039</v>
      </c>
      <c r="E457" s="128" t="s">
        <v>712</v>
      </c>
      <c r="F457" s="128">
        <v>1983</v>
      </c>
      <c r="G457" s="128">
        <v>72</v>
      </c>
      <c r="H457" s="128">
        <v>8</v>
      </c>
      <c r="I457" s="128">
        <v>80</v>
      </c>
      <c r="J457" s="128" t="s">
        <v>3013</v>
      </c>
      <c r="K457" s="128">
        <v>93.157999999999987</v>
      </c>
      <c r="L457" s="128" t="s">
        <v>2270</v>
      </c>
      <c r="M457" s="128" t="s">
        <v>3040</v>
      </c>
      <c r="N457" s="128" t="s">
        <v>2243</v>
      </c>
      <c r="O457" s="128">
        <v>489</v>
      </c>
      <c r="P457" s="128">
        <v>107</v>
      </c>
      <c r="Q457" s="128">
        <v>86</v>
      </c>
      <c r="R457" s="128">
        <v>200</v>
      </c>
      <c r="S457" s="128">
        <v>44</v>
      </c>
      <c r="T457" s="128">
        <v>54</v>
      </c>
      <c r="U457" s="128">
        <v>491</v>
      </c>
      <c r="V457" s="128" t="s">
        <v>1397</v>
      </c>
    </row>
    <row r="458" spans="1:22" x14ac:dyDescent="0.35">
      <c r="A458" s="118">
        <v>457</v>
      </c>
      <c r="B458" s="128" t="s">
        <v>1</v>
      </c>
      <c r="C458" s="128" t="s">
        <v>192</v>
      </c>
      <c r="D458" s="128" t="s">
        <v>3039</v>
      </c>
      <c r="E458" s="128" t="s">
        <v>3041</v>
      </c>
      <c r="F458" s="128">
        <v>1984</v>
      </c>
      <c r="G458" s="128">
        <v>76</v>
      </c>
      <c r="H458" s="128">
        <v>7</v>
      </c>
      <c r="I458" s="128">
        <v>83</v>
      </c>
      <c r="J458" s="128" t="s">
        <v>3013</v>
      </c>
      <c r="K458" s="128">
        <v>79.990499999999997</v>
      </c>
      <c r="L458" s="128" t="s">
        <v>3042</v>
      </c>
      <c r="M458" s="128" t="s">
        <v>2020</v>
      </c>
      <c r="N458" s="128" t="s">
        <v>3043</v>
      </c>
      <c r="O458" s="128">
        <v>499</v>
      </c>
      <c r="P458" s="128">
        <v>108</v>
      </c>
      <c r="Q458" s="128">
        <v>90</v>
      </c>
      <c r="R458" s="128">
        <v>199</v>
      </c>
      <c r="S458" s="128">
        <v>51</v>
      </c>
      <c r="T458" s="128">
        <v>54</v>
      </c>
      <c r="U458" s="128">
        <v>502</v>
      </c>
      <c r="V458" s="128" t="s">
        <v>1397</v>
      </c>
    </row>
    <row r="459" spans="1:22" x14ac:dyDescent="0.35">
      <c r="A459" s="118">
        <v>458</v>
      </c>
      <c r="B459" s="128" t="s">
        <v>1</v>
      </c>
      <c r="C459" s="128" t="s">
        <v>192</v>
      </c>
      <c r="D459" s="128" t="s">
        <v>3039</v>
      </c>
      <c r="E459" s="128" t="s">
        <v>442</v>
      </c>
      <c r="F459" s="128">
        <v>1983</v>
      </c>
      <c r="G459" s="128">
        <v>71</v>
      </c>
      <c r="H459" s="128">
        <v>6</v>
      </c>
      <c r="I459" s="128">
        <v>77</v>
      </c>
      <c r="J459" s="128" t="s">
        <v>3013</v>
      </c>
      <c r="K459" s="128">
        <v>77.292000000000002</v>
      </c>
      <c r="L459" s="128" t="s">
        <v>3044</v>
      </c>
      <c r="M459" s="128" t="s">
        <v>3045</v>
      </c>
      <c r="N459" s="128" t="s">
        <v>1616</v>
      </c>
      <c r="O459" s="128">
        <v>484</v>
      </c>
      <c r="P459" s="128">
        <v>106</v>
      </c>
      <c r="Q459" s="128">
        <v>84</v>
      </c>
      <c r="R459" s="128">
        <v>201</v>
      </c>
      <c r="S459" s="128">
        <v>42</v>
      </c>
      <c r="T459" s="128">
        <v>52</v>
      </c>
      <c r="U459" s="128">
        <v>485</v>
      </c>
      <c r="V459" s="128" t="s">
        <v>1397</v>
      </c>
    </row>
    <row r="460" spans="1:22" x14ac:dyDescent="0.35">
      <c r="A460" s="118">
        <v>459</v>
      </c>
      <c r="B460" s="128" t="s">
        <v>1</v>
      </c>
      <c r="C460" s="128" t="s">
        <v>192</v>
      </c>
      <c r="D460" s="128" t="s">
        <v>1933</v>
      </c>
      <c r="E460" s="128" t="s">
        <v>438</v>
      </c>
      <c r="F460" s="128">
        <v>1983</v>
      </c>
      <c r="G460" s="128">
        <v>135</v>
      </c>
      <c r="H460" s="128">
        <v>19</v>
      </c>
      <c r="I460" s="128">
        <v>154</v>
      </c>
      <c r="J460" s="128" t="s">
        <v>3013</v>
      </c>
      <c r="K460" s="128">
        <v>123.25320000000001</v>
      </c>
      <c r="L460" s="128" t="s">
        <v>3046</v>
      </c>
      <c r="M460" s="128" t="s">
        <v>1678</v>
      </c>
      <c r="N460" s="128" t="s">
        <v>3047</v>
      </c>
      <c r="O460" s="128">
        <v>478</v>
      </c>
      <c r="P460" s="128">
        <v>104</v>
      </c>
      <c r="Q460" s="128">
        <v>83</v>
      </c>
      <c r="R460" s="128">
        <v>200</v>
      </c>
      <c r="S460" s="128">
        <v>44</v>
      </c>
      <c r="T460" s="128">
        <v>52</v>
      </c>
      <c r="U460" s="128">
        <v>483</v>
      </c>
      <c r="V460" s="128" t="s">
        <v>1397</v>
      </c>
    </row>
    <row r="461" spans="1:22" x14ac:dyDescent="0.35">
      <c r="A461" s="118">
        <v>460</v>
      </c>
      <c r="B461" s="128" t="s">
        <v>1</v>
      </c>
      <c r="C461" s="128" t="s">
        <v>192</v>
      </c>
      <c r="D461" s="128" t="s">
        <v>1933</v>
      </c>
      <c r="E461" s="128" t="s">
        <v>3048</v>
      </c>
      <c r="F461" s="128">
        <v>1983</v>
      </c>
      <c r="G461" s="128">
        <v>88</v>
      </c>
      <c r="H461" s="128">
        <v>13</v>
      </c>
      <c r="I461" s="128">
        <v>101</v>
      </c>
      <c r="J461" s="128" t="s">
        <v>3013</v>
      </c>
      <c r="K461" s="128">
        <v>69.250599999999991</v>
      </c>
      <c r="L461" s="128" t="s">
        <v>2270</v>
      </c>
      <c r="M461" s="128" t="s">
        <v>3049</v>
      </c>
      <c r="N461" s="128" t="s">
        <v>3050</v>
      </c>
      <c r="O461" s="128">
        <v>479</v>
      </c>
      <c r="P461" s="128">
        <v>104</v>
      </c>
      <c r="Q461" s="128">
        <v>84</v>
      </c>
      <c r="R461" s="128">
        <v>196</v>
      </c>
      <c r="S461" s="128">
        <v>43</v>
      </c>
      <c r="T461" s="128">
        <v>53</v>
      </c>
      <c r="U461" s="128">
        <v>480</v>
      </c>
      <c r="V461" s="128" t="s">
        <v>1397</v>
      </c>
    </row>
    <row r="462" spans="1:22" x14ac:dyDescent="0.35">
      <c r="A462" s="118">
        <v>461</v>
      </c>
      <c r="B462" s="128" t="s">
        <v>1</v>
      </c>
      <c r="C462" s="128" t="s">
        <v>192</v>
      </c>
      <c r="D462" s="128" t="s">
        <v>1933</v>
      </c>
      <c r="E462" s="128" t="s">
        <v>3051</v>
      </c>
      <c r="F462" s="128">
        <v>1983</v>
      </c>
      <c r="G462" s="128">
        <v>85</v>
      </c>
      <c r="H462" s="128">
        <v>7</v>
      </c>
      <c r="I462" s="128">
        <v>92</v>
      </c>
      <c r="J462" s="128" t="s">
        <v>3013</v>
      </c>
      <c r="K462" s="128">
        <v>107.8716</v>
      </c>
      <c r="L462" s="128" t="s">
        <v>3052</v>
      </c>
      <c r="M462" s="128" t="s">
        <v>3053</v>
      </c>
      <c r="N462" s="128" t="s">
        <v>3054</v>
      </c>
      <c r="O462" s="128">
        <v>479</v>
      </c>
      <c r="P462" s="128">
        <v>105</v>
      </c>
      <c r="Q462" s="128">
        <v>84</v>
      </c>
      <c r="R462" s="128">
        <v>197</v>
      </c>
      <c r="S462" s="128">
        <v>43</v>
      </c>
      <c r="T462" s="128">
        <v>52</v>
      </c>
      <c r="U462" s="128">
        <v>481</v>
      </c>
      <c r="V462" s="128" t="s">
        <v>1397</v>
      </c>
    </row>
    <row r="463" spans="1:22" x14ac:dyDescent="0.35">
      <c r="A463" s="118">
        <v>462</v>
      </c>
      <c r="B463" s="128" t="s">
        <v>1</v>
      </c>
      <c r="C463" s="128" t="s">
        <v>192</v>
      </c>
      <c r="D463" s="128" t="s">
        <v>1933</v>
      </c>
      <c r="E463" s="128" t="s">
        <v>483</v>
      </c>
      <c r="F463" s="128">
        <v>1983</v>
      </c>
      <c r="G463" s="128">
        <v>35</v>
      </c>
      <c r="H463" s="128">
        <v>6</v>
      </c>
      <c r="I463" s="128">
        <v>41</v>
      </c>
      <c r="J463" s="128" t="s">
        <v>3013</v>
      </c>
      <c r="K463" s="128">
        <v>62.2316</v>
      </c>
      <c r="L463" s="128" t="s">
        <v>3055</v>
      </c>
      <c r="M463" s="128" t="s">
        <v>1538</v>
      </c>
      <c r="N463" s="128" t="s">
        <v>1831</v>
      </c>
      <c r="O463" s="128">
        <v>555</v>
      </c>
      <c r="P463" s="128">
        <v>129</v>
      </c>
      <c r="Q463" s="128">
        <v>97</v>
      </c>
      <c r="R463" s="128">
        <v>216</v>
      </c>
      <c r="S463" s="128">
        <v>61</v>
      </c>
      <c r="T463" s="128">
        <v>59</v>
      </c>
      <c r="U463" s="128">
        <v>562</v>
      </c>
      <c r="V463" s="128" t="s">
        <v>1397</v>
      </c>
    </row>
    <row r="464" spans="1:22" x14ac:dyDescent="0.35">
      <c r="A464" s="118">
        <v>463</v>
      </c>
      <c r="B464" s="128" t="s">
        <v>1</v>
      </c>
      <c r="C464" s="128" t="s">
        <v>192</v>
      </c>
      <c r="D464" s="128" t="s">
        <v>3056</v>
      </c>
      <c r="E464" s="128" t="s">
        <v>3057</v>
      </c>
      <c r="F464" s="128">
        <v>1983</v>
      </c>
      <c r="G464" s="128">
        <v>117</v>
      </c>
      <c r="H464" s="128">
        <v>19</v>
      </c>
      <c r="I464" s="128">
        <v>136</v>
      </c>
      <c r="J464" s="128" t="s">
        <v>3013</v>
      </c>
      <c r="K464" s="128">
        <v>165.63299999999992</v>
      </c>
      <c r="L464" s="128" t="s">
        <v>3058</v>
      </c>
      <c r="M464" s="128" t="s">
        <v>3059</v>
      </c>
      <c r="N464" s="128" t="s">
        <v>3060</v>
      </c>
      <c r="O464" s="128">
        <v>477</v>
      </c>
      <c r="P464" s="128">
        <v>103</v>
      </c>
      <c r="Q464" s="128">
        <v>83</v>
      </c>
      <c r="R464" s="128">
        <v>197</v>
      </c>
      <c r="S464" s="128">
        <v>43</v>
      </c>
      <c r="T464" s="128">
        <v>53</v>
      </c>
      <c r="U464" s="128">
        <v>479</v>
      </c>
      <c r="V464" s="128" t="s">
        <v>1397</v>
      </c>
    </row>
    <row r="465" spans="1:22" x14ac:dyDescent="0.35">
      <c r="A465" s="118">
        <v>464</v>
      </c>
      <c r="B465" s="128" t="s">
        <v>1</v>
      </c>
      <c r="C465" s="128" t="s">
        <v>192</v>
      </c>
      <c r="D465" s="128" t="s">
        <v>3056</v>
      </c>
      <c r="E465" s="128" t="s">
        <v>419</v>
      </c>
      <c r="F465" s="128">
        <v>1983</v>
      </c>
      <c r="G465" s="128">
        <v>107</v>
      </c>
      <c r="H465" s="128">
        <v>10</v>
      </c>
      <c r="I465" s="128">
        <v>117</v>
      </c>
      <c r="J465" s="128" t="s">
        <v>3013</v>
      </c>
      <c r="K465" s="128">
        <v>161.02300000000008</v>
      </c>
      <c r="L465" s="128" t="s">
        <v>3061</v>
      </c>
      <c r="M465" s="128" t="s">
        <v>3062</v>
      </c>
      <c r="N465" s="128" t="s">
        <v>3063</v>
      </c>
      <c r="O465" s="128">
        <v>575</v>
      </c>
      <c r="P465" s="128">
        <v>127</v>
      </c>
      <c r="Q465" s="128">
        <v>98</v>
      </c>
      <c r="R465" s="128">
        <v>233</v>
      </c>
      <c r="S465" s="128">
        <v>65</v>
      </c>
      <c r="T465" s="128">
        <v>61</v>
      </c>
      <c r="U465" s="128">
        <v>584</v>
      </c>
      <c r="V465" s="128" t="s">
        <v>1397</v>
      </c>
    </row>
    <row r="466" spans="1:22" x14ac:dyDescent="0.35">
      <c r="A466" s="118">
        <v>465</v>
      </c>
      <c r="B466" s="128" t="s">
        <v>1</v>
      </c>
      <c r="C466" s="128" t="s">
        <v>192</v>
      </c>
      <c r="D466" s="128" t="s">
        <v>3064</v>
      </c>
      <c r="E466" s="128" t="s">
        <v>452</v>
      </c>
      <c r="F466" s="128">
        <v>1983</v>
      </c>
      <c r="G466" s="128">
        <v>104</v>
      </c>
      <c r="H466" s="128">
        <v>15</v>
      </c>
      <c r="I466" s="128">
        <v>119</v>
      </c>
      <c r="J466" s="128" t="s">
        <v>3013</v>
      </c>
      <c r="K466" s="128">
        <v>71.802999999999997</v>
      </c>
      <c r="L466" s="128" t="s">
        <v>3065</v>
      </c>
      <c r="M466" s="128" t="s">
        <v>3066</v>
      </c>
      <c r="N466" s="128" t="s">
        <v>3067</v>
      </c>
      <c r="O466" s="128">
        <v>475</v>
      </c>
      <c r="P466" s="128">
        <v>104</v>
      </c>
      <c r="Q466" s="128">
        <v>85</v>
      </c>
      <c r="R466" s="128">
        <v>197</v>
      </c>
      <c r="S466" s="128">
        <v>41</v>
      </c>
      <c r="T466" s="128">
        <v>53</v>
      </c>
      <c r="U466" s="128">
        <v>480</v>
      </c>
      <c r="V466" s="128" t="s">
        <v>1397</v>
      </c>
    </row>
    <row r="467" spans="1:22" x14ac:dyDescent="0.35">
      <c r="A467" s="118">
        <v>466</v>
      </c>
      <c r="B467" s="128" t="s">
        <v>1</v>
      </c>
      <c r="C467" s="128" t="s">
        <v>192</v>
      </c>
      <c r="D467" s="128" t="s">
        <v>3064</v>
      </c>
      <c r="E467" s="128" t="s">
        <v>1067</v>
      </c>
      <c r="F467" s="128">
        <v>1983</v>
      </c>
      <c r="G467" s="128">
        <v>67</v>
      </c>
      <c r="H467" s="128">
        <v>7</v>
      </c>
      <c r="I467" s="128">
        <v>74</v>
      </c>
      <c r="J467" s="128" t="s">
        <v>3013</v>
      </c>
      <c r="K467" s="128">
        <v>62.591099999999997</v>
      </c>
      <c r="L467" s="128" t="s">
        <v>3068</v>
      </c>
      <c r="M467" s="128" t="s">
        <v>3069</v>
      </c>
      <c r="N467" s="128" t="s">
        <v>3070</v>
      </c>
      <c r="O467" s="128">
        <v>478</v>
      </c>
      <c r="P467" s="128">
        <v>103</v>
      </c>
      <c r="Q467" s="128">
        <v>84</v>
      </c>
      <c r="R467" s="128">
        <v>196</v>
      </c>
      <c r="S467" s="128">
        <v>43</v>
      </c>
      <c r="T467" s="128">
        <v>52</v>
      </c>
      <c r="U467" s="128">
        <v>478</v>
      </c>
      <c r="V467" s="128" t="s">
        <v>1397</v>
      </c>
    </row>
    <row r="468" spans="1:22" x14ac:dyDescent="0.35">
      <c r="A468" s="118">
        <v>467</v>
      </c>
      <c r="B468" s="128" t="s">
        <v>1</v>
      </c>
      <c r="C468" s="128" t="s">
        <v>192</v>
      </c>
      <c r="D468" s="128" t="s">
        <v>3064</v>
      </c>
      <c r="E468" s="128" t="s">
        <v>3071</v>
      </c>
      <c r="F468" s="128">
        <v>1983</v>
      </c>
      <c r="G468" s="128">
        <v>102</v>
      </c>
      <c r="H468" s="128">
        <v>14</v>
      </c>
      <c r="I468" s="128">
        <v>116</v>
      </c>
      <c r="J468" s="128" t="s">
        <v>3013</v>
      </c>
      <c r="K468" s="128">
        <v>169.68869999999998</v>
      </c>
      <c r="L468" s="128" t="s">
        <v>3072</v>
      </c>
      <c r="M468" s="128" t="s">
        <v>3073</v>
      </c>
      <c r="N468" s="128" t="s">
        <v>3074</v>
      </c>
      <c r="O468" s="128">
        <v>476</v>
      </c>
      <c r="P468" s="128">
        <v>103</v>
      </c>
      <c r="Q468" s="128">
        <v>83</v>
      </c>
      <c r="R468" s="128">
        <v>196</v>
      </c>
      <c r="S468" s="128">
        <v>42</v>
      </c>
      <c r="T468" s="128">
        <v>52</v>
      </c>
      <c r="U468" s="128">
        <v>476</v>
      </c>
      <c r="V468" s="128" t="s">
        <v>1397</v>
      </c>
    </row>
    <row r="469" spans="1:22" x14ac:dyDescent="0.35">
      <c r="A469" s="118">
        <v>468</v>
      </c>
      <c r="B469" s="128" t="s">
        <v>1</v>
      </c>
      <c r="C469" s="128" t="s">
        <v>192</v>
      </c>
      <c r="D469" s="128" t="s">
        <v>3064</v>
      </c>
      <c r="E469" s="128" t="s">
        <v>3075</v>
      </c>
      <c r="F469" s="128">
        <v>2010</v>
      </c>
      <c r="G469" s="128">
        <v>43</v>
      </c>
      <c r="H469" s="128">
        <v>7</v>
      </c>
      <c r="I469" s="128">
        <v>50</v>
      </c>
      <c r="J469" s="128" t="s">
        <v>3013</v>
      </c>
      <c r="K469" s="128">
        <v>61.122999999999998</v>
      </c>
      <c r="L469" s="128" t="s">
        <v>3076</v>
      </c>
      <c r="M469" s="128" t="s">
        <v>3077</v>
      </c>
      <c r="N469" s="128" t="s">
        <v>1757</v>
      </c>
      <c r="O469" s="128">
        <v>473</v>
      </c>
      <c r="P469" s="128">
        <v>103</v>
      </c>
      <c r="Q469" s="128">
        <v>83</v>
      </c>
      <c r="R469" s="128">
        <v>197</v>
      </c>
      <c r="S469" s="128">
        <v>41</v>
      </c>
      <c r="T469" s="128">
        <v>51</v>
      </c>
      <c r="U469" s="128">
        <v>475</v>
      </c>
      <c r="V469" s="128" t="s">
        <v>1397</v>
      </c>
    </row>
    <row r="470" spans="1:22" x14ac:dyDescent="0.35">
      <c r="A470" s="118">
        <v>469</v>
      </c>
      <c r="B470" s="128" t="s">
        <v>1</v>
      </c>
      <c r="C470" s="128" t="s">
        <v>192</v>
      </c>
      <c r="D470" s="128" t="s">
        <v>1517</v>
      </c>
      <c r="E470" s="128" t="s">
        <v>3078</v>
      </c>
      <c r="F470" s="128">
        <v>2004</v>
      </c>
      <c r="G470" s="128">
        <v>0</v>
      </c>
      <c r="H470" s="128">
        <v>80</v>
      </c>
      <c r="I470" s="128">
        <v>80</v>
      </c>
      <c r="J470" s="128" t="s">
        <v>3079</v>
      </c>
      <c r="K470" s="128">
        <v>0</v>
      </c>
      <c r="L470" s="128" t="s">
        <v>3080</v>
      </c>
      <c r="M470" s="128" t="s">
        <v>3081</v>
      </c>
      <c r="N470" s="128" t="s">
        <v>3082</v>
      </c>
      <c r="O470" s="128">
        <v>493</v>
      </c>
      <c r="P470" s="128">
        <v>104</v>
      </c>
      <c r="Q470" s="128">
        <v>89</v>
      </c>
      <c r="R470" s="128">
        <v>199</v>
      </c>
      <c r="S470" s="128">
        <v>47</v>
      </c>
      <c r="T470" s="128">
        <v>56</v>
      </c>
      <c r="U470" s="128">
        <v>495</v>
      </c>
      <c r="V470" s="128" t="s">
        <v>1397</v>
      </c>
    </row>
    <row r="471" spans="1:22" x14ac:dyDescent="0.35">
      <c r="A471" s="118">
        <v>470</v>
      </c>
      <c r="B471" s="128" t="s">
        <v>1</v>
      </c>
      <c r="C471" s="128" t="s">
        <v>193</v>
      </c>
      <c r="D471" s="128" t="s">
        <v>2391</v>
      </c>
      <c r="E471" s="128" t="s">
        <v>357</v>
      </c>
      <c r="F471" s="128">
        <v>1983</v>
      </c>
      <c r="G471" s="128">
        <v>50</v>
      </c>
      <c r="H471" s="128">
        <v>5</v>
      </c>
      <c r="I471" s="128">
        <v>55</v>
      </c>
      <c r="J471" s="128" t="s">
        <v>3083</v>
      </c>
      <c r="K471" s="128">
        <v>69.314999999999998</v>
      </c>
      <c r="L471" s="128" t="s">
        <v>3084</v>
      </c>
      <c r="M471" s="128" t="s">
        <v>3085</v>
      </c>
      <c r="N471" s="128" t="s">
        <v>2600</v>
      </c>
      <c r="O471" s="128">
        <v>780</v>
      </c>
      <c r="P471" s="128">
        <v>190</v>
      </c>
      <c r="Q471" s="128">
        <v>124</v>
      </c>
      <c r="R471" s="128">
        <v>313</v>
      </c>
      <c r="S471" s="128">
        <v>85</v>
      </c>
      <c r="T471" s="128">
        <v>85</v>
      </c>
      <c r="U471" s="128">
        <v>797</v>
      </c>
      <c r="V471" s="128" t="s">
        <v>2702</v>
      </c>
    </row>
    <row r="472" spans="1:22" x14ac:dyDescent="0.35">
      <c r="A472" s="118">
        <v>471</v>
      </c>
      <c r="B472" s="128" t="s">
        <v>1</v>
      </c>
      <c r="C472" s="128" t="s">
        <v>193</v>
      </c>
      <c r="D472" s="128" t="s">
        <v>3086</v>
      </c>
      <c r="E472" s="128" t="s">
        <v>144</v>
      </c>
      <c r="F472" s="128">
        <v>1983</v>
      </c>
      <c r="G472" s="128">
        <v>82</v>
      </c>
      <c r="H472" s="128">
        <v>3</v>
      </c>
      <c r="I472" s="128">
        <v>85</v>
      </c>
      <c r="J472" s="128" t="s">
        <v>3083</v>
      </c>
      <c r="K472" s="128">
        <v>85.860000000000014</v>
      </c>
      <c r="L472" s="128" t="s">
        <v>3087</v>
      </c>
      <c r="M472" s="128" t="s">
        <v>3088</v>
      </c>
      <c r="N472" s="128" t="s">
        <v>3089</v>
      </c>
      <c r="O472" s="128">
        <v>490</v>
      </c>
      <c r="P472" s="128">
        <v>105</v>
      </c>
      <c r="Q472" s="128">
        <v>91</v>
      </c>
      <c r="R472" s="128">
        <v>203</v>
      </c>
      <c r="S472" s="128">
        <v>42</v>
      </c>
      <c r="T472" s="128">
        <v>55</v>
      </c>
      <c r="U472" s="128">
        <v>496</v>
      </c>
      <c r="V472" s="128" t="s">
        <v>1547</v>
      </c>
    </row>
    <row r="473" spans="1:22" x14ac:dyDescent="0.35">
      <c r="A473" s="118">
        <v>472</v>
      </c>
      <c r="B473" s="128" t="s">
        <v>1</v>
      </c>
      <c r="C473" s="128" t="s">
        <v>193</v>
      </c>
      <c r="D473" s="128" t="s">
        <v>3090</v>
      </c>
      <c r="E473" s="128" t="s">
        <v>38</v>
      </c>
      <c r="F473" s="128">
        <v>1983</v>
      </c>
      <c r="G473" s="128">
        <v>116</v>
      </c>
      <c r="H473" s="128">
        <v>13</v>
      </c>
      <c r="I473" s="128">
        <v>129</v>
      </c>
      <c r="J473" s="128" t="s">
        <v>3083</v>
      </c>
      <c r="K473" s="128">
        <v>132.90299999999999</v>
      </c>
      <c r="L473" s="128" t="s">
        <v>3091</v>
      </c>
      <c r="M473" s="128" t="s">
        <v>3092</v>
      </c>
      <c r="N473" s="128" t="s">
        <v>3093</v>
      </c>
      <c r="O473" s="128">
        <v>735</v>
      </c>
      <c r="P473" s="128">
        <v>144</v>
      </c>
      <c r="Q473" s="128">
        <v>123</v>
      </c>
      <c r="R473" s="128">
        <v>309</v>
      </c>
      <c r="S473" s="128">
        <v>84</v>
      </c>
      <c r="T473" s="128">
        <v>82</v>
      </c>
      <c r="U473" s="128">
        <v>742</v>
      </c>
      <c r="V473" s="128" t="s">
        <v>2702</v>
      </c>
    </row>
    <row r="474" spans="1:22" x14ac:dyDescent="0.35">
      <c r="A474" s="118">
        <v>473</v>
      </c>
      <c r="B474" s="128" t="s">
        <v>1</v>
      </c>
      <c r="C474" s="128" t="s">
        <v>193</v>
      </c>
      <c r="D474" s="128" t="s">
        <v>3094</v>
      </c>
      <c r="E474" s="128" t="s">
        <v>355</v>
      </c>
      <c r="F474" s="128">
        <v>1983</v>
      </c>
      <c r="G474" s="128">
        <v>180</v>
      </c>
      <c r="H474" s="128">
        <v>3</v>
      </c>
      <c r="I474" s="128">
        <v>183</v>
      </c>
      <c r="J474" s="128" t="s">
        <v>3083</v>
      </c>
      <c r="K474" s="128">
        <v>140.36199999999999</v>
      </c>
      <c r="L474" s="128" t="s">
        <v>1643</v>
      </c>
      <c r="M474" s="128" t="s">
        <v>1703</v>
      </c>
      <c r="N474" s="128" t="s">
        <v>3095</v>
      </c>
      <c r="O474" s="128">
        <v>485</v>
      </c>
      <c r="P474" s="128">
        <v>108</v>
      </c>
      <c r="Q474" s="128">
        <v>87</v>
      </c>
      <c r="R474" s="128">
        <v>200</v>
      </c>
      <c r="S474" s="128">
        <v>42</v>
      </c>
      <c r="T474" s="128">
        <v>52</v>
      </c>
      <c r="U474" s="128">
        <v>489</v>
      </c>
      <c r="V474" s="128" t="s">
        <v>1547</v>
      </c>
    </row>
    <row r="475" spans="1:22" x14ac:dyDescent="0.35">
      <c r="A475" s="118">
        <v>474</v>
      </c>
      <c r="B475" s="128" t="s">
        <v>1</v>
      </c>
      <c r="C475" s="128" t="s">
        <v>193</v>
      </c>
      <c r="D475" s="128" t="s">
        <v>3096</v>
      </c>
      <c r="E475" s="128" t="s">
        <v>354</v>
      </c>
      <c r="F475" s="128">
        <v>1983</v>
      </c>
      <c r="G475" s="128">
        <v>103</v>
      </c>
      <c r="H475" s="128">
        <v>5</v>
      </c>
      <c r="I475" s="128">
        <v>108</v>
      </c>
      <c r="J475" s="128" t="s">
        <v>3083</v>
      </c>
      <c r="K475" s="128">
        <v>85.635000000000034</v>
      </c>
      <c r="L475" s="128" t="s">
        <v>1696</v>
      </c>
      <c r="M475" s="128" t="s">
        <v>1831</v>
      </c>
      <c r="N475" s="128" t="s">
        <v>1899</v>
      </c>
      <c r="O475" s="128">
        <v>480</v>
      </c>
      <c r="P475" s="128">
        <v>104</v>
      </c>
      <c r="Q475" s="128">
        <v>86</v>
      </c>
      <c r="R475" s="128">
        <v>199</v>
      </c>
      <c r="S475" s="128">
        <v>42</v>
      </c>
      <c r="T475" s="128">
        <v>53</v>
      </c>
      <c r="U475" s="128">
        <v>484</v>
      </c>
      <c r="V475" s="128" t="s">
        <v>1547</v>
      </c>
    </row>
    <row r="476" spans="1:22" x14ac:dyDescent="0.35">
      <c r="A476" s="118">
        <v>475</v>
      </c>
      <c r="B476" s="128" t="s">
        <v>1</v>
      </c>
      <c r="C476" s="128" t="s">
        <v>193</v>
      </c>
      <c r="D476" s="128" t="s">
        <v>2391</v>
      </c>
      <c r="E476" s="128" t="s">
        <v>353</v>
      </c>
      <c r="F476" s="128">
        <v>2007</v>
      </c>
      <c r="G476" s="128">
        <v>85</v>
      </c>
      <c r="H476" s="128">
        <v>2</v>
      </c>
      <c r="I476" s="128">
        <v>87</v>
      </c>
      <c r="J476" s="128" t="s">
        <v>3083</v>
      </c>
      <c r="K476" s="128">
        <v>70.994999999999976</v>
      </c>
      <c r="L476" s="128" t="s">
        <v>3097</v>
      </c>
      <c r="M476" s="128" t="s">
        <v>3098</v>
      </c>
      <c r="N476" s="128" t="s">
        <v>3099</v>
      </c>
      <c r="O476" s="128">
        <v>485</v>
      </c>
      <c r="P476" s="128">
        <v>106</v>
      </c>
      <c r="Q476" s="128">
        <v>88</v>
      </c>
      <c r="R476" s="128">
        <v>203</v>
      </c>
      <c r="S476" s="128">
        <v>43</v>
      </c>
      <c r="T476" s="128">
        <v>52</v>
      </c>
      <c r="U476" s="128">
        <v>492</v>
      </c>
      <c r="V476" s="128" t="s">
        <v>1547</v>
      </c>
    </row>
    <row r="477" spans="1:22" x14ac:dyDescent="0.35">
      <c r="A477" s="118">
        <v>476</v>
      </c>
      <c r="B477" s="128" t="s">
        <v>1</v>
      </c>
      <c r="C477" s="128" t="s">
        <v>193</v>
      </c>
      <c r="D477" s="128" t="s">
        <v>3100</v>
      </c>
      <c r="E477" s="128" t="s">
        <v>352</v>
      </c>
      <c r="F477" s="128">
        <v>1983</v>
      </c>
      <c r="G477" s="128">
        <v>66</v>
      </c>
      <c r="H477" s="128">
        <v>2</v>
      </c>
      <c r="I477" s="128">
        <v>68</v>
      </c>
      <c r="J477" s="128" t="s">
        <v>3083</v>
      </c>
      <c r="K477" s="128">
        <v>58.209999999999987</v>
      </c>
      <c r="L477" s="128" t="s">
        <v>3101</v>
      </c>
      <c r="M477" s="128" t="s">
        <v>3102</v>
      </c>
      <c r="N477" s="128" t="s">
        <v>1706</v>
      </c>
      <c r="O477" s="128">
        <v>480</v>
      </c>
      <c r="P477" s="128">
        <v>104</v>
      </c>
      <c r="Q477" s="128">
        <v>88</v>
      </c>
      <c r="R477" s="128">
        <v>197</v>
      </c>
      <c r="S477" s="128">
        <v>42</v>
      </c>
      <c r="T477" s="128">
        <v>52</v>
      </c>
      <c r="U477" s="128">
        <v>483</v>
      </c>
      <c r="V477" s="128" t="s">
        <v>1547</v>
      </c>
    </row>
    <row r="478" spans="1:22" x14ac:dyDescent="0.35">
      <c r="A478" s="118">
        <v>477</v>
      </c>
      <c r="B478" s="128" t="s">
        <v>1</v>
      </c>
      <c r="C478" s="128" t="s">
        <v>193</v>
      </c>
      <c r="D478" s="128" t="s">
        <v>3086</v>
      </c>
      <c r="E478" s="128" t="s">
        <v>351</v>
      </c>
      <c r="F478" s="128">
        <v>2007</v>
      </c>
      <c r="G478" s="128">
        <v>83</v>
      </c>
      <c r="H478" s="128">
        <v>4</v>
      </c>
      <c r="I478" s="128">
        <v>87</v>
      </c>
      <c r="J478" s="128" t="s">
        <v>3083</v>
      </c>
      <c r="K478" s="128">
        <v>82.735000000000028</v>
      </c>
      <c r="L478" s="128" t="s">
        <v>2061</v>
      </c>
      <c r="M478" s="128" t="s">
        <v>1634</v>
      </c>
      <c r="N478" s="128" t="s">
        <v>1597</v>
      </c>
      <c r="O478" s="128">
        <v>490</v>
      </c>
      <c r="P478" s="128">
        <v>104</v>
      </c>
      <c r="Q478" s="128">
        <v>88</v>
      </c>
      <c r="R478" s="128">
        <v>203</v>
      </c>
      <c r="S478" s="128">
        <v>46</v>
      </c>
      <c r="T478" s="128">
        <v>54</v>
      </c>
      <c r="U478" s="128">
        <v>495</v>
      </c>
      <c r="V478" s="128" t="s">
        <v>1547</v>
      </c>
    </row>
    <row r="479" spans="1:22" x14ac:dyDescent="0.35">
      <c r="A479" s="118">
        <v>478</v>
      </c>
      <c r="B479" s="128" t="s">
        <v>1</v>
      </c>
      <c r="C479" s="128" t="s">
        <v>193</v>
      </c>
      <c r="D479" s="128" t="s">
        <v>3090</v>
      </c>
      <c r="E479" s="128" t="s">
        <v>350</v>
      </c>
      <c r="F479" s="128">
        <v>2008</v>
      </c>
      <c r="G479" s="128">
        <v>48</v>
      </c>
      <c r="H479" s="128">
        <v>0</v>
      </c>
      <c r="I479" s="128">
        <v>48</v>
      </c>
      <c r="J479" s="128" t="s">
        <v>3083</v>
      </c>
      <c r="K479" s="128">
        <v>42.326000000000022</v>
      </c>
      <c r="L479" s="128" t="s">
        <v>3103</v>
      </c>
      <c r="M479" s="128" t="s">
        <v>3104</v>
      </c>
      <c r="N479" s="128" t="s">
        <v>3105</v>
      </c>
      <c r="O479" s="128">
        <v>480</v>
      </c>
      <c r="P479" s="128">
        <v>105</v>
      </c>
      <c r="Q479" s="128">
        <v>87</v>
      </c>
      <c r="R479" s="128">
        <v>200</v>
      </c>
      <c r="S479" s="128">
        <v>42</v>
      </c>
      <c r="T479" s="128">
        <v>54</v>
      </c>
      <c r="U479" s="128">
        <v>488</v>
      </c>
      <c r="V479" s="128" t="s">
        <v>1547</v>
      </c>
    </row>
    <row r="480" spans="1:22" x14ac:dyDescent="0.35">
      <c r="A480" s="118">
        <v>479</v>
      </c>
      <c r="B480" s="128" t="s">
        <v>1</v>
      </c>
      <c r="C480" s="128" t="s">
        <v>193</v>
      </c>
      <c r="D480" s="128" t="s">
        <v>3100</v>
      </c>
      <c r="E480" s="128" t="s">
        <v>349</v>
      </c>
      <c r="F480" s="128">
        <v>2011</v>
      </c>
      <c r="G480" s="128">
        <v>60</v>
      </c>
      <c r="H480" s="128">
        <v>4</v>
      </c>
      <c r="I480" s="128">
        <v>64</v>
      </c>
      <c r="J480" s="128" t="s">
        <v>3083</v>
      </c>
      <c r="K480" s="128">
        <v>71.771999999999977</v>
      </c>
      <c r="L480" s="128" t="s">
        <v>3106</v>
      </c>
      <c r="M480" s="128" t="s">
        <v>3107</v>
      </c>
      <c r="N480" s="128" t="s">
        <v>1912</v>
      </c>
      <c r="O480" s="128">
        <v>471</v>
      </c>
      <c r="P480" s="128">
        <v>105</v>
      </c>
      <c r="Q480" s="128">
        <v>88</v>
      </c>
      <c r="R480" s="128">
        <v>198</v>
      </c>
      <c r="S480" s="128">
        <v>43</v>
      </c>
      <c r="T480" s="128">
        <v>53</v>
      </c>
      <c r="U480" s="128">
        <v>487</v>
      </c>
      <c r="V480" s="128" t="s">
        <v>1547</v>
      </c>
    </row>
    <row r="481" spans="1:22" x14ac:dyDescent="0.35">
      <c r="A481" s="118">
        <v>480</v>
      </c>
      <c r="B481" s="128" t="s">
        <v>1</v>
      </c>
      <c r="C481" s="128" t="s">
        <v>193</v>
      </c>
      <c r="D481" s="128" t="s">
        <v>3086</v>
      </c>
      <c r="E481" s="128" t="s">
        <v>3108</v>
      </c>
      <c r="F481" s="128">
        <v>2006</v>
      </c>
      <c r="G481" s="128">
        <v>0</v>
      </c>
      <c r="H481" s="128">
        <v>55</v>
      </c>
      <c r="I481" s="128">
        <v>55</v>
      </c>
      <c r="J481" s="128" t="s">
        <v>3083</v>
      </c>
      <c r="K481" s="128">
        <v>0</v>
      </c>
      <c r="L481" s="128" t="s">
        <v>3109</v>
      </c>
      <c r="M481" s="128" t="s">
        <v>3110</v>
      </c>
      <c r="N481" s="128" t="s">
        <v>3111</v>
      </c>
      <c r="O481" s="128">
        <v>467</v>
      </c>
      <c r="P481" s="128">
        <v>104</v>
      </c>
      <c r="Q481" s="128">
        <v>89</v>
      </c>
      <c r="R481" s="128">
        <v>200</v>
      </c>
      <c r="S481" s="128">
        <v>45</v>
      </c>
      <c r="T481" s="128">
        <v>53</v>
      </c>
      <c r="U481" s="128">
        <v>491</v>
      </c>
      <c r="V481" s="128" t="s">
        <v>1547</v>
      </c>
    </row>
    <row r="482" spans="1:22" x14ac:dyDescent="0.35">
      <c r="A482" s="118">
        <v>481</v>
      </c>
      <c r="B482" s="128" t="s">
        <v>1</v>
      </c>
      <c r="C482" s="128" t="s">
        <v>193</v>
      </c>
      <c r="D482" s="128" t="s">
        <v>3094</v>
      </c>
      <c r="E482" s="128" t="s">
        <v>3112</v>
      </c>
      <c r="F482" s="128">
        <v>2013</v>
      </c>
      <c r="G482" s="128">
        <v>0</v>
      </c>
      <c r="H482" s="128">
        <v>25</v>
      </c>
      <c r="I482" s="128">
        <v>25</v>
      </c>
      <c r="J482" s="128" t="s">
        <v>3083</v>
      </c>
      <c r="K482" s="128">
        <v>0</v>
      </c>
      <c r="L482" s="128" t="s">
        <v>3113</v>
      </c>
      <c r="M482" s="128" t="s">
        <v>3114</v>
      </c>
      <c r="N482" s="128" t="s">
        <v>3115</v>
      </c>
      <c r="O482" s="128">
        <v>535</v>
      </c>
      <c r="P482" s="128">
        <v>71</v>
      </c>
      <c r="Q482" s="128">
        <v>55</v>
      </c>
      <c r="R482" s="128">
        <v>110</v>
      </c>
      <c r="S482" s="128">
        <v>12</v>
      </c>
      <c r="T482" s="128">
        <v>33</v>
      </c>
      <c r="U482" s="128">
        <v>281</v>
      </c>
      <c r="V482" s="128" t="s">
        <v>2643</v>
      </c>
    </row>
    <row r="483" spans="1:22" x14ac:dyDescent="0.35">
      <c r="A483" s="118">
        <v>482</v>
      </c>
      <c r="B483" s="128" t="s">
        <v>1</v>
      </c>
      <c r="C483" s="128" t="s">
        <v>193</v>
      </c>
      <c r="D483" s="128" t="s">
        <v>3100</v>
      </c>
      <c r="E483" s="128" t="s">
        <v>346</v>
      </c>
      <c r="F483" s="128">
        <v>2018</v>
      </c>
      <c r="G483" s="128">
        <v>60</v>
      </c>
      <c r="H483" s="128">
        <v>4</v>
      </c>
      <c r="I483" s="128">
        <v>64</v>
      </c>
      <c r="J483" s="128" t="s">
        <v>3083</v>
      </c>
      <c r="K483" s="128">
        <v>42.868000000000002</v>
      </c>
      <c r="L483" s="128" t="s">
        <v>3116</v>
      </c>
      <c r="M483" s="128" t="s">
        <v>3117</v>
      </c>
      <c r="N483" s="128" t="s">
        <v>3118</v>
      </c>
      <c r="O483" s="128">
        <v>533</v>
      </c>
      <c r="P483" s="128">
        <v>76</v>
      </c>
      <c r="Q483" s="128">
        <v>51</v>
      </c>
      <c r="R483" s="128">
        <v>107</v>
      </c>
      <c r="S483" s="128">
        <v>13</v>
      </c>
      <c r="T483" s="128">
        <v>32</v>
      </c>
      <c r="U483" s="128">
        <v>279</v>
      </c>
      <c r="V483" s="128" t="s">
        <v>2643</v>
      </c>
    </row>
    <row r="484" spans="1:22" x14ac:dyDescent="0.35">
      <c r="A484" s="118">
        <v>483</v>
      </c>
      <c r="B484" s="128" t="s">
        <v>1</v>
      </c>
      <c r="C484" s="128" t="s">
        <v>193</v>
      </c>
      <c r="D484" s="128" t="s">
        <v>3094</v>
      </c>
      <c r="E484" s="128" t="s">
        <v>344</v>
      </c>
      <c r="F484" s="128">
        <v>2021</v>
      </c>
      <c r="G484" s="128">
        <v>42</v>
      </c>
      <c r="H484" s="128">
        <v>0</v>
      </c>
      <c r="I484" s="128">
        <v>42</v>
      </c>
      <c r="J484" s="128" t="s">
        <v>3083</v>
      </c>
      <c r="K484" s="128">
        <v>17.628000000000004</v>
      </c>
      <c r="L484" s="128" t="s">
        <v>3119</v>
      </c>
      <c r="M484" s="128" t="s">
        <v>3120</v>
      </c>
      <c r="N484" s="128" t="s">
        <v>3121</v>
      </c>
      <c r="O484" s="128">
        <v>130</v>
      </c>
      <c r="P484" s="128">
        <v>30</v>
      </c>
      <c r="Q484" s="128">
        <v>25</v>
      </c>
      <c r="R484" s="128">
        <v>55</v>
      </c>
      <c r="S484" s="128">
        <v>5</v>
      </c>
      <c r="T484" s="128">
        <v>20</v>
      </c>
      <c r="U484" s="128">
        <v>135</v>
      </c>
      <c r="V484" s="128" t="s">
        <v>3122</v>
      </c>
    </row>
    <row r="485" spans="1:22" x14ac:dyDescent="0.35">
      <c r="A485" s="118">
        <v>484</v>
      </c>
      <c r="B485" s="128" t="s">
        <v>1</v>
      </c>
      <c r="C485" s="128" t="s">
        <v>193</v>
      </c>
      <c r="D485" s="128" t="s">
        <v>2391</v>
      </c>
      <c r="E485" s="128" t="s">
        <v>345</v>
      </c>
      <c r="F485" s="128">
        <v>2021</v>
      </c>
      <c r="G485" s="128">
        <v>25</v>
      </c>
      <c r="H485" s="128">
        <v>1</v>
      </c>
      <c r="I485" s="128">
        <v>26</v>
      </c>
      <c r="J485" s="128" t="s">
        <v>3083</v>
      </c>
      <c r="K485" s="128">
        <v>24.103000000000002</v>
      </c>
      <c r="L485" s="128" t="s">
        <v>3123</v>
      </c>
      <c r="M485" s="128" t="s">
        <v>3124</v>
      </c>
      <c r="N485" s="128" t="s">
        <v>3125</v>
      </c>
      <c r="O485" s="128">
        <v>170</v>
      </c>
      <c r="P485" s="128">
        <v>50</v>
      </c>
      <c r="Q485" s="128">
        <v>33</v>
      </c>
      <c r="R485" s="128">
        <v>65</v>
      </c>
      <c r="S485" s="128">
        <v>5</v>
      </c>
      <c r="T485" s="128">
        <v>25</v>
      </c>
      <c r="U485" s="128">
        <v>178</v>
      </c>
      <c r="V485" s="128" t="s">
        <v>3122</v>
      </c>
    </row>
    <row r="486" spans="1:22" x14ac:dyDescent="0.35">
      <c r="A486" s="118">
        <v>485</v>
      </c>
      <c r="B486" s="128" t="s">
        <v>1</v>
      </c>
      <c r="C486" s="128" t="s">
        <v>194</v>
      </c>
      <c r="D486" s="128" t="s">
        <v>2391</v>
      </c>
      <c r="E486" s="128" t="s">
        <v>372</v>
      </c>
      <c r="F486" s="128">
        <v>1990</v>
      </c>
      <c r="G486" s="128">
        <v>111</v>
      </c>
      <c r="H486" s="128">
        <v>15</v>
      </c>
      <c r="I486" s="128">
        <v>126</v>
      </c>
      <c r="J486" s="128" t="s">
        <v>3126</v>
      </c>
      <c r="K486" s="128">
        <v>132.57999999999998</v>
      </c>
      <c r="L486" s="128" t="s">
        <v>2406</v>
      </c>
      <c r="M486" s="128" t="s">
        <v>3127</v>
      </c>
      <c r="N486" s="128" t="s">
        <v>3128</v>
      </c>
      <c r="O486" s="128">
        <v>885</v>
      </c>
      <c r="P486" s="128">
        <v>190</v>
      </c>
      <c r="Q486" s="128">
        <v>124</v>
      </c>
      <c r="R486" s="128">
        <v>365</v>
      </c>
      <c r="S486" s="128">
        <v>80</v>
      </c>
      <c r="T486" s="128">
        <v>130</v>
      </c>
      <c r="U486" s="128">
        <v>889</v>
      </c>
      <c r="V486" s="128" t="s">
        <v>2702</v>
      </c>
    </row>
    <row r="487" spans="1:22" x14ac:dyDescent="0.35">
      <c r="A487" s="118">
        <v>486</v>
      </c>
      <c r="B487" s="128" t="s">
        <v>1</v>
      </c>
      <c r="C487" s="128" t="s">
        <v>194</v>
      </c>
      <c r="D487" s="128" t="s">
        <v>3129</v>
      </c>
      <c r="E487" s="128" t="s">
        <v>371</v>
      </c>
      <c r="F487" s="128">
        <v>2006</v>
      </c>
      <c r="G487" s="128">
        <v>42</v>
      </c>
      <c r="H487" s="128">
        <v>6</v>
      </c>
      <c r="I487" s="128">
        <v>48</v>
      </c>
      <c r="J487" s="128" t="s">
        <v>3130</v>
      </c>
      <c r="K487" s="128">
        <v>86.759999999999991</v>
      </c>
      <c r="L487" s="128" t="s">
        <v>3131</v>
      </c>
      <c r="M487" s="128" t="s">
        <v>3132</v>
      </c>
      <c r="N487" s="128" t="s">
        <v>3133</v>
      </c>
      <c r="O487" s="128">
        <v>675</v>
      </c>
      <c r="P487" s="128">
        <v>130</v>
      </c>
      <c r="Q487" s="128">
        <v>110</v>
      </c>
      <c r="R487" s="128">
        <v>280</v>
      </c>
      <c r="S487" s="128">
        <v>80</v>
      </c>
      <c r="T487" s="128">
        <v>80</v>
      </c>
      <c r="U487" s="128">
        <v>680</v>
      </c>
      <c r="V487" s="128" t="s">
        <v>1547</v>
      </c>
    </row>
    <row r="488" spans="1:22" x14ac:dyDescent="0.35">
      <c r="A488" s="118">
        <v>487</v>
      </c>
      <c r="B488" s="128" t="s">
        <v>1</v>
      </c>
      <c r="C488" s="128" t="s">
        <v>194</v>
      </c>
      <c r="D488" s="128" t="s">
        <v>2391</v>
      </c>
      <c r="E488" s="128" t="s">
        <v>370</v>
      </c>
      <c r="F488" s="128">
        <v>1990</v>
      </c>
      <c r="G488" s="128">
        <v>120</v>
      </c>
      <c r="H488" s="128">
        <v>11</v>
      </c>
      <c r="I488" s="128">
        <v>131</v>
      </c>
      <c r="J488" s="128" t="s">
        <v>3134</v>
      </c>
      <c r="K488" s="128">
        <v>90.04</v>
      </c>
      <c r="L488" s="128" t="s">
        <v>3117</v>
      </c>
      <c r="M488" s="128" t="s">
        <v>3135</v>
      </c>
      <c r="N488" s="128" t="s">
        <v>3136</v>
      </c>
      <c r="O488" s="128">
        <v>640</v>
      </c>
      <c r="P488" s="128">
        <v>135</v>
      </c>
      <c r="Q488" s="128">
        <v>97</v>
      </c>
      <c r="R488" s="128">
        <v>260</v>
      </c>
      <c r="S488" s="128">
        <v>80</v>
      </c>
      <c r="T488" s="128">
        <v>80</v>
      </c>
      <c r="U488" s="128">
        <v>652</v>
      </c>
      <c r="V488" s="128" t="s">
        <v>1547</v>
      </c>
    </row>
    <row r="489" spans="1:22" x14ac:dyDescent="0.35">
      <c r="A489" s="118">
        <v>488</v>
      </c>
      <c r="B489" s="128" t="s">
        <v>1</v>
      </c>
      <c r="C489" s="128" t="s">
        <v>194</v>
      </c>
      <c r="D489" s="128" t="s">
        <v>3137</v>
      </c>
      <c r="E489" s="128" t="s">
        <v>369</v>
      </c>
      <c r="F489" s="128">
        <v>1995</v>
      </c>
      <c r="G489" s="128">
        <v>121</v>
      </c>
      <c r="H489" s="128">
        <v>19</v>
      </c>
      <c r="I489" s="128">
        <v>140</v>
      </c>
      <c r="J489" s="128" t="s">
        <v>3138</v>
      </c>
      <c r="K489" s="128">
        <v>115.86</v>
      </c>
      <c r="L489" s="128" t="s">
        <v>3139</v>
      </c>
      <c r="M489" s="128" t="s">
        <v>3140</v>
      </c>
      <c r="N489" s="128" t="s">
        <v>3141</v>
      </c>
      <c r="O489" s="128">
        <v>700</v>
      </c>
      <c r="P489" s="128">
        <v>135</v>
      </c>
      <c r="Q489" s="128">
        <v>115</v>
      </c>
      <c r="R489" s="128">
        <v>290</v>
      </c>
      <c r="S489" s="128">
        <v>80</v>
      </c>
      <c r="T489" s="128">
        <v>80</v>
      </c>
      <c r="U489" s="128">
        <v>700</v>
      </c>
      <c r="V489" s="128" t="s">
        <v>1547</v>
      </c>
    </row>
    <row r="490" spans="1:22" x14ac:dyDescent="0.35">
      <c r="A490" s="118">
        <v>489</v>
      </c>
      <c r="B490" s="128" t="s">
        <v>1</v>
      </c>
      <c r="C490" s="128" t="s">
        <v>194</v>
      </c>
      <c r="D490" s="128" t="s">
        <v>3137</v>
      </c>
      <c r="E490" s="128" t="s">
        <v>368</v>
      </c>
      <c r="F490" s="128">
        <v>2006</v>
      </c>
      <c r="G490" s="128">
        <v>131</v>
      </c>
      <c r="H490" s="128">
        <v>21</v>
      </c>
      <c r="I490" s="128">
        <v>152</v>
      </c>
      <c r="J490" s="128" t="s">
        <v>3138</v>
      </c>
      <c r="K490" s="128">
        <v>61.06</v>
      </c>
      <c r="L490" s="128" t="s">
        <v>3142</v>
      </c>
      <c r="M490" s="128" t="s">
        <v>3143</v>
      </c>
      <c r="N490" s="128" t="s">
        <v>3144</v>
      </c>
      <c r="O490" s="128">
        <v>645</v>
      </c>
      <c r="P490" s="128">
        <v>130</v>
      </c>
      <c r="Q490" s="128">
        <v>95</v>
      </c>
      <c r="R490" s="128">
        <v>265</v>
      </c>
      <c r="S490" s="128">
        <v>80</v>
      </c>
      <c r="T490" s="128">
        <v>80</v>
      </c>
      <c r="U490" s="128">
        <v>650</v>
      </c>
      <c r="V490" s="128" t="s">
        <v>1547</v>
      </c>
    </row>
    <row r="491" spans="1:22" x14ac:dyDescent="0.35">
      <c r="A491" s="118">
        <v>490</v>
      </c>
      <c r="B491" s="128" t="s">
        <v>1</v>
      </c>
      <c r="C491" s="128" t="s">
        <v>194</v>
      </c>
      <c r="D491" s="128" t="s">
        <v>3145</v>
      </c>
      <c r="E491" s="128" t="s">
        <v>367</v>
      </c>
      <c r="F491" s="128">
        <v>1998</v>
      </c>
      <c r="G491" s="128">
        <v>96</v>
      </c>
      <c r="H491" s="128">
        <v>13</v>
      </c>
      <c r="I491" s="128">
        <v>109</v>
      </c>
      <c r="J491" s="128" t="s">
        <v>3146</v>
      </c>
      <c r="K491" s="128">
        <v>580.68000000000006</v>
      </c>
      <c r="L491" s="128" t="s">
        <v>3147</v>
      </c>
      <c r="M491" s="128" t="s">
        <v>2516</v>
      </c>
      <c r="N491" s="128" t="s">
        <v>3148</v>
      </c>
      <c r="O491" s="128">
        <v>675</v>
      </c>
      <c r="P491" s="128">
        <v>135</v>
      </c>
      <c r="Q491" s="128">
        <v>115</v>
      </c>
      <c r="R491" s="128">
        <v>270</v>
      </c>
      <c r="S491" s="128">
        <v>80</v>
      </c>
      <c r="T491" s="128">
        <v>80</v>
      </c>
      <c r="U491" s="128">
        <v>680</v>
      </c>
      <c r="V491" s="128" t="s">
        <v>1547</v>
      </c>
    </row>
    <row r="492" spans="1:22" x14ac:dyDescent="0.35">
      <c r="A492" s="118">
        <v>491</v>
      </c>
      <c r="B492" s="128" t="s">
        <v>1</v>
      </c>
      <c r="C492" s="128" t="s">
        <v>194</v>
      </c>
      <c r="D492" s="128" t="s">
        <v>3129</v>
      </c>
      <c r="E492" s="128" t="s">
        <v>366</v>
      </c>
      <c r="F492" s="128">
        <v>2007</v>
      </c>
      <c r="G492" s="128">
        <v>206</v>
      </c>
      <c r="H492" s="128">
        <v>44</v>
      </c>
      <c r="I492" s="128">
        <v>250</v>
      </c>
      <c r="J492" s="128" t="s">
        <v>3149</v>
      </c>
      <c r="K492" s="128">
        <v>255.44</v>
      </c>
      <c r="L492" s="128" t="s">
        <v>3150</v>
      </c>
      <c r="M492" s="128" t="s">
        <v>3151</v>
      </c>
      <c r="N492" s="128" t="s">
        <v>3152</v>
      </c>
      <c r="O492" s="128">
        <v>635</v>
      </c>
      <c r="P492" s="128">
        <v>135</v>
      </c>
      <c r="Q492" s="128">
        <v>100</v>
      </c>
      <c r="R492" s="128">
        <v>245</v>
      </c>
      <c r="S492" s="128">
        <v>80</v>
      </c>
      <c r="T492" s="128">
        <v>80</v>
      </c>
      <c r="U492" s="128">
        <v>640</v>
      </c>
      <c r="V492" s="128" t="s">
        <v>1547</v>
      </c>
    </row>
    <row r="493" spans="1:22" x14ac:dyDescent="0.35">
      <c r="A493" s="118">
        <v>492</v>
      </c>
      <c r="B493" s="128" t="s">
        <v>1</v>
      </c>
      <c r="C493" s="128" t="s">
        <v>194</v>
      </c>
      <c r="D493" s="128" t="s">
        <v>3129</v>
      </c>
      <c r="E493" s="128" t="s">
        <v>365</v>
      </c>
      <c r="F493" s="128">
        <v>2007</v>
      </c>
      <c r="G493" s="128">
        <v>63</v>
      </c>
      <c r="H493" s="128">
        <v>11</v>
      </c>
      <c r="I493" s="128">
        <v>74</v>
      </c>
      <c r="J493" s="128" t="s">
        <v>3138</v>
      </c>
      <c r="K493" s="128">
        <v>65.300000000000011</v>
      </c>
      <c r="L493" s="128" t="s">
        <v>3153</v>
      </c>
      <c r="M493" s="128" t="s">
        <v>2493</v>
      </c>
      <c r="N493" s="128" t="s">
        <v>3154</v>
      </c>
      <c r="O493" s="128">
        <v>660</v>
      </c>
      <c r="P493" s="128">
        <v>135</v>
      </c>
      <c r="Q493" s="128">
        <v>100</v>
      </c>
      <c r="R493" s="128">
        <v>270</v>
      </c>
      <c r="S493" s="128">
        <v>80</v>
      </c>
      <c r="T493" s="128">
        <v>80</v>
      </c>
      <c r="U493" s="128">
        <v>665</v>
      </c>
      <c r="V493" s="128" t="s">
        <v>1547</v>
      </c>
    </row>
    <row r="494" spans="1:22" x14ac:dyDescent="0.35">
      <c r="A494" s="118">
        <v>493</v>
      </c>
      <c r="B494" s="128" t="s">
        <v>1</v>
      </c>
      <c r="C494" s="128" t="s">
        <v>194</v>
      </c>
      <c r="D494" s="128" t="s">
        <v>3155</v>
      </c>
      <c r="E494" s="128" t="s">
        <v>364</v>
      </c>
      <c r="F494" s="128">
        <v>1998</v>
      </c>
      <c r="G494" s="128">
        <v>113</v>
      </c>
      <c r="H494" s="128"/>
      <c r="I494" s="128">
        <v>113</v>
      </c>
      <c r="J494" s="128" t="s">
        <v>3149</v>
      </c>
      <c r="K494" s="128">
        <v>261.02</v>
      </c>
      <c r="L494" s="128" t="s">
        <v>3156</v>
      </c>
      <c r="M494" s="128" t="s">
        <v>2771</v>
      </c>
      <c r="N494" s="128" t="s">
        <v>3157</v>
      </c>
      <c r="O494" s="128">
        <v>670</v>
      </c>
      <c r="P494" s="128">
        <v>135</v>
      </c>
      <c r="Q494" s="128">
        <v>100</v>
      </c>
      <c r="R494" s="128">
        <v>280</v>
      </c>
      <c r="S494" s="128">
        <v>80</v>
      </c>
      <c r="T494" s="128">
        <v>80</v>
      </c>
      <c r="U494" s="128">
        <v>675</v>
      </c>
      <c r="V494" s="128" t="s">
        <v>1547</v>
      </c>
    </row>
    <row r="495" spans="1:22" x14ac:dyDescent="0.35">
      <c r="A495" s="118">
        <v>494</v>
      </c>
      <c r="B495" s="128" t="s">
        <v>1</v>
      </c>
      <c r="C495" s="128" t="s">
        <v>194</v>
      </c>
      <c r="D495" s="128" t="s">
        <v>3155</v>
      </c>
      <c r="E495" s="128" t="s">
        <v>363</v>
      </c>
      <c r="F495" s="128">
        <v>2007</v>
      </c>
      <c r="G495" s="128">
        <v>104</v>
      </c>
      <c r="H495" s="128">
        <v>12</v>
      </c>
      <c r="I495" s="128">
        <v>116</v>
      </c>
      <c r="J495" s="128" t="s">
        <v>3158</v>
      </c>
      <c r="K495" s="128">
        <v>218</v>
      </c>
      <c r="L495" s="128" t="s">
        <v>3159</v>
      </c>
      <c r="M495" s="128" t="s">
        <v>3160</v>
      </c>
      <c r="N495" s="128" t="s">
        <v>3161</v>
      </c>
      <c r="O495" s="128">
        <v>665</v>
      </c>
      <c r="P495" s="128">
        <v>135</v>
      </c>
      <c r="Q495" s="128">
        <v>110</v>
      </c>
      <c r="R495" s="128">
        <v>265</v>
      </c>
      <c r="S495" s="128">
        <v>80</v>
      </c>
      <c r="T495" s="128">
        <v>80</v>
      </c>
      <c r="U495" s="128">
        <v>670</v>
      </c>
      <c r="V495" s="128" t="s">
        <v>1547</v>
      </c>
    </row>
    <row r="496" spans="1:22" x14ac:dyDescent="0.35">
      <c r="A496" s="118">
        <v>495</v>
      </c>
      <c r="B496" s="128" t="s">
        <v>1</v>
      </c>
      <c r="C496" s="128" t="s">
        <v>194</v>
      </c>
      <c r="D496" s="128" t="s">
        <v>3155</v>
      </c>
      <c r="E496" s="128" t="s">
        <v>362</v>
      </c>
      <c r="F496" s="128">
        <v>2007</v>
      </c>
      <c r="G496" s="128">
        <v>140</v>
      </c>
      <c r="H496" s="128">
        <v>25</v>
      </c>
      <c r="I496" s="128">
        <v>165</v>
      </c>
      <c r="J496" s="128" t="s">
        <v>3149</v>
      </c>
      <c r="K496" s="128">
        <v>50.7</v>
      </c>
      <c r="L496" s="128" t="s">
        <v>3162</v>
      </c>
      <c r="M496" s="128" t="s">
        <v>3163</v>
      </c>
      <c r="N496" s="128" t="s">
        <v>3164</v>
      </c>
      <c r="O496" s="128">
        <v>640</v>
      </c>
      <c r="P496" s="128">
        <v>135</v>
      </c>
      <c r="Q496" s="128">
        <v>110</v>
      </c>
      <c r="R496" s="128">
        <v>250</v>
      </c>
      <c r="S496" s="128">
        <v>80</v>
      </c>
      <c r="T496" s="128">
        <v>80</v>
      </c>
      <c r="U496" s="128">
        <v>655</v>
      </c>
      <c r="V496" s="128" t="s">
        <v>1547</v>
      </c>
    </row>
    <row r="497" spans="1:22" x14ac:dyDescent="0.35">
      <c r="A497" s="118">
        <v>496</v>
      </c>
      <c r="B497" s="128" t="s">
        <v>1</v>
      </c>
      <c r="C497" s="128" t="s">
        <v>194</v>
      </c>
      <c r="D497" s="128" t="s">
        <v>3165</v>
      </c>
      <c r="E497" s="128" t="s">
        <v>136</v>
      </c>
      <c r="F497" s="128">
        <v>1995</v>
      </c>
      <c r="G497" s="128">
        <v>99</v>
      </c>
      <c r="H497" s="128">
        <v>13</v>
      </c>
      <c r="I497" s="128">
        <v>112</v>
      </c>
      <c r="J497" s="128" t="s">
        <v>3149</v>
      </c>
      <c r="K497" s="128">
        <v>66.64</v>
      </c>
      <c r="L497" s="128" t="s">
        <v>3166</v>
      </c>
      <c r="M497" s="128" t="s">
        <v>3167</v>
      </c>
      <c r="N497" s="128" t="s">
        <v>3168</v>
      </c>
      <c r="O497" s="128">
        <v>685</v>
      </c>
      <c r="P497" s="128">
        <v>135</v>
      </c>
      <c r="Q497" s="128">
        <v>115</v>
      </c>
      <c r="R497" s="128">
        <v>280</v>
      </c>
      <c r="S497" s="128">
        <v>80</v>
      </c>
      <c r="T497" s="128">
        <v>80</v>
      </c>
      <c r="U497" s="128">
        <v>690</v>
      </c>
      <c r="V497" s="128" t="s">
        <v>1547</v>
      </c>
    </row>
    <row r="498" spans="1:22" x14ac:dyDescent="0.35">
      <c r="A498" s="118">
        <v>497</v>
      </c>
      <c r="B498" s="128" t="s">
        <v>1</v>
      </c>
      <c r="C498" s="128" t="s">
        <v>194</v>
      </c>
      <c r="D498" s="128" t="s">
        <v>3137</v>
      </c>
      <c r="E498" s="128" t="s">
        <v>361</v>
      </c>
      <c r="F498" s="128">
        <v>2007</v>
      </c>
      <c r="G498" s="128">
        <v>44</v>
      </c>
      <c r="H498" s="128">
        <v>4</v>
      </c>
      <c r="I498" s="128">
        <v>48</v>
      </c>
      <c r="J498" s="128" t="s">
        <v>3138</v>
      </c>
      <c r="K498" s="128">
        <v>92.12</v>
      </c>
      <c r="L498" s="128" t="s">
        <v>2506</v>
      </c>
      <c r="M498" s="128" t="s">
        <v>3169</v>
      </c>
      <c r="N498" s="128" t="s">
        <v>3170</v>
      </c>
      <c r="O498" s="128">
        <v>640</v>
      </c>
      <c r="P498" s="128">
        <v>130</v>
      </c>
      <c r="Q498" s="128">
        <v>105</v>
      </c>
      <c r="R498" s="128">
        <v>250</v>
      </c>
      <c r="S498" s="128">
        <v>80</v>
      </c>
      <c r="T498" s="128">
        <v>80</v>
      </c>
      <c r="U498" s="128">
        <v>645</v>
      </c>
      <c r="V498" s="128" t="s">
        <v>1547</v>
      </c>
    </row>
    <row r="499" spans="1:22" x14ac:dyDescent="0.35">
      <c r="A499" s="118">
        <v>498</v>
      </c>
      <c r="B499" s="128" t="s">
        <v>1</v>
      </c>
      <c r="C499" s="128" t="s">
        <v>194</v>
      </c>
      <c r="D499" s="128" t="s">
        <v>3155</v>
      </c>
      <c r="E499" s="128" t="s">
        <v>3171</v>
      </c>
      <c r="F499" s="128">
        <v>2001</v>
      </c>
      <c r="G499" s="128">
        <v>29</v>
      </c>
      <c r="H499" s="128"/>
      <c r="I499" s="128">
        <v>29</v>
      </c>
      <c r="J499" s="128" t="s">
        <v>3172</v>
      </c>
      <c r="K499" s="128">
        <v>0</v>
      </c>
      <c r="L499" s="128" t="s">
        <v>3173</v>
      </c>
      <c r="M499" s="128" t="s">
        <v>3174</v>
      </c>
      <c r="N499" s="128" t="s">
        <v>3175</v>
      </c>
      <c r="O499" s="128">
        <v>590</v>
      </c>
      <c r="P499" s="128">
        <v>125</v>
      </c>
      <c r="Q499" s="128">
        <v>90</v>
      </c>
      <c r="R499" s="128">
        <v>225</v>
      </c>
      <c r="S499" s="128">
        <v>80</v>
      </c>
      <c r="T499" s="128">
        <v>80</v>
      </c>
      <c r="U499" s="128">
        <v>600</v>
      </c>
      <c r="V499" s="128" t="s">
        <v>1547</v>
      </c>
    </row>
    <row r="500" spans="1:22" x14ac:dyDescent="0.35">
      <c r="A500" s="118">
        <v>499</v>
      </c>
      <c r="B500" s="128" t="s">
        <v>1</v>
      </c>
      <c r="C500" s="128" t="s">
        <v>194</v>
      </c>
      <c r="D500" s="128" t="s">
        <v>2391</v>
      </c>
      <c r="E500" s="128" t="s">
        <v>359</v>
      </c>
      <c r="F500" s="128">
        <v>2001</v>
      </c>
      <c r="G500" s="128">
        <v>20</v>
      </c>
      <c r="H500" s="128"/>
      <c r="I500" s="128">
        <v>20</v>
      </c>
      <c r="J500" s="128" t="s">
        <v>3176</v>
      </c>
      <c r="K500" s="128">
        <v>0</v>
      </c>
      <c r="L500" s="128" t="s">
        <v>3177</v>
      </c>
      <c r="M500" s="128" t="s">
        <v>3178</v>
      </c>
      <c r="N500" s="128" t="s">
        <v>3179</v>
      </c>
      <c r="O500" s="128">
        <v>575</v>
      </c>
      <c r="P500" s="128">
        <v>115</v>
      </c>
      <c r="Q500" s="128">
        <v>100</v>
      </c>
      <c r="R500" s="128">
        <v>215</v>
      </c>
      <c r="S500" s="128">
        <v>80</v>
      </c>
      <c r="T500" s="128">
        <v>80</v>
      </c>
      <c r="U500" s="128">
        <v>590</v>
      </c>
      <c r="V500" s="128" t="s">
        <v>1547</v>
      </c>
    </row>
    <row r="501" spans="1:22" x14ac:dyDescent="0.35">
      <c r="A501" s="118">
        <v>500</v>
      </c>
      <c r="B501" s="128" t="s">
        <v>1</v>
      </c>
      <c r="C501" s="128" t="s">
        <v>194</v>
      </c>
      <c r="D501" s="128" t="s">
        <v>3165</v>
      </c>
      <c r="E501" s="128" t="s">
        <v>358</v>
      </c>
      <c r="F501" s="128">
        <v>2018</v>
      </c>
      <c r="G501" s="128">
        <v>88</v>
      </c>
      <c r="H501" s="128">
        <v>14</v>
      </c>
      <c r="I501" s="128">
        <v>102</v>
      </c>
      <c r="J501" s="128" t="s">
        <v>3180</v>
      </c>
      <c r="K501" s="128">
        <v>64.680000000000007</v>
      </c>
      <c r="L501" s="128" t="s">
        <v>3181</v>
      </c>
      <c r="M501" s="128" t="s">
        <v>3182</v>
      </c>
      <c r="N501" s="128" t="s">
        <v>2413</v>
      </c>
      <c r="O501" s="128">
        <v>315</v>
      </c>
      <c r="P501" s="128">
        <v>90</v>
      </c>
      <c r="Q501" s="128">
        <v>75</v>
      </c>
      <c r="R501" s="128">
        <v>100</v>
      </c>
      <c r="S501" s="128">
        <v>35</v>
      </c>
      <c r="T501" s="128">
        <v>35</v>
      </c>
      <c r="U501" s="128">
        <v>335</v>
      </c>
      <c r="V501" s="128" t="s">
        <v>2643</v>
      </c>
    </row>
    <row r="502" spans="1:22" x14ac:dyDescent="0.35">
      <c r="A502" s="118">
        <v>501</v>
      </c>
      <c r="B502" s="128" t="s">
        <v>1</v>
      </c>
      <c r="C502" s="128" t="s">
        <v>195</v>
      </c>
      <c r="D502" s="128" t="s">
        <v>2391</v>
      </c>
      <c r="E502" s="128" t="s">
        <v>382</v>
      </c>
      <c r="F502" s="128">
        <v>2003</v>
      </c>
      <c r="G502" s="128">
        <v>67</v>
      </c>
      <c r="H502" s="128">
        <v>10</v>
      </c>
      <c r="I502" s="128">
        <v>77</v>
      </c>
      <c r="J502" s="128" t="s">
        <v>3183</v>
      </c>
      <c r="K502" s="128">
        <v>64.25</v>
      </c>
      <c r="L502" s="128" t="s">
        <v>1593</v>
      </c>
      <c r="M502" s="128" t="s">
        <v>3184</v>
      </c>
      <c r="N502" s="128" t="s">
        <v>3185</v>
      </c>
      <c r="O502" s="128">
        <v>699</v>
      </c>
      <c r="P502" s="128">
        <v>135</v>
      </c>
      <c r="Q502" s="128">
        <v>115</v>
      </c>
      <c r="R502" s="128">
        <v>290</v>
      </c>
      <c r="S502" s="128">
        <v>80</v>
      </c>
      <c r="T502" s="128">
        <v>80</v>
      </c>
      <c r="U502" s="128">
        <v>700</v>
      </c>
      <c r="V502" s="128" t="s">
        <v>1547</v>
      </c>
    </row>
    <row r="503" spans="1:22" x14ac:dyDescent="0.35">
      <c r="A503" s="118">
        <v>502</v>
      </c>
      <c r="B503" s="128" t="s">
        <v>1</v>
      </c>
      <c r="C503" s="128" t="s">
        <v>195</v>
      </c>
      <c r="D503" s="128" t="s">
        <v>2722</v>
      </c>
      <c r="E503" s="128" t="s">
        <v>3186</v>
      </c>
      <c r="F503" s="128">
        <v>2001</v>
      </c>
      <c r="G503" s="128">
        <v>106</v>
      </c>
      <c r="H503" s="128">
        <v>24</v>
      </c>
      <c r="I503" s="128">
        <v>130</v>
      </c>
      <c r="J503" s="128" t="s">
        <v>3183</v>
      </c>
      <c r="K503" s="128">
        <v>58.77</v>
      </c>
      <c r="L503" s="128" t="s">
        <v>1706</v>
      </c>
      <c r="M503" s="128" t="s">
        <v>1647</v>
      </c>
      <c r="N503" s="128" t="s">
        <v>3091</v>
      </c>
      <c r="O503" s="128">
        <v>588</v>
      </c>
      <c r="P503" s="128">
        <v>117</v>
      </c>
      <c r="Q503" s="128">
        <v>105</v>
      </c>
      <c r="R503" s="128">
        <v>213</v>
      </c>
      <c r="S503" s="128">
        <v>78</v>
      </c>
      <c r="T503" s="128">
        <v>80</v>
      </c>
      <c r="U503" s="128">
        <v>593</v>
      </c>
      <c r="V503" s="128" t="s">
        <v>1547</v>
      </c>
    </row>
    <row r="504" spans="1:22" x14ac:dyDescent="0.35">
      <c r="A504" s="118">
        <v>503</v>
      </c>
      <c r="B504" s="128" t="s">
        <v>1</v>
      </c>
      <c r="C504" s="128" t="s">
        <v>195</v>
      </c>
      <c r="D504" s="128" t="s">
        <v>3187</v>
      </c>
      <c r="E504" s="128" t="s">
        <v>381</v>
      </c>
      <c r="F504" s="128">
        <v>1982</v>
      </c>
      <c r="G504" s="128">
        <v>193</v>
      </c>
      <c r="H504" s="128">
        <v>23</v>
      </c>
      <c r="I504" s="128">
        <v>216</v>
      </c>
      <c r="J504" s="128" t="s">
        <v>3183</v>
      </c>
      <c r="K504" s="128">
        <v>75.84</v>
      </c>
      <c r="L504" s="128" t="s">
        <v>3188</v>
      </c>
      <c r="M504" s="128" t="s">
        <v>3189</v>
      </c>
      <c r="N504" s="128" t="s">
        <v>3190</v>
      </c>
      <c r="O504" s="128">
        <v>542</v>
      </c>
      <c r="P504" s="128">
        <v>116</v>
      </c>
      <c r="Q504" s="128">
        <v>95</v>
      </c>
      <c r="R504" s="128">
        <v>208</v>
      </c>
      <c r="S504" s="128">
        <v>52</v>
      </c>
      <c r="T504" s="128">
        <v>78</v>
      </c>
      <c r="U504" s="128">
        <v>549</v>
      </c>
      <c r="V504" s="128" t="s">
        <v>1547</v>
      </c>
    </row>
    <row r="505" spans="1:22" x14ac:dyDescent="0.35">
      <c r="A505" s="118">
        <v>504</v>
      </c>
      <c r="B505" s="128" t="s">
        <v>1</v>
      </c>
      <c r="C505" s="128" t="s">
        <v>195</v>
      </c>
      <c r="D505" s="128" t="s">
        <v>2737</v>
      </c>
      <c r="E505" s="128" t="s">
        <v>136</v>
      </c>
      <c r="F505" s="128">
        <v>2001</v>
      </c>
      <c r="G505" s="128">
        <v>77</v>
      </c>
      <c r="H505" s="128">
        <v>21</v>
      </c>
      <c r="I505" s="128">
        <v>98</v>
      </c>
      <c r="J505" s="128" t="s">
        <v>3183</v>
      </c>
      <c r="K505" s="128">
        <v>74.430000000000007</v>
      </c>
      <c r="L505" s="128" t="s">
        <v>3191</v>
      </c>
      <c r="M505" s="128" t="s">
        <v>3192</v>
      </c>
      <c r="N505" s="128" t="s">
        <v>3193</v>
      </c>
      <c r="O505" s="128">
        <v>626</v>
      </c>
      <c r="P505" s="128">
        <v>121</v>
      </c>
      <c r="Q505" s="128">
        <v>90</v>
      </c>
      <c r="R505" s="128">
        <v>265</v>
      </c>
      <c r="S505" s="128">
        <v>73</v>
      </c>
      <c r="T505" s="128">
        <v>80</v>
      </c>
      <c r="U505" s="128">
        <v>629</v>
      </c>
      <c r="V505" s="128" t="s">
        <v>1547</v>
      </c>
    </row>
    <row r="506" spans="1:22" x14ac:dyDescent="0.35">
      <c r="A506" s="118">
        <v>505</v>
      </c>
      <c r="B506" s="128" t="s">
        <v>1</v>
      </c>
      <c r="C506" s="128" t="s">
        <v>195</v>
      </c>
      <c r="D506" s="128" t="s">
        <v>3194</v>
      </c>
      <c r="E506" s="128" t="s">
        <v>3195</v>
      </c>
      <c r="F506" s="128">
        <v>1989</v>
      </c>
      <c r="G506" s="128">
        <v>202</v>
      </c>
      <c r="H506" s="128">
        <v>43</v>
      </c>
      <c r="I506" s="128">
        <v>245</v>
      </c>
      <c r="J506" s="128" t="s">
        <v>3183</v>
      </c>
      <c r="K506" s="128">
        <v>100.32</v>
      </c>
      <c r="L506" s="128" t="s">
        <v>3196</v>
      </c>
      <c r="M506" s="128" t="s">
        <v>1902</v>
      </c>
      <c r="N506" s="128" t="s">
        <v>3065</v>
      </c>
      <c r="O506" s="128">
        <v>604</v>
      </c>
      <c r="P506" s="128">
        <v>124</v>
      </c>
      <c r="Q506" s="128">
        <v>96</v>
      </c>
      <c r="R506" s="128">
        <v>239</v>
      </c>
      <c r="S506" s="128">
        <v>80</v>
      </c>
      <c r="T506" s="128">
        <v>74</v>
      </c>
      <c r="U506" s="128">
        <v>613</v>
      </c>
      <c r="V506" s="128" t="s">
        <v>1547</v>
      </c>
    </row>
    <row r="507" spans="1:22" x14ac:dyDescent="0.35">
      <c r="A507" s="118">
        <v>506</v>
      </c>
      <c r="B507" s="128" t="s">
        <v>1</v>
      </c>
      <c r="C507" s="128" t="s">
        <v>195</v>
      </c>
      <c r="D507" s="128" t="s">
        <v>3197</v>
      </c>
      <c r="E507" s="128" t="s">
        <v>379</v>
      </c>
      <c r="F507" s="128">
        <v>2001</v>
      </c>
      <c r="G507" s="128">
        <v>223</v>
      </c>
      <c r="H507" s="128">
        <v>12</v>
      </c>
      <c r="I507" s="128">
        <v>235</v>
      </c>
      <c r="J507" s="128" t="s">
        <v>3183</v>
      </c>
      <c r="K507" s="128">
        <v>60.78</v>
      </c>
      <c r="L507" s="128" t="s">
        <v>3198</v>
      </c>
      <c r="M507" s="128" t="s">
        <v>3199</v>
      </c>
      <c r="N507" s="128" t="s">
        <v>3200</v>
      </c>
      <c r="O507" s="128">
        <v>535</v>
      </c>
      <c r="P507" s="128">
        <v>111</v>
      </c>
      <c r="Q507" s="128">
        <v>100</v>
      </c>
      <c r="R507" s="128">
        <v>208</v>
      </c>
      <c r="S507" s="128">
        <v>55</v>
      </c>
      <c r="T507" s="128">
        <v>66</v>
      </c>
      <c r="U507" s="128">
        <v>540</v>
      </c>
      <c r="V507" s="128" t="s">
        <v>1547</v>
      </c>
    </row>
    <row r="508" spans="1:22" x14ac:dyDescent="0.35">
      <c r="A508" s="118">
        <v>507</v>
      </c>
      <c r="B508" s="128" t="s">
        <v>1</v>
      </c>
      <c r="C508" s="128" t="s">
        <v>195</v>
      </c>
      <c r="D508" s="128" t="s">
        <v>2391</v>
      </c>
      <c r="E508" s="128" t="s">
        <v>147</v>
      </c>
      <c r="F508" s="128">
        <v>2007</v>
      </c>
      <c r="G508" s="128">
        <v>55</v>
      </c>
      <c r="H508" s="128">
        <v>9</v>
      </c>
      <c r="I508" s="128">
        <v>64</v>
      </c>
      <c r="J508" s="128" t="s">
        <v>3183</v>
      </c>
      <c r="K508" s="128">
        <v>30.12</v>
      </c>
      <c r="L508" s="128" t="s">
        <v>3201</v>
      </c>
      <c r="M508" s="128" t="s">
        <v>3202</v>
      </c>
      <c r="N508" s="128" t="s">
        <v>3203</v>
      </c>
      <c r="O508" s="128">
        <v>593</v>
      </c>
      <c r="P508" s="128">
        <v>121</v>
      </c>
      <c r="Q508" s="128">
        <v>91</v>
      </c>
      <c r="R508" s="128">
        <v>249</v>
      </c>
      <c r="S508" s="128">
        <v>59</v>
      </c>
      <c r="T508" s="128">
        <v>80</v>
      </c>
      <c r="U508" s="128">
        <v>600</v>
      </c>
      <c r="V508" s="128" t="s">
        <v>1547</v>
      </c>
    </row>
    <row r="509" spans="1:22" x14ac:dyDescent="0.35">
      <c r="A509" s="118">
        <v>508</v>
      </c>
      <c r="B509" s="128" t="s">
        <v>1</v>
      </c>
      <c r="C509" s="128" t="s">
        <v>195</v>
      </c>
      <c r="D509" s="128" t="s">
        <v>2391</v>
      </c>
      <c r="E509" s="128" t="s">
        <v>378</v>
      </c>
      <c r="F509" s="128">
        <v>1999</v>
      </c>
      <c r="G509" s="128">
        <v>0</v>
      </c>
      <c r="H509" s="128">
        <v>0</v>
      </c>
      <c r="I509" s="128">
        <v>0</v>
      </c>
      <c r="J509" s="128" t="s">
        <v>3183</v>
      </c>
      <c r="K509" s="128">
        <v>10.27</v>
      </c>
      <c r="L509" s="128" t="s">
        <v>3204</v>
      </c>
      <c r="M509" s="128" t="s">
        <v>3205</v>
      </c>
      <c r="N509" s="128" t="s">
        <v>3206</v>
      </c>
      <c r="O509" s="128">
        <v>530</v>
      </c>
      <c r="P509" s="128">
        <v>112</v>
      </c>
      <c r="Q509" s="128">
        <v>94</v>
      </c>
      <c r="R509" s="128">
        <v>203</v>
      </c>
      <c r="S509" s="128">
        <v>61</v>
      </c>
      <c r="T509" s="128">
        <v>68</v>
      </c>
      <c r="U509" s="128">
        <v>538</v>
      </c>
      <c r="V509" s="128" t="s">
        <v>1547</v>
      </c>
    </row>
    <row r="510" spans="1:22" x14ac:dyDescent="0.35">
      <c r="A510" s="118">
        <v>509</v>
      </c>
      <c r="B510" s="128" t="s">
        <v>1</v>
      </c>
      <c r="C510" s="128" t="s">
        <v>195</v>
      </c>
      <c r="D510" s="128" t="s">
        <v>3187</v>
      </c>
      <c r="E510" s="128" t="s">
        <v>377</v>
      </c>
      <c r="F510" s="128">
        <v>2009</v>
      </c>
      <c r="G510" s="128">
        <v>0</v>
      </c>
      <c r="H510" s="128">
        <v>0</v>
      </c>
      <c r="I510" s="128">
        <v>0</v>
      </c>
      <c r="J510" s="128" t="s">
        <v>3183</v>
      </c>
      <c r="K510" s="128">
        <v>9.59</v>
      </c>
      <c r="L510" s="128" t="s">
        <v>3207</v>
      </c>
      <c r="M510" s="128" t="s">
        <v>3208</v>
      </c>
      <c r="N510" s="128" t="s">
        <v>3209</v>
      </c>
      <c r="O510" s="128">
        <v>528</v>
      </c>
      <c r="P510" s="128">
        <v>112</v>
      </c>
      <c r="Q510" s="128">
        <v>91</v>
      </c>
      <c r="R510" s="128">
        <v>210</v>
      </c>
      <c r="S510" s="128">
        <v>56</v>
      </c>
      <c r="T510" s="128">
        <v>67</v>
      </c>
      <c r="U510" s="128">
        <v>536</v>
      </c>
      <c r="V510" s="128" t="s">
        <v>1547</v>
      </c>
    </row>
    <row r="511" spans="1:22" x14ac:dyDescent="0.35">
      <c r="A511" s="118">
        <v>510</v>
      </c>
      <c r="B511" s="128" t="s">
        <v>1</v>
      </c>
      <c r="C511" s="128" t="s">
        <v>195</v>
      </c>
      <c r="D511" s="128" t="s">
        <v>2722</v>
      </c>
      <c r="E511" s="128" t="s">
        <v>3210</v>
      </c>
      <c r="F511" s="128">
        <v>2018</v>
      </c>
      <c r="G511" s="128">
        <v>108</v>
      </c>
      <c r="H511" s="128">
        <v>12</v>
      </c>
      <c r="I511" s="128">
        <v>120</v>
      </c>
      <c r="J511" s="128" t="s">
        <v>3183</v>
      </c>
      <c r="K511" s="128">
        <v>69.180000000000007</v>
      </c>
      <c r="L511" s="128" t="s">
        <v>3211</v>
      </c>
      <c r="M511" s="128" t="s">
        <v>3212</v>
      </c>
      <c r="N511" s="128" t="s">
        <v>1584</v>
      </c>
      <c r="O511" s="128">
        <v>167</v>
      </c>
      <c r="P511" s="128">
        <v>53</v>
      </c>
      <c r="Q511" s="128">
        <v>41</v>
      </c>
      <c r="R511" s="128">
        <v>50</v>
      </c>
      <c r="S511" s="128">
        <v>8</v>
      </c>
      <c r="T511" s="128">
        <v>26</v>
      </c>
      <c r="U511" s="128">
        <v>178</v>
      </c>
      <c r="V511" s="128" t="s">
        <v>3122</v>
      </c>
    </row>
    <row r="512" spans="1:22" x14ac:dyDescent="0.35">
      <c r="A512" s="118">
        <v>511</v>
      </c>
      <c r="B512" s="128" t="s">
        <v>1</v>
      </c>
      <c r="C512" s="128" t="s">
        <v>195</v>
      </c>
      <c r="D512" s="128" t="s">
        <v>2391</v>
      </c>
      <c r="E512" s="128" t="s">
        <v>2708</v>
      </c>
      <c r="F512" s="128">
        <v>2018</v>
      </c>
      <c r="G512" s="128">
        <v>43</v>
      </c>
      <c r="H512" s="128">
        <v>8</v>
      </c>
      <c r="I512" s="128">
        <v>51</v>
      </c>
      <c r="J512" s="128" t="s">
        <v>3183</v>
      </c>
      <c r="K512" s="128">
        <v>78.91</v>
      </c>
      <c r="L512" s="128" t="s">
        <v>3213</v>
      </c>
      <c r="M512" s="128" t="s">
        <v>3214</v>
      </c>
      <c r="N512" s="128" t="s">
        <v>3215</v>
      </c>
      <c r="O512" s="128">
        <v>192</v>
      </c>
      <c r="P512" s="128">
        <v>57</v>
      </c>
      <c r="Q512" s="128">
        <v>45</v>
      </c>
      <c r="R512" s="128">
        <v>60</v>
      </c>
      <c r="S512" s="128">
        <v>8</v>
      </c>
      <c r="T512" s="128">
        <v>30</v>
      </c>
      <c r="U512" s="128">
        <v>200</v>
      </c>
      <c r="V512" s="128" t="s">
        <v>3122</v>
      </c>
    </row>
    <row r="513" spans="1:22" x14ac:dyDescent="0.35">
      <c r="A513" s="118">
        <v>512</v>
      </c>
      <c r="B513" s="128" t="s">
        <v>1</v>
      </c>
      <c r="C513" s="128" t="s">
        <v>195</v>
      </c>
      <c r="D513" s="128" t="s">
        <v>2391</v>
      </c>
      <c r="E513" s="128" t="s">
        <v>2854</v>
      </c>
      <c r="F513" s="128">
        <v>2018</v>
      </c>
      <c r="G513" s="128">
        <v>78</v>
      </c>
      <c r="H513" s="128">
        <v>5</v>
      </c>
      <c r="I513" s="128">
        <v>83</v>
      </c>
      <c r="J513" s="128" t="s">
        <v>3183</v>
      </c>
      <c r="K513" s="128">
        <v>43.01</v>
      </c>
      <c r="L513" s="128" t="s">
        <v>3216</v>
      </c>
      <c r="M513" s="128" t="s">
        <v>3217</v>
      </c>
      <c r="N513" s="128" t="s">
        <v>3218</v>
      </c>
      <c r="O513" s="128">
        <v>177</v>
      </c>
      <c r="P513" s="128">
        <v>52</v>
      </c>
      <c r="Q513" s="128">
        <v>41</v>
      </c>
      <c r="R513" s="128">
        <v>60</v>
      </c>
      <c r="S513" s="128">
        <v>8</v>
      </c>
      <c r="T513" s="128">
        <v>26</v>
      </c>
      <c r="U513" s="128">
        <v>187</v>
      </c>
      <c r="V513" s="128" t="s">
        <v>3122</v>
      </c>
    </row>
    <row r="514" spans="1:22" x14ac:dyDescent="0.35">
      <c r="A514" s="118">
        <v>513</v>
      </c>
      <c r="B514" s="128" t="s">
        <v>1</v>
      </c>
      <c r="C514" s="128" t="s">
        <v>195</v>
      </c>
      <c r="D514" s="128" t="s">
        <v>2737</v>
      </c>
      <c r="E514" s="128" t="s">
        <v>32</v>
      </c>
      <c r="F514" s="128">
        <v>2020</v>
      </c>
      <c r="G514" s="128">
        <v>93</v>
      </c>
      <c r="H514" s="128">
        <v>21</v>
      </c>
      <c r="I514" s="128">
        <v>114</v>
      </c>
      <c r="J514" s="128" t="s">
        <v>3183</v>
      </c>
      <c r="K514" s="128">
        <v>51.6</v>
      </c>
      <c r="L514" s="128" t="s">
        <v>3219</v>
      </c>
      <c r="M514" s="128" t="s">
        <v>1709</v>
      </c>
      <c r="N514" s="128" t="s">
        <v>1657</v>
      </c>
      <c r="O514" s="128">
        <v>127</v>
      </c>
      <c r="P514" s="128">
        <v>37</v>
      </c>
      <c r="Q514" s="128">
        <v>30</v>
      </c>
      <c r="R514" s="128">
        <v>41</v>
      </c>
      <c r="S514" s="128">
        <v>8</v>
      </c>
      <c r="T514" s="128">
        <v>21</v>
      </c>
      <c r="U514" s="128">
        <v>137</v>
      </c>
      <c r="V514" s="128" t="s">
        <v>3122</v>
      </c>
    </row>
    <row r="515" spans="1:22" x14ac:dyDescent="0.35">
      <c r="A515" s="118">
        <v>514</v>
      </c>
      <c r="B515" s="128" t="s">
        <v>1</v>
      </c>
      <c r="C515" s="128" t="s">
        <v>196</v>
      </c>
      <c r="D515" s="128" t="s">
        <v>3220</v>
      </c>
      <c r="E515" s="128" t="s">
        <v>3221</v>
      </c>
      <c r="F515" s="128">
        <v>1998</v>
      </c>
      <c r="G515" s="128">
        <v>149</v>
      </c>
      <c r="H515" s="128">
        <v>12</v>
      </c>
      <c r="I515" s="128">
        <v>161</v>
      </c>
      <c r="J515" s="128" t="s">
        <v>3222</v>
      </c>
      <c r="K515" s="128">
        <v>123.33199999999999</v>
      </c>
      <c r="L515" s="128" t="s">
        <v>1580</v>
      </c>
      <c r="M515" s="128" t="s">
        <v>3223</v>
      </c>
      <c r="N515" s="128" t="s">
        <v>3224</v>
      </c>
      <c r="O515" s="128">
        <v>685</v>
      </c>
      <c r="P515" s="128">
        <v>135</v>
      </c>
      <c r="Q515" s="128">
        <v>115</v>
      </c>
      <c r="R515" s="128">
        <v>279</v>
      </c>
      <c r="S515" s="128">
        <v>80</v>
      </c>
      <c r="T515" s="128">
        <v>80</v>
      </c>
      <c r="U515" s="128">
        <v>689</v>
      </c>
      <c r="V515" s="128" t="s">
        <v>1547</v>
      </c>
    </row>
    <row r="516" spans="1:22" x14ac:dyDescent="0.35">
      <c r="A516" s="118">
        <v>515</v>
      </c>
      <c r="B516" s="128" t="s">
        <v>1</v>
      </c>
      <c r="C516" s="128" t="s">
        <v>196</v>
      </c>
      <c r="D516" s="128" t="s">
        <v>3220</v>
      </c>
      <c r="E516" s="128" t="s">
        <v>3225</v>
      </c>
      <c r="F516" s="128">
        <v>2005</v>
      </c>
      <c r="G516" s="128">
        <v>87</v>
      </c>
      <c r="H516" s="128">
        <v>21</v>
      </c>
      <c r="I516" s="128">
        <v>108</v>
      </c>
      <c r="J516" s="128" t="s">
        <v>3222</v>
      </c>
      <c r="K516" s="128">
        <v>96.199999999999989</v>
      </c>
      <c r="L516" s="128" t="s">
        <v>1647</v>
      </c>
      <c r="M516" s="128" t="s">
        <v>3226</v>
      </c>
      <c r="N516" s="128" t="s">
        <v>3227</v>
      </c>
      <c r="O516" s="128">
        <v>575</v>
      </c>
      <c r="P516" s="128">
        <v>128</v>
      </c>
      <c r="Q516" s="128">
        <v>98</v>
      </c>
      <c r="R516" s="128">
        <v>206</v>
      </c>
      <c r="S516" s="128">
        <v>80</v>
      </c>
      <c r="T516" s="128">
        <v>80</v>
      </c>
      <c r="U516" s="128">
        <v>592</v>
      </c>
      <c r="V516" s="128" t="s">
        <v>1547</v>
      </c>
    </row>
    <row r="517" spans="1:22" x14ac:dyDescent="0.35">
      <c r="A517" s="118">
        <v>516</v>
      </c>
      <c r="B517" s="128" t="s">
        <v>1</v>
      </c>
      <c r="C517" s="128" t="s">
        <v>196</v>
      </c>
      <c r="D517" s="128" t="s">
        <v>3228</v>
      </c>
      <c r="E517" s="128" t="s">
        <v>3229</v>
      </c>
      <c r="F517" s="128">
        <v>1984</v>
      </c>
      <c r="G517" s="128">
        <v>80</v>
      </c>
      <c r="H517" s="128">
        <v>5</v>
      </c>
      <c r="I517" s="128">
        <v>85</v>
      </c>
      <c r="J517" s="128" t="s">
        <v>3222</v>
      </c>
      <c r="K517" s="128">
        <v>70.889999999999986</v>
      </c>
      <c r="L517" s="128" t="s">
        <v>3230</v>
      </c>
      <c r="M517" s="128" t="s">
        <v>3065</v>
      </c>
      <c r="N517" s="128" t="s">
        <v>2883</v>
      </c>
      <c r="O517" s="128">
        <v>453</v>
      </c>
      <c r="P517" s="128">
        <v>100</v>
      </c>
      <c r="Q517" s="128">
        <v>80</v>
      </c>
      <c r="R517" s="128">
        <v>185</v>
      </c>
      <c r="S517" s="128">
        <v>40</v>
      </c>
      <c r="T517" s="128">
        <v>50</v>
      </c>
      <c r="U517" s="128">
        <v>455</v>
      </c>
      <c r="V517" s="128" t="s">
        <v>2643</v>
      </c>
    </row>
    <row r="518" spans="1:22" x14ac:dyDescent="0.35">
      <c r="A518" s="118">
        <v>517</v>
      </c>
      <c r="B518" s="128" t="s">
        <v>1</v>
      </c>
      <c r="C518" s="128" t="s">
        <v>196</v>
      </c>
      <c r="D518" s="128" t="s">
        <v>3228</v>
      </c>
      <c r="E518" s="128" t="s">
        <v>3231</v>
      </c>
      <c r="F518" s="128">
        <v>2005</v>
      </c>
      <c r="G518" s="128">
        <v>56</v>
      </c>
      <c r="H518" s="128">
        <v>5</v>
      </c>
      <c r="I518" s="128">
        <v>61</v>
      </c>
      <c r="J518" s="128" t="s">
        <v>3222</v>
      </c>
      <c r="K518" s="128">
        <v>73.44</v>
      </c>
      <c r="L518" s="128" t="s">
        <v>3232</v>
      </c>
      <c r="M518" s="128" t="s">
        <v>3233</v>
      </c>
      <c r="N518" s="128" t="s">
        <v>3234</v>
      </c>
      <c r="O518" s="128">
        <v>556</v>
      </c>
      <c r="P518" s="128">
        <v>128</v>
      </c>
      <c r="Q518" s="128">
        <v>101</v>
      </c>
      <c r="R518" s="128">
        <v>207</v>
      </c>
      <c r="S518" s="128">
        <v>77</v>
      </c>
      <c r="T518" s="128">
        <v>72</v>
      </c>
      <c r="U518" s="128">
        <v>585</v>
      </c>
      <c r="V518" s="128" t="s">
        <v>1547</v>
      </c>
    </row>
    <row r="519" spans="1:22" x14ac:dyDescent="0.35">
      <c r="A519" s="118">
        <v>518</v>
      </c>
      <c r="B519" s="128" t="s">
        <v>1</v>
      </c>
      <c r="C519" s="128" t="s">
        <v>196</v>
      </c>
      <c r="D519" s="128" t="s">
        <v>3228</v>
      </c>
      <c r="E519" s="128" t="s">
        <v>3235</v>
      </c>
      <c r="F519" s="128">
        <v>2006</v>
      </c>
      <c r="G519" s="128">
        <v>68</v>
      </c>
      <c r="H519" s="128">
        <v>11</v>
      </c>
      <c r="I519" s="128">
        <v>79</v>
      </c>
      <c r="J519" s="128" t="s">
        <v>3222</v>
      </c>
      <c r="K519" s="128">
        <v>78.150000000000006</v>
      </c>
      <c r="L519" s="128" t="s">
        <v>3236</v>
      </c>
      <c r="M519" s="128" t="s">
        <v>3237</v>
      </c>
      <c r="N519" s="128" t="s">
        <v>3238</v>
      </c>
      <c r="O519" s="128">
        <v>483</v>
      </c>
      <c r="P519" s="128">
        <v>110</v>
      </c>
      <c r="Q519" s="128">
        <v>89</v>
      </c>
      <c r="R519" s="128">
        <v>314</v>
      </c>
      <c r="S519" s="128">
        <v>45</v>
      </c>
      <c r="T519" s="128">
        <v>65</v>
      </c>
      <c r="U519" s="128">
        <v>623</v>
      </c>
      <c r="V519" s="128" t="s">
        <v>1547</v>
      </c>
    </row>
    <row r="520" spans="1:22" x14ac:dyDescent="0.35">
      <c r="A520" s="118">
        <v>519</v>
      </c>
      <c r="B520" s="128" t="s">
        <v>1</v>
      </c>
      <c r="C520" s="128" t="s">
        <v>196</v>
      </c>
      <c r="D520" s="128" t="s">
        <v>3239</v>
      </c>
      <c r="E520" s="128" t="s">
        <v>3240</v>
      </c>
      <c r="F520" s="128">
        <v>2003</v>
      </c>
      <c r="G520" s="128">
        <v>111</v>
      </c>
      <c r="H520" s="128">
        <v>12</v>
      </c>
      <c r="I520" s="128">
        <v>123</v>
      </c>
      <c r="J520" s="128" t="s">
        <v>3222</v>
      </c>
      <c r="K520" s="128">
        <v>86.164999999999992</v>
      </c>
      <c r="L520" s="128" t="s">
        <v>3241</v>
      </c>
      <c r="M520" s="128" t="s">
        <v>3242</v>
      </c>
      <c r="N520" s="128" t="s">
        <v>2270</v>
      </c>
      <c r="O520" s="128">
        <v>812</v>
      </c>
      <c r="P520" s="128">
        <v>185</v>
      </c>
      <c r="Q520" s="128">
        <v>135</v>
      </c>
      <c r="R520" s="128">
        <v>314</v>
      </c>
      <c r="S520" s="128">
        <v>96</v>
      </c>
      <c r="T520" s="128">
        <v>110</v>
      </c>
      <c r="U520" s="128">
        <v>840</v>
      </c>
      <c r="V520" s="128" t="s">
        <v>2702</v>
      </c>
    </row>
    <row r="521" spans="1:22" x14ac:dyDescent="0.35">
      <c r="A521" s="118">
        <v>520</v>
      </c>
      <c r="B521" s="128" t="s">
        <v>1</v>
      </c>
      <c r="C521" s="128" t="s">
        <v>196</v>
      </c>
      <c r="D521" s="128" t="s">
        <v>3239</v>
      </c>
      <c r="E521" s="128" t="s">
        <v>498</v>
      </c>
      <c r="F521" s="128">
        <v>2007</v>
      </c>
      <c r="G521" s="128">
        <v>54</v>
      </c>
      <c r="H521" s="128">
        <v>8</v>
      </c>
      <c r="I521" s="128">
        <v>62</v>
      </c>
      <c r="J521" s="128" t="s">
        <v>3222</v>
      </c>
      <c r="K521" s="128">
        <v>110.64</v>
      </c>
      <c r="L521" s="128" t="s">
        <v>3243</v>
      </c>
      <c r="M521" s="128" t="s">
        <v>3244</v>
      </c>
      <c r="N521" s="128" t="s">
        <v>2133</v>
      </c>
      <c r="O521" s="128">
        <v>574</v>
      </c>
      <c r="P521" s="128">
        <v>128</v>
      </c>
      <c r="Q521" s="128">
        <v>112</v>
      </c>
      <c r="R521" s="128">
        <v>211</v>
      </c>
      <c r="S521" s="128">
        <v>75</v>
      </c>
      <c r="T521" s="128">
        <v>74</v>
      </c>
      <c r="U521" s="128">
        <v>600</v>
      </c>
      <c r="V521" s="128" t="s">
        <v>1547</v>
      </c>
    </row>
    <row r="522" spans="1:22" x14ac:dyDescent="0.35">
      <c r="A522" s="118">
        <v>521</v>
      </c>
      <c r="B522" s="128" t="s">
        <v>1</v>
      </c>
      <c r="C522" s="128" t="s">
        <v>196</v>
      </c>
      <c r="D522" s="128" t="s">
        <v>3245</v>
      </c>
      <c r="E522" s="128" t="s">
        <v>3246</v>
      </c>
      <c r="F522" s="128">
        <v>2005</v>
      </c>
      <c r="G522" s="128">
        <v>92</v>
      </c>
      <c r="H522" s="128">
        <v>20</v>
      </c>
      <c r="I522" s="128">
        <v>112</v>
      </c>
      <c r="J522" s="128" t="s">
        <v>3222</v>
      </c>
      <c r="K522" s="128">
        <v>36.35</v>
      </c>
      <c r="L522" s="128" t="s">
        <v>1768</v>
      </c>
      <c r="M522" s="128" t="s">
        <v>1919</v>
      </c>
      <c r="N522" s="128" t="s">
        <v>1770</v>
      </c>
      <c r="O522" s="128">
        <v>513</v>
      </c>
      <c r="P522" s="128">
        <v>117</v>
      </c>
      <c r="Q522" s="128">
        <v>101</v>
      </c>
      <c r="R522" s="128">
        <v>211</v>
      </c>
      <c r="S522" s="128">
        <v>53</v>
      </c>
      <c r="T522" s="128">
        <v>60</v>
      </c>
      <c r="U522" s="128">
        <v>542</v>
      </c>
      <c r="V522" s="128" t="s">
        <v>1547</v>
      </c>
    </row>
    <row r="523" spans="1:22" x14ac:dyDescent="0.35">
      <c r="A523" s="118">
        <v>522</v>
      </c>
      <c r="B523" s="128" t="s">
        <v>1</v>
      </c>
      <c r="C523" s="128" t="s">
        <v>196</v>
      </c>
      <c r="D523" s="128" t="s">
        <v>3245</v>
      </c>
      <c r="E523" s="128" t="s">
        <v>475</v>
      </c>
      <c r="F523" s="128">
        <v>2004</v>
      </c>
      <c r="G523" s="128">
        <v>104</v>
      </c>
      <c r="H523" s="128">
        <v>10</v>
      </c>
      <c r="I523" s="128">
        <v>114</v>
      </c>
      <c r="J523" s="128" t="s">
        <v>3222</v>
      </c>
      <c r="K523" s="128">
        <v>49.050000000000004</v>
      </c>
      <c r="L523" s="128" t="s">
        <v>3247</v>
      </c>
      <c r="M523" s="128" t="s">
        <v>3248</v>
      </c>
      <c r="N523" s="128" t="s">
        <v>1812</v>
      </c>
      <c r="O523" s="128">
        <v>570</v>
      </c>
      <c r="P523" s="128">
        <v>131</v>
      </c>
      <c r="Q523" s="128">
        <v>104</v>
      </c>
      <c r="R523" s="128">
        <v>211</v>
      </c>
      <c r="S523" s="128">
        <v>72</v>
      </c>
      <c r="T523" s="128">
        <v>74</v>
      </c>
      <c r="U523" s="128">
        <v>592</v>
      </c>
      <c r="V523" s="128" t="s">
        <v>1547</v>
      </c>
    </row>
    <row r="524" spans="1:22" x14ac:dyDescent="0.35">
      <c r="A524" s="118">
        <v>523</v>
      </c>
      <c r="B524" s="128" t="s">
        <v>1</v>
      </c>
      <c r="C524" s="128" t="s">
        <v>196</v>
      </c>
      <c r="D524" s="128" t="s">
        <v>3249</v>
      </c>
      <c r="E524" s="128" t="s">
        <v>3250</v>
      </c>
      <c r="F524" s="128">
        <v>1992</v>
      </c>
      <c r="G524" s="128">
        <v>64</v>
      </c>
      <c r="H524" s="128">
        <v>8</v>
      </c>
      <c r="I524" s="128">
        <v>72</v>
      </c>
      <c r="J524" s="128" t="s">
        <v>3222</v>
      </c>
      <c r="K524" s="128">
        <v>63.5</v>
      </c>
      <c r="L524" s="128" t="s">
        <v>1649</v>
      </c>
      <c r="M524" s="128" t="s">
        <v>3251</v>
      </c>
      <c r="N524" s="128" t="s">
        <v>1536</v>
      </c>
      <c r="O524" s="128">
        <v>488</v>
      </c>
      <c r="P524" s="128">
        <v>121</v>
      </c>
      <c r="Q524" s="128">
        <v>97</v>
      </c>
      <c r="R524" s="128">
        <v>212</v>
      </c>
      <c r="S524" s="128">
        <v>50</v>
      </c>
      <c r="T524" s="128">
        <v>75</v>
      </c>
      <c r="U524" s="128">
        <v>592</v>
      </c>
      <c r="V524" s="128" t="s">
        <v>1547</v>
      </c>
    </row>
    <row r="525" spans="1:22" x14ac:dyDescent="0.35">
      <c r="A525" s="118">
        <v>524</v>
      </c>
      <c r="B525" s="128" t="s">
        <v>1</v>
      </c>
      <c r="C525" s="128" t="s">
        <v>196</v>
      </c>
      <c r="D525" s="128" t="s">
        <v>3249</v>
      </c>
      <c r="E525" s="128" t="s">
        <v>3252</v>
      </c>
      <c r="F525" s="128">
        <v>2005</v>
      </c>
      <c r="G525" s="128">
        <v>146</v>
      </c>
      <c r="H525" s="128">
        <v>26</v>
      </c>
      <c r="I525" s="128">
        <v>172</v>
      </c>
      <c r="J525" s="128" t="s">
        <v>3222</v>
      </c>
      <c r="K525" s="128">
        <v>100.995</v>
      </c>
      <c r="L525" s="128" t="s">
        <v>2197</v>
      </c>
      <c r="M525" s="128" t="s">
        <v>3253</v>
      </c>
      <c r="N525" s="128" t="s">
        <v>3236</v>
      </c>
      <c r="O525" s="128">
        <v>482</v>
      </c>
      <c r="P525" s="128">
        <v>115</v>
      </c>
      <c r="Q525" s="128">
        <v>96</v>
      </c>
      <c r="R525" s="128">
        <v>212</v>
      </c>
      <c r="S525" s="128">
        <v>55</v>
      </c>
      <c r="T525" s="128">
        <v>76</v>
      </c>
      <c r="U525" s="128">
        <v>554</v>
      </c>
      <c r="V525" s="128" t="s">
        <v>1547</v>
      </c>
    </row>
    <row r="526" spans="1:22" x14ac:dyDescent="0.35">
      <c r="A526" s="118">
        <v>525</v>
      </c>
      <c r="B526" s="128" t="s">
        <v>1</v>
      </c>
      <c r="C526" s="128" t="s">
        <v>196</v>
      </c>
      <c r="D526" s="128" t="s">
        <v>3249</v>
      </c>
      <c r="E526" s="128" t="s">
        <v>3254</v>
      </c>
      <c r="F526" s="128">
        <v>2005</v>
      </c>
      <c r="G526" s="128">
        <v>105</v>
      </c>
      <c r="H526" s="128">
        <v>7</v>
      </c>
      <c r="I526" s="128">
        <v>112</v>
      </c>
      <c r="J526" s="128" t="s">
        <v>3222</v>
      </c>
      <c r="K526" s="128">
        <v>91.655000000000001</v>
      </c>
      <c r="L526" s="128" t="s">
        <v>3255</v>
      </c>
      <c r="M526" s="128" t="s">
        <v>3256</v>
      </c>
      <c r="N526" s="128" t="s">
        <v>3257</v>
      </c>
      <c r="O526" s="128">
        <v>507</v>
      </c>
      <c r="P526" s="128">
        <v>118</v>
      </c>
      <c r="Q526" s="128">
        <v>101</v>
      </c>
      <c r="R526" s="128">
        <v>206</v>
      </c>
      <c r="S526" s="128">
        <v>52</v>
      </c>
      <c r="T526" s="128">
        <v>65</v>
      </c>
      <c r="U526" s="128">
        <v>542</v>
      </c>
      <c r="V526" s="128" t="s">
        <v>1547</v>
      </c>
    </row>
    <row r="527" spans="1:22" x14ac:dyDescent="0.35">
      <c r="A527" s="118">
        <v>526</v>
      </c>
      <c r="B527" s="128" t="s">
        <v>1</v>
      </c>
      <c r="C527" s="128" t="s">
        <v>196</v>
      </c>
      <c r="D527" s="128" t="s">
        <v>3258</v>
      </c>
      <c r="E527" s="128" t="s">
        <v>3259</v>
      </c>
      <c r="F527" s="128">
        <v>2005</v>
      </c>
      <c r="G527" s="128">
        <v>144</v>
      </c>
      <c r="H527" s="128">
        <v>11</v>
      </c>
      <c r="I527" s="128">
        <v>155</v>
      </c>
      <c r="J527" s="128" t="s">
        <v>3222</v>
      </c>
      <c r="K527" s="128">
        <v>73.074999999999989</v>
      </c>
      <c r="L527" s="128" t="s">
        <v>1696</v>
      </c>
      <c r="M527" s="128" t="s">
        <v>3260</v>
      </c>
      <c r="N527" s="128" t="s">
        <v>3261</v>
      </c>
      <c r="O527" s="128">
        <v>570</v>
      </c>
      <c r="P527" s="128">
        <v>120</v>
      </c>
      <c r="Q527" s="128">
        <v>109</v>
      </c>
      <c r="R527" s="128">
        <v>199</v>
      </c>
      <c r="S527" s="128">
        <v>76</v>
      </c>
      <c r="T527" s="128">
        <v>80</v>
      </c>
      <c r="U527" s="128">
        <v>584</v>
      </c>
      <c r="V527" s="128" t="s">
        <v>1547</v>
      </c>
    </row>
    <row r="528" spans="1:22" x14ac:dyDescent="0.35">
      <c r="A528" s="118">
        <v>527</v>
      </c>
      <c r="B528" s="128" t="s">
        <v>1</v>
      </c>
      <c r="C528" s="128" t="s">
        <v>196</v>
      </c>
      <c r="D528" s="128" t="s">
        <v>3258</v>
      </c>
      <c r="E528" s="128" t="s">
        <v>3262</v>
      </c>
      <c r="F528" s="128">
        <v>1995</v>
      </c>
      <c r="G528" s="128">
        <v>119</v>
      </c>
      <c r="H528" s="128">
        <v>17</v>
      </c>
      <c r="I528" s="128">
        <v>136</v>
      </c>
      <c r="J528" s="128" t="s">
        <v>3222</v>
      </c>
      <c r="K528" s="128">
        <v>58.3</v>
      </c>
      <c r="L528" s="128" t="s">
        <v>1813</v>
      </c>
      <c r="M528" s="128" t="s">
        <v>2476</v>
      </c>
      <c r="N528" s="128" t="s">
        <v>3047</v>
      </c>
      <c r="O528" s="128">
        <v>585</v>
      </c>
      <c r="P528" s="128">
        <v>131</v>
      </c>
      <c r="Q528" s="128">
        <v>109</v>
      </c>
      <c r="R528" s="128">
        <v>212</v>
      </c>
      <c r="S528" s="128">
        <v>76</v>
      </c>
      <c r="T528" s="128">
        <v>80</v>
      </c>
      <c r="U528" s="128">
        <v>608</v>
      </c>
      <c r="V528" s="128" t="s">
        <v>1547</v>
      </c>
    </row>
    <row r="529" spans="1:22" x14ac:dyDescent="0.35">
      <c r="A529" s="118">
        <v>528</v>
      </c>
      <c r="B529" s="128" t="s">
        <v>1</v>
      </c>
      <c r="C529" s="128" t="s">
        <v>196</v>
      </c>
      <c r="D529" s="128" t="s">
        <v>3220</v>
      </c>
      <c r="E529" s="128" t="s">
        <v>3263</v>
      </c>
      <c r="F529" s="128">
        <v>1998</v>
      </c>
      <c r="G529" s="128">
        <v>0</v>
      </c>
      <c r="H529" s="128">
        <v>20</v>
      </c>
      <c r="I529" s="128">
        <v>20</v>
      </c>
      <c r="J529" s="128" t="s">
        <v>3264</v>
      </c>
      <c r="K529" s="128">
        <v>0</v>
      </c>
      <c r="L529" s="128" t="s">
        <v>3265</v>
      </c>
      <c r="M529" s="128" t="s">
        <v>3266</v>
      </c>
      <c r="N529" s="128" t="s">
        <v>3267</v>
      </c>
      <c r="O529" s="128">
        <v>446</v>
      </c>
      <c r="P529" s="128">
        <v>100</v>
      </c>
      <c r="Q529" s="128">
        <v>80</v>
      </c>
      <c r="R529" s="128">
        <v>183</v>
      </c>
      <c r="S529" s="128">
        <v>40</v>
      </c>
      <c r="T529" s="128">
        <v>46</v>
      </c>
      <c r="U529" s="128">
        <v>449</v>
      </c>
      <c r="V529" s="128" t="s">
        <v>2643</v>
      </c>
    </row>
    <row r="530" spans="1:22" x14ac:dyDescent="0.35">
      <c r="A530" s="118">
        <v>529</v>
      </c>
      <c r="B530" s="128" t="s">
        <v>1</v>
      </c>
      <c r="C530" s="128" t="s">
        <v>197</v>
      </c>
      <c r="D530" s="128" t="s">
        <v>2391</v>
      </c>
      <c r="E530" s="128" t="s">
        <v>3268</v>
      </c>
      <c r="F530" s="128">
        <v>1983</v>
      </c>
      <c r="G530" s="128">
        <v>33</v>
      </c>
      <c r="H530" s="128">
        <v>7</v>
      </c>
      <c r="I530" s="128">
        <v>40</v>
      </c>
      <c r="J530" s="128" t="s">
        <v>3269</v>
      </c>
      <c r="K530" s="128">
        <v>34.011499999999998</v>
      </c>
      <c r="L530" s="128" t="s">
        <v>3270</v>
      </c>
      <c r="M530" s="128" t="s">
        <v>3271</v>
      </c>
      <c r="N530" s="128" t="s">
        <v>3272</v>
      </c>
      <c r="O530" s="128">
        <v>498</v>
      </c>
      <c r="P530" s="128">
        <v>105</v>
      </c>
      <c r="Q530" s="128">
        <v>92</v>
      </c>
      <c r="R530" s="128">
        <v>204</v>
      </c>
      <c r="S530" s="128">
        <v>46</v>
      </c>
      <c r="T530" s="128">
        <v>55</v>
      </c>
      <c r="U530" s="128">
        <v>502</v>
      </c>
      <c r="V530" s="128" t="s">
        <v>1547</v>
      </c>
    </row>
    <row r="531" spans="1:22" x14ac:dyDescent="0.35">
      <c r="A531" s="118">
        <v>530</v>
      </c>
      <c r="B531" s="128" t="s">
        <v>1</v>
      </c>
      <c r="C531" s="128" t="s">
        <v>197</v>
      </c>
      <c r="D531" s="128" t="s">
        <v>2391</v>
      </c>
      <c r="E531" s="128" t="s">
        <v>409</v>
      </c>
      <c r="F531" s="128">
        <v>1983</v>
      </c>
      <c r="G531" s="128">
        <v>55</v>
      </c>
      <c r="H531" s="128">
        <v>2</v>
      </c>
      <c r="I531" s="128">
        <v>57</v>
      </c>
      <c r="J531" s="128" t="s">
        <v>3269</v>
      </c>
      <c r="K531" s="128">
        <v>49.790399999999998</v>
      </c>
      <c r="L531" s="128" t="s">
        <v>3273</v>
      </c>
      <c r="M531" s="128" t="s">
        <v>3274</v>
      </c>
      <c r="N531" s="128" t="s">
        <v>2243</v>
      </c>
      <c r="O531" s="128">
        <v>478</v>
      </c>
      <c r="P531" s="128">
        <v>102</v>
      </c>
      <c r="Q531" s="128">
        <v>87</v>
      </c>
      <c r="R531" s="128">
        <v>196</v>
      </c>
      <c r="S531" s="128">
        <v>42</v>
      </c>
      <c r="T531" s="128">
        <v>55</v>
      </c>
      <c r="U531" s="128">
        <v>482</v>
      </c>
      <c r="V531" s="128" t="s">
        <v>1547</v>
      </c>
    </row>
    <row r="532" spans="1:22" x14ac:dyDescent="0.35">
      <c r="A532" s="118">
        <v>531</v>
      </c>
      <c r="B532" s="128" t="s">
        <v>1</v>
      </c>
      <c r="C532" s="128" t="s">
        <v>197</v>
      </c>
      <c r="D532" s="128" t="s">
        <v>3275</v>
      </c>
      <c r="E532" s="128" t="s">
        <v>104</v>
      </c>
      <c r="F532" s="128">
        <v>1983</v>
      </c>
      <c r="G532" s="128">
        <v>96</v>
      </c>
      <c r="H532" s="128">
        <v>9</v>
      </c>
      <c r="I532" s="128">
        <v>105</v>
      </c>
      <c r="J532" s="128" t="s">
        <v>3269</v>
      </c>
      <c r="K532" s="128">
        <v>85.987899999999996</v>
      </c>
      <c r="L532" s="128" t="s">
        <v>3276</v>
      </c>
      <c r="M532" s="128" t="s">
        <v>3277</v>
      </c>
      <c r="N532" s="128" t="s">
        <v>3027</v>
      </c>
      <c r="O532" s="128">
        <v>478</v>
      </c>
      <c r="P532" s="128">
        <v>102</v>
      </c>
      <c r="Q532" s="128">
        <v>86</v>
      </c>
      <c r="R532" s="128">
        <v>198</v>
      </c>
      <c r="S532" s="128">
        <v>45</v>
      </c>
      <c r="T532" s="128">
        <v>55</v>
      </c>
      <c r="U532" s="128">
        <v>486</v>
      </c>
      <c r="V532" s="128" t="s">
        <v>1547</v>
      </c>
    </row>
    <row r="533" spans="1:22" x14ac:dyDescent="0.35">
      <c r="A533" s="118">
        <v>532</v>
      </c>
      <c r="B533" s="128" t="s">
        <v>1</v>
      </c>
      <c r="C533" s="128" t="s">
        <v>197</v>
      </c>
      <c r="D533" s="128" t="s">
        <v>3275</v>
      </c>
      <c r="E533" s="128" t="s">
        <v>407</v>
      </c>
      <c r="F533" s="128">
        <v>1983</v>
      </c>
      <c r="G533" s="128">
        <v>70</v>
      </c>
      <c r="H533" s="128">
        <v>21</v>
      </c>
      <c r="I533" s="128">
        <v>91</v>
      </c>
      <c r="J533" s="128" t="s">
        <v>3269</v>
      </c>
      <c r="K533" s="128">
        <v>104.71513</v>
      </c>
      <c r="L533" s="128" t="s">
        <v>2595</v>
      </c>
      <c r="M533" s="128" t="s">
        <v>1776</v>
      </c>
      <c r="N533" s="128" t="s">
        <v>1856</v>
      </c>
      <c r="O533" s="128">
        <v>568</v>
      </c>
      <c r="P533" s="128">
        <v>116</v>
      </c>
      <c r="Q533" s="128">
        <v>98</v>
      </c>
      <c r="R533" s="128">
        <v>240</v>
      </c>
      <c r="S533" s="128">
        <v>51</v>
      </c>
      <c r="T533" s="128">
        <v>70</v>
      </c>
      <c r="U533" s="128">
        <v>575</v>
      </c>
      <c r="V533" s="128" t="s">
        <v>1547</v>
      </c>
    </row>
    <row r="534" spans="1:22" x14ac:dyDescent="0.35">
      <c r="A534" s="118">
        <v>533</v>
      </c>
      <c r="B534" s="128" t="s">
        <v>1</v>
      </c>
      <c r="C534" s="128" t="s">
        <v>197</v>
      </c>
      <c r="D534" s="128" t="s">
        <v>3278</v>
      </c>
      <c r="E534" s="128" t="s">
        <v>406</v>
      </c>
      <c r="F534" s="128">
        <v>1983</v>
      </c>
      <c r="G534" s="128">
        <v>54</v>
      </c>
      <c r="H534" s="128">
        <v>11</v>
      </c>
      <c r="I534" s="128">
        <v>65</v>
      </c>
      <c r="J534" s="128" t="s">
        <v>3269</v>
      </c>
      <c r="K534" s="128">
        <v>43.676140000000004</v>
      </c>
      <c r="L534" s="128" t="s">
        <v>3279</v>
      </c>
      <c r="M534" s="128" t="s">
        <v>1911</v>
      </c>
      <c r="N534" s="128" t="s">
        <v>3280</v>
      </c>
      <c r="O534" s="128">
        <v>499</v>
      </c>
      <c r="P534" s="128">
        <v>105</v>
      </c>
      <c r="Q534" s="128">
        <v>88</v>
      </c>
      <c r="R534" s="128">
        <v>208</v>
      </c>
      <c r="S534" s="128">
        <v>45</v>
      </c>
      <c r="T534" s="128">
        <v>55</v>
      </c>
      <c r="U534" s="128">
        <v>501</v>
      </c>
      <c r="V534" s="128" t="s">
        <v>1547</v>
      </c>
    </row>
    <row r="535" spans="1:22" x14ac:dyDescent="0.35">
      <c r="A535" s="118">
        <v>534</v>
      </c>
      <c r="B535" s="128" t="s">
        <v>1</v>
      </c>
      <c r="C535" s="128" t="s">
        <v>197</v>
      </c>
      <c r="D535" s="128" t="s">
        <v>3278</v>
      </c>
      <c r="E535" s="128" t="s">
        <v>404</v>
      </c>
      <c r="F535" s="128">
        <v>1983</v>
      </c>
      <c r="G535" s="128">
        <v>58</v>
      </c>
      <c r="H535" s="128">
        <v>6</v>
      </c>
      <c r="I535" s="128">
        <v>64</v>
      </c>
      <c r="J535" s="128" t="s">
        <v>3269</v>
      </c>
      <c r="K535" s="128">
        <v>30.67512</v>
      </c>
      <c r="L535" s="128" t="s">
        <v>3281</v>
      </c>
      <c r="M535" s="128" t="s">
        <v>3282</v>
      </c>
      <c r="N535" s="128" t="s">
        <v>3283</v>
      </c>
      <c r="O535" s="128">
        <v>297</v>
      </c>
      <c r="P535" s="128">
        <v>70</v>
      </c>
      <c r="Q535" s="128">
        <v>54</v>
      </c>
      <c r="R535" s="128">
        <v>118</v>
      </c>
      <c r="S535" s="128">
        <v>25</v>
      </c>
      <c r="T535" s="128">
        <v>35</v>
      </c>
      <c r="U535" s="128">
        <v>302</v>
      </c>
      <c r="V535" s="128" t="s">
        <v>2643</v>
      </c>
    </row>
    <row r="536" spans="1:22" x14ac:dyDescent="0.35">
      <c r="A536" s="118">
        <v>535</v>
      </c>
      <c r="B536" s="128" t="s">
        <v>1</v>
      </c>
      <c r="C536" s="128" t="s">
        <v>197</v>
      </c>
      <c r="D536" s="128" t="s">
        <v>3278</v>
      </c>
      <c r="E536" s="128" t="s">
        <v>405</v>
      </c>
      <c r="F536" s="128">
        <v>1983</v>
      </c>
      <c r="G536" s="128">
        <v>30</v>
      </c>
      <c r="H536" s="128">
        <v>2</v>
      </c>
      <c r="I536" s="128">
        <v>32</v>
      </c>
      <c r="J536" s="128" t="s">
        <v>3269</v>
      </c>
      <c r="K536" s="128">
        <v>42.347982499999986</v>
      </c>
      <c r="L536" s="128" t="s">
        <v>3284</v>
      </c>
      <c r="M536" s="128" t="s">
        <v>3285</v>
      </c>
      <c r="N536" s="128" t="s">
        <v>2311</v>
      </c>
      <c r="O536" s="128">
        <v>296</v>
      </c>
      <c r="P536" s="128">
        <v>72</v>
      </c>
      <c r="Q536" s="128">
        <v>54</v>
      </c>
      <c r="R536" s="128">
        <v>114</v>
      </c>
      <c r="S536" s="128">
        <v>27</v>
      </c>
      <c r="T536" s="128">
        <v>36</v>
      </c>
      <c r="U536" s="128">
        <v>303</v>
      </c>
      <c r="V536" s="128" t="s">
        <v>2643</v>
      </c>
    </row>
    <row r="537" spans="1:22" x14ac:dyDescent="0.35">
      <c r="A537" s="118">
        <v>536</v>
      </c>
      <c r="B537" s="128" t="s">
        <v>1</v>
      </c>
      <c r="C537" s="128" t="s">
        <v>197</v>
      </c>
      <c r="D537" s="128" t="s">
        <v>2439</v>
      </c>
      <c r="E537" s="128" t="s">
        <v>391</v>
      </c>
      <c r="F537" s="128">
        <v>1983</v>
      </c>
      <c r="G537" s="128">
        <v>78</v>
      </c>
      <c r="H537" s="128">
        <v>2</v>
      </c>
      <c r="I537" s="128">
        <v>80</v>
      </c>
      <c r="J537" s="128" t="s">
        <v>3269</v>
      </c>
      <c r="K537" s="128">
        <v>75.702700000000021</v>
      </c>
      <c r="L537" s="128" t="s">
        <v>3286</v>
      </c>
      <c r="M537" s="128" t="s">
        <v>1550</v>
      </c>
      <c r="N537" s="128" t="s">
        <v>2933</v>
      </c>
      <c r="O537" s="128">
        <v>499</v>
      </c>
      <c r="P537" s="128">
        <v>106</v>
      </c>
      <c r="Q537" s="128">
        <v>88</v>
      </c>
      <c r="R537" s="128">
        <v>210</v>
      </c>
      <c r="S537" s="128">
        <v>45</v>
      </c>
      <c r="T537" s="128">
        <v>55</v>
      </c>
      <c r="U537" s="128">
        <v>504</v>
      </c>
      <c r="V537" s="128" t="s">
        <v>1547</v>
      </c>
    </row>
    <row r="538" spans="1:22" x14ac:dyDescent="0.35">
      <c r="A538" s="118">
        <v>537</v>
      </c>
      <c r="B538" s="128" t="s">
        <v>1</v>
      </c>
      <c r="C538" s="128" t="s">
        <v>197</v>
      </c>
      <c r="D538" s="128" t="s">
        <v>2439</v>
      </c>
      <c r="E538" s="128" t="s">
        <v>141</v>
      </c>
      <c r="F538" s="128">
        <v>1983</v>
      </c>
      <c r="G538" s="128">
        <v>82</v>
      </c>
      <c r="H538" s="128">
        <v>14</v>
      </c>
      <c r="I538" s="128">
        <v>96</v>
      </c>
      <c r="J538" s="128" t="s">
        <v>3269</v>
      </c>
      <c r="K538" s="128">
        <v>67.376980000000003</v>
      </c>
      <c r="L538" s="128" t="s">
        <v>1536</v>
      </c>
      <c r="M538" s="128" t="s">
        <v>3287</v>
      </c>
      <c r="N538" s="128" t="s">
        <v>3288</v>
      </c>
      <c r="O538" s="128">
        <v>546</v>
      </c>
      <c r="P538" s="128">
        <v>110</v>
      </c>
      <c r="Q538" s="128">
        <v>100</v>
      </c>
      <c r="R538" s="128">
        <v>221</v>
      </c>
      <c r="S538" s="128">
        <v>51</v>
      </c>
      <c r="T538" s="128">
        <v>65</v>
      </c>
      <c r="U538" s="128">
        <v>547</v>
      </c>
      <c r="V538" s="128" t="s">
        <v>1547</v>
      </c>
    </row>
    <row r="539" spans="1:22" x14ac:dyDescent="0.35">
      <c r="A539" s="118">
        <v>538</v>
      </c>
      <c r="B539" s="128" t="s">
        <v>1</v>
      </c>
      <c r="C539" s="128" t="s">
        <v>197</v>
      </c>
      <c r="D539" s="128" t="s">
        <v>2439</v>
      </c>
      <c r="E539" s="128" t="s">
        <v>403</v>
      </c>
      <c r="F539" s="128">
        <v>1984</v>
      </c>
      <c r="G539" s="128">
        <v>80</v>
      </c>
      <c r="H539" s="128">
        <v>10</v>
      </c>
      <c r="I539" s="128">
        <v>90</v>
      </c>
      <c r="J539" s="128" t="s">
        <v>3269</v>
      </c>
      <c r="K539" s="128">
        <v>60.01189999999999</v>
      </c>
      <c r="L539" s="128" t="s">
        <v>3001</v>
      </c>
      <c r="M539" s="128" t="s">
        <v>3289</v>
      </c>
      <c r="N539" s="128" t="s">
        <v>3290</v>
      </c>
      <c r="O539" s="128">
        <v>409</v>
      </c>
      <c r="P539" s="128">
        <v>105</v>
      </c>
      <c r="Q539" s="128">
        <v>88</v>
      </c>
      <c r="R539" s="128">
        <v>195</v>
      </c>
      <c r="S539" s="128">
        <v>45</v>
      </c>
      <c r="T539" s="128">
        <v>55</v>
      </c>
      <c r="U539" s="128">
        <v>488</v>
      </c>
      <c r="V539" s="128" t="s">
        <v>1547</v>
      </c>
    </row>
    <row r="540" spans="1:22" x14ac:dyDescent="0.35">
      <c r="A540" s="118">
        <v>539</v>
      </c>
      <c r="B540" s="128" t="s">
        <v>1</v>
      </c>
      <c r="C540" s="128" t="s">
        <v>197</v>
      </c>
      <c r="D540" s="128" t="s">
        <v>3291</v>
      </c>
      <c r="E540" s="128" t="s">
        <v>402</v>
      </c>
      <c r="F540" s="128">
        <v>1983</v>
      </c>
      <c r="G540" s="128">
        <v>69</v>
      </c>
      <c r="H540" s="128">
        <v>27</v>
      </c>
      <c r="I540" s="128">
        <v>96</v>
      </c>
      <c r="J540" s="128" t="s">
        <v>3269</v>
      </c>
      <c r="K540" s="128">
        <v>88.402500000000032</v>
      </c>
      <c r="L540" s="128" t="s">
        <v>3292</v>
      </c>
      <c r="M540" s="128" t="s">
        <v>3227</v>
      </c>
      <c r="N540" s="128" t="s">
        <v>1908</v>
      </c>
      <c r="O540" s="128">
        <v>552</v>
      </c>
      <c r="P540" s="128">
        <v>108</v>
      </c>
      <c r="Q540" s="128">
        <v>99</v>
      </c>
      <c r="R540" s="128">
        <v>232</v>
      </c>
      <c r="S540" s="128">
        <v>50</v>
      </c>
      <c r="T540" s="128">
        <v>66</v>
      </c>
      <c r="U540" s="128">
        <v>555</v>
      </c>
      <c r="V540" s="128" t="s">
        <v>1547</v>
      </c>
    </row>
    <row r="541" spans="1:22" x14ac:dyDescent="0.35">
      <c r="A541" s="118">
        <v>540</v>
      </c>
      <c r="B541" s="128" t="s">
        <v>1</v>
      </c>
      <c r="C541" s="128" t="s">
        <v>197</v>
      </c>
      <c r="D541" s="128" t="s">
        <v>3291</v>
      </c>
      <c r="E541" s="128" t="s">
        <v>154</v>
      </c>
      <c r="F541" s="128">
        <v>1983</v>
      </c>
      <c r="G541" s="128">
        <v>70</v>
      </c>
      <c r="H541" s="128">
        <v>13</v>
      </c>
      <c r="I541" s="128">
        <v>83</v>
      </c>
      <c r="J541" s="128" t="s">
        <v>3269</v>
      </c>
      <c r="K541" s="128">
        <v>75.220129999999983</v>
      </c>
      <c r="L541" s="128" t="s">
        <v>3293</v>
      </c>
      <c r="M541" s="128" t="s">
        <v>1669</v>
      </c>
      <c r="N541" s="128" t="s">
        <v>1737</v>
      </c>
      <c r="O541" s="128">
        <v>547</v>
      </c>
      <c r="P541" s="128">
        <v>111</v>
      </c>
      <c r="Q541" s="128">
        <v>92</v>
      </c>
      <c r="R541" s="128">
        <v>229</v>
      </c>
      <c r="S541" s="128">
        <v>50</v>
      </c>
      <c r="T541" s="128">
        <v>65</v>
      </c>
      <c r="U541" s="128">
        <v>547</v>
      </c>
      <c r="V541" s="128" t="s">
        <v>1547</v>
      </c>
    </row>
    <row r="542" spans="1:22" x14ac:dyDescent="0.35">
      <c r="A542" s="118">
        <v>541</v>
      </c>
      <c r="B542" s="128" t="s">
        <v>1</v>
      </c>
      <c r="C542" s="128" t="s">
        <v>197</v>
      </c>
      <c r="D542" s="128" t="s">
        <v>3291</v>
      </c>
      <c r="E542" s="128" t="s">
        <v>401</v>
      </c>
      <c r="F542" s="128">
        <v>1983</v>
      </c>
      <c r="G542" s="128">
        <v>90</v>
      </c>
      <c r="H542" s="128">
        <v>13</v>
      </c>
      <c r="I542" s="128">
        <v>103</v>
      </c>
      <c r="J542" s="128" t="s">
        <v>3269</v>
      </c>
      <c r="K542" s="128">
        <v>116.35076000000004</v>
      </c>
      <c r="L542" s="128" t="s">
        <v>3294</v>
      </c>
      <c r="M542" s="128" t="s">
        <v>3295</v>
      </c>
      <c r="N542" s="128" t="s">
        <v>3296</v>
      </c>
      <c r="O542" s="128">
        <v>540</v>
      </c>
      <c r="P542" s="128">
        <v>108</v>
      </c>
      <c r="Q542" s="128">
        <v>96</v>
      </c>
      <c r="R542" s="128">
        <v>220</v>
      </c>
      <c r="S542" s="128">
        <v>50</v>
      </c>
      <c r="T542" s="128">
        <v>66</v>
      </c>
      <c r="U542" s="128">
        <v>540</v>
      </c>
      <c r="V542" s="128" t="s">
        <v>1547</v>
      </c>
    </row>
    <row r="543" spans="1:22" x14ac:dyDescent="0.35">
      <c r="A543" s="118">
        <v>542</v>
      </c>
      <c r="B543" s="128" t="s">
        <v>1</v>
      </c>
      <c r="C543" s="128" t="s">
        <v>197</v>
      </c>
      <c r="D543" s="128" t="s">
        <v>3297</v>
      </c>
      <c r="E543" s="128" t="s">
        <v>400</v>
      </c>
      <c r="F543" s="128">
        <v>1983</v>
      </c>
      <c r="G543" s="128">
        <v>114</v>
      </c>
      <c r="H543" s="128">
        <v>27</v>
      </c>
      <c r="I543" s="128">
        <v>141</v>
      </c>
      <c r="J543" s="128" t="s">
        <v>3269</v>
      </c>
      <c r="K543" s="128">
        <v>93.013480000000015</v>
      </c>
      <c r="L543" s="128" t="s">
        <v>3298</v>
      </c>
      <c r="M543" s="128" t="s">
        <v>3299</v>
      </c>
      <c r="N543" s="128" t="s">
        <v>3300</v>
      </c>
      <c r="O543" s="128">
        <v>541</v>
      </c>
      <c r="P543" s="128">
        <v>110</v>
      </c>
      <c r="Q543" s="128">
        <v>97</v>
      </c>
      <c r="R543" s="128">
        <v>227</v>
      </c>
      <c r="S543" s="128">
        <v>45</v>
      </c>
      <c r="T543" s="128">
        <v>65</v>
      </c>
      <c r="U543" s="128">
        <v>544</v>
      </c>
      <c r="V543" s="128" t="s">
        <v>1547</v>
      </c>
    </row>
    <row r="544" spans="1:22" x14ac:dyDescent="0.35">
      <c r="A544" s="118">
        <v>543</v>
      </c>
      <c r="B544" s="128" t="s">
        <v>1</v>
      </c>
      <c r="C544" s="128" t="s">
        <v>197</v>
      </c>
      <c r="D544" s="128" t="s">
        <v>3297</v>
      </c>
      <c r="E544" s="128" t="s">
        <v>399</v>
      </c>
      <c r="F544" s="128">
        <v>1984</v>
      </c>
      <c r="G544" s="128">
        <v>62</v>
      </c>
      <c r="H544" s="128">
        <v>4</v>
      </c>
      <c r="I544" s="128">
        <v>66</v>
      </c>
      <c r="J544" s="128" t="s">
        <v>3269</v>
      </c>
      <c r="K544" s="128">
        <v>60.107619999999969</v>
      </c>
      <c r="L544" s="128" t="s">
        <v>3301</v>
      </c>
      <c r="M544" s="128" t="s">
        <v>1904</v>
      </c>
      <c r="N544" s="128" t="s">
        <v>1732</v>
      </c>
      <c r="O544" s="128">
        <v>545</v>
      </c>
      <c r="P544" s="128">
        <v>109</v>
      </c>
      <c r="Q544" s="128">
        <v>100</v>
      </c>
      <c r="R544" s="128">
        <v>227</v>
      </c>
      <c r="S544" s="128">
        <v>45</v>
      </c>
      <c r="T544" s="128">
        <v>65</v>
      </c>
      <c r="U544" s="128">
        <v>546</v>
      </c>
      <c r="V544" s="128" t="s">
        <v>1547</v>
      </c>
    </row>
    <row r="545" spans="1:22" x14ac:dyDescent="0.35">
      <c r="A545" s="118">
        <v>544</v>
      </c>
      <c r="B545" s="128" t="s">
        <v>1</v>
      </c>
      <c r="C545" s="128" t="s">
        <v>197</v>
      </c>
      <c r="D545" s="128" t="s">
        <v>3291</v>
      </c>
      <c r="E545" s="128" t="s">
        <v>3302</v>
      </c>
      <c r="F545" s="128">
        <v>2007</v>
      </c>
      <c r="G545" s="128">
        <v>0</v>
      </c>
      <c r="H545" s="128">
        <v>34</v>
      </c>
      <c r="I545" s="128">
        <v>34</v>
      </c>
      <c r="J545" s="128"/>
      <c r="K545" s="128">
        <v>0</v>
      </c>
      <c r="L545" s="128" t="s">
        <v>3303</v>
      </c>
      <c r="M545" s="128" t="s">
        <v>3304</v>
      </c>
      <c r="N545" s="128" t="s">
        <v>3305</v>
      </c>
      <c r="O545" s="128">
        <v>507</v>
      </c>
      <c r="P545" s="128">
        <v>104</v>
      </c>
      <c r="Q545" s="128">
        <v>88</v>
      </c>
      <c r="R545" s="128">
        <v>210</v>
      </c>
      <c r="S545" s="128">
        <v>45</v>
      </c>
      <c r="T545" s="128">
        <v>62</v>
      </c>
      <c r="U545" s="128">
        <v>509</v>
      </c>
      <c r="V545" s="128" t="s">
        <v>1547</v>
      </c>
    </row>
    <row r="546" spans="1:22" x14ac:dyDescent="0.35">
      <c r="A546" s="118">
        <v>545</v>
      </c>
      <c r="B546" s="128" t="s">
        <v>1</v>
      </c>
      <c r="C546" s="128" t="s">
        <v>197</v>
      </c>
      <c r="D546" s="128" t="s">
        <v>3306</v>
      </c>
      <c r="E546" s="128" t="s">
        <v>3307</v>
      </c>
      <c r="F546" s="128">
        <v>2014</v>
      </c>
      <c r="G546" s="128">
        <v>0</v>
      </c>
      <c r="H546" s="128">
        <v>56</v>
      </c>
      <c r="I546" s="128">
        <v>56</v>
      </c>
      <c r="J546" s="128"/>
      <c r="K546" s="128">
        <v>0</v>
      </c>
      <c r="L546" s="128" t="s">
        <v>3308</v>
      </c>
      <c r="M546" s="128" t="s">
        <v>3309</v>
      </c>
      <c r="N546" s="128" t="s">
        <v>3310</v>
      </c>
      <c r="O546" s="128">
        <v>322</v>
      </c>
      <c r="P546" s="128">
        <v>78</v>
      </c>
      <c r="Q546" s="128">
        <v>57</v>
      </c>
      <c r="R546" s="128">
        <v>128</v>
      </c>
      <c r="S546" s="128">
        <v>25</v>
      </c>
      <c r="T546" s="128">
        <v>40</v>
      </c>
      <c r="U546" s="128">
        <v>328</v>
      </c>
      <c r="V546" s="128" t="s">
        <v>2643</v>
      </c>
    </row>
    <row r="547" spans="1:22" x14ac:dyDescent="0.35">
      <c r="A547" s="118">
        <v>546</v>
      </c>
      <c r="B547" s="128" t="s">
        <v>168</v>
      </c>
      <c r="C547" s="128" t="s">
        <v>270</v>
      </c>
      <c r="D547" s="128" t="s">
        <v>3311</v>
      </c>
      <c r="E547" s="128" t="s">
        <v>3312</v>
      </c>
      <c r="F547" s="128">
        <v>2008</v>
      </c>
      <c r="G547" s="128">
        <v>44</v>
      </c>
      <c r="H547" s="128">
        <v>6</v>
      </c>
      <c r="I547" s="128">
        <v>50</v>
      </c>
      <c r="J547" s="128" t="s">
        <v>2751</v>
      </c>
      <c r="K547" s="128" t="s">
        <v>3313</v>
      </c>
      <c r="L547" s="128" t="s">
        <v>3314</v>
      </c>
      <c r="M547" s="128" t="s">
        <v>3315</v>
      </c>
      <c r="N547" s="128" t="s">
        <v>3316</v>
      </c>
      <c r="O547" s="128">
        <v>739</v>
      </c>
      <c r="P547" s="128">
        <v>140</v>
      </c>
      <c r="Q547" s="128">
        <v>125</v>
      </c>
      <c r="R547" s="128">
        <v>300</v>
      </c>
      <c r="S547" s="128">
        <v>87</v>
      </c>
      <c r="T547" s="128">
        <v>90</v>
      </c>
      <c r="U547" s="128">
        <v>742</v>
      </c>
      <c r="V547" s="128" t="s">
        <v>2702</v>
      </c>
    </row>
    <row r="548" spans="1:22" x14ac:dyDescent="0.35">
      <c r="A548" s="118">
        <v>547</v>
      </c>
      <c r="B548" s="128" t="s">
        <v>168</v>
      </c>
      <c r="C548" s="128" t="s">
        <v>270</v>
      </c>
      <c r="D548" s="128" t="s">
        <v>3317</v>
      </c>
      <c r="E548" s="128" t="s">
        <v>3318</v>
      </c>
      <c r="F548" s="128">
        <v>2008</v>
      </c>
      <c r="G548" s="128">
        <v>32</v>
      </c>
      <c r="H548" s="128">
        <v>20</v>
      </c>
      <c r="I548" s="128">
        <v>52</v>
      </c>
      <c r="J548" s="128" t="s">
        <v>2751</v>
      </c>
      <c r="K548" s="128" t="s">
        <v>3319</v>
      </c>
      <c r="L548" s="128" t="s">
        <v>3320</v>
      </c>
      <c r="M548" s="128" t="s">
        <v>3321</v>
      </c>
      <c r="N548" s="128" t="s">
        <v>3322</v>
      </c>
      <c r="O548" s="128">
        <v>551</v>
      </c>
      <c r="P548" s="128">
        <v>115</v>
      </c>
      <c r="Q548" s="128">
        <v>97</v>
      </c>
      <c r="R548" s="128">
        <v>205</v>
      </c>
      <c r="S548" s="128">
        <v>70</v>
      </c>
      <c r="T548" s="128">
        <v>67</v>
      </c>
      <c r="U548" s="128">
        <v>554</v>
      </c>
      <c r="V548" s="128" t="s">
        <v>1547</v>
      </c>
    </row>
    <row r="549" spans="1:22" x14ac:dyDescent="0.35">
      <c r="A549" s="118">
        <v>548</v>
      </c>
      <c r="B549" s="128" t="s">
        <v>168</v>
      </c>
      <c r="C549" s="128" t="s">
        <v>270</v>
      </c>
      <c r="D549" s="128" t="s">
        <v>3323</v>
      </c>
      <c r="E549" s="128" t="s">
        <v>3324</v>
      </c>
      <c r="F549" s="128">
        <v>2008</v>
      </c>
      <c r="G549" s="128">
        <v>37</v>
      </c>
      <c r="H549" s="128">
        <v>12</v>
      </c>
      <c r="I549" s="128">
        <v>49</v>
      </c>
      <c r="J549" s="128" t="s">
        <v>2751</v>
      </c>
      <c r="K549" s="128" t="s">
        <v>3325</v>
      </c>
      <c r="L549" s="128" t="s">
        <v>3326</v>
      </c>
      <c r="M549" s="128" t="s">
        <v>3327</v>
      </c>
      <c r="N549" s="128" t="s">
        <v>3328</v>
      </c>
      <c r="O549" s="128">
        <v>471</v>
      </c>
      <c r="P549" s="128">
        <v>102</v>
      </c>
      <c r="Q549" s="128">
        <v>85</v>
      </c>
      <c r="R549" s="128">
        <v>194</v>
      </c>
      <c r="S549" s="128">
        <v>41</v>
      </c>
      <c r="T549" s="128">
        <v>55</v>
      </c>
      <c r="U549" s="128">
        <v>477</v>
      </c>
      <c r="V549" s="128" t="s">
        <v>1547</v>
      </c>
    </row>
    <row r="550" spans="1:22" x14ac:dyDescent="0.35">
      <c r="A550" s="118">
        <v>549</v>
      </c>
      <c r="B550" s="128" t="s">
        <v>168</v>
      </c>
      <c r="C550" s="128" t="s">
        <v>270</v>
      </c>
      <c r="D550" s="128" t="s">
        <v>3329</v>
      </c>
      <c r="E550" s="128" t="s">
        <v>3330</v>
      </c>
      <c r="F550" s="128">
        <v>2008</v>
      </c>
      <c r="G550" s="128">
        <v>76</v>
      </c>
      <c r="H550" s="128">
        <v>19</v>
      </c>
      <c r="I550" s="128">
        <v>95</v>
      </c>
      <c r="J550" s="128" t="s">
        <v>2751</v>
      </c>
      <c r="K550" s="128" t="s">
        <v>3331</v>
      </c>
      <c r="L550" s="128" t="s">
        <v>3332</v>
      </c>
      <c r="M550" s="128" t="s">
        <v>3333</v>
      </c>
      <c r="N550" s="128" t="s">
        <v>3334</v>
      </c>
      <c r="O550" s="128">
        <v>605</v>
      </c>
      <c r="P550" s="128">
        <v>132</v>
      </c>
      <c r="Q550" s="128">
        <v>95</v>
      </c>
      <c r="R550" s="128">
        <v>225</v>
      </c>
      <c r="S550" s="128">
        <v>80</v>
      </c>
      <c r="T550" s="128">
        <v>80</v>
      </c>
      <c r="U550" s="128">
        <v>612</v>
      </c>
      <c r="V550" s="128" t="s">
        <v>1547</v>
      </c>
    </row>
    <row r="551" spans="1:22" x14ac:dyDescent="0.35">
      <c r="A551" s="118">
        <v>550</v>
      </c>
      <c r="B551" s="128" t="s">
        <v>168</v>
      </c>
      <c r="C551" s="128" t="s">
        <v>270</v>
      </c>
      <c r="D551" s="128" t="s">
        <v>3335</v>
      </c>
      <c r="E551" s="128" t="s">
        <v>3336</v>
      </c>
      <c r="F551" s="128">
        <v>2008</v>
      </c>
      <c r="G551" s="128">
        <v>56</v>
      </c>
      <c r="H551" s="128">
        <v>13</v>
      </c>
      <c r="I551" s="128">
        <v>69</v>
      </c>
      <c r="J551" s="128" t="s">
        <v>2751</v>
      </c>
      <c r="K551" s="128" t="s">
        <v>3337</v>
      </c>
      <c r="L551" s="128" t="s">
        <v>2606</v>
      </c>
      <c r="M551" s="128" t="s">
        <v>3338</v>
      </c>
      <c r="N551" s="128" t="s">
        <v>3339</v>
      </c>
      <c r="O551" s="128">
        <v>612</v>
      </c>
      <c r="P551" s="128">
        <v>135</v>
      </c>
      <c r="Q551" s="128">
        <v>95</v>
      </c>
      <c r="R551" s="128">
        <v>232</v>
      </c>
      <c r="S551" s="128">
        <v>80</v>
      </c>
      <c r="T551" s="128">
        <v>75</v>
      </c>
      <c r="U551" s="128">
        <v>617</v>
      </c>
      <c r="V551" s="128" t="s">
        <v>1547</v>
      </c>
    </row>
    <row r="552" spans="1:22" x14ac:dyDescent="0.35">
      <c r="A552" s="118">
        <v>551</v>
      </c>
      <c r="B552" s="128" t="s">
        <v>168</v>
      </c>
      <c r="C552" s="128" t="s">
        <v>270</v>
      </c>
      <c r="D552" s="128" t="s">
        <v>3340</v>
      </c>
      <c r="E552" s="128" t="s">
        <v>3341</v>
      </c>
      <c r="F552" s="128">
        <v>2008</v>
      </c>
      <c r="G552" s="128">
        <v>12</v>
      </c>
      <c r="H552" s="128">
        <v>8</v>
      </c>
      <c r="I552" s="128">
        <v>20</v>
      </c>
      <c r="J552" s="128" t="s">
        <v>2751</v>
      </c>
      <c r="K552" s="128" t="s">
        <v>3342</v>
      </c>
      <c r="L552" s="128" t="s">
        <v>2426</v>
      </c>
      <c r="M552" s="128" t="s">
        <v>3343</v>
      </c>
      <c r="N552" s="128" t="s">
        <v>3344</v>
      </c>
      <c r="O552" s="128">
        <v>418</v>
      </c>
      <c r="P552" s="128">
        <v>80</v>
      </c>
      <c r="Q552" s="128">
        <v>65</v>
      </c>
      <c r="R552" s="128">
        <v>185</v>
      </c>
      <c r="S552" s="128">
        <v>0</v>
      </c>
      <c r="T552" s="128">
        <v>0</v>
      </c>
      <c r="U552" s="128">
        <v>330</v>
      </c>
      <c r="V552" s="128" t="s">
        <v>2643</v>
      </c>
    </row>
    <row r="553" spans="1:22" x14ac:dyDescent="0.35">
      <c r="A553" s="118">
        <v>552</v>
      </c>
      <c r="B553" s="128" t="s">
        <v>168</v>
      </c>
      <c r="C553" s="128" t="s">
        <v>270</v>
      </c>
      <c r="D553" s="128" t="s">
        <v>3345</v>
      </c>
      <c r="E553" s="128" t="s">
        <v>3346</v>
      </c>
      <c r="F553" s="128">
        <v>2008</v>
      </c>
      <c r="G553" s="128">
        <v>36</v>
      </c>
      <c r="H553" s="128">
        <v>35</v>
      </c>
      <c r="I553" s="128">
        <v>71</v>
      </c>
      <c r="J553" s="128" t="s">
        <v>2751</v>
      </c>
      <c r="K553" s="128" t="s">
        <v>3347</v>
      </c>
      <c r="L553" s="128" t="s">
        <v>2772</v>
      </c>
      <c r="M553" s="128" t="s">
        <v>3348</v>
      </c>
      <c r="N553" s="128" t="s">
        <v>2661</v>
      </c>
      <c r="O553" s="128">
        <v>418</v>
      </c>
      <c r="P553" s="128">
        <v>77</v>
      </c>
      <c r="Q553" s="128">
        <v>80</v>
      </c>
      <c r="R553" s="128">
        <v>175</v>
      </c>
      <c r="S553" s="128">
        <v>40</v>
      </c>
      <c r="T553" s="128">
        <v>50</v>
      </c>
      <c r="U553" s="128">
        <v>422</v>
      </c>
      <c r="V553" s="128" t="s">
        <v>2643</v>
      </c>
    </row>
    <row r="554" spans="1:22" x14ac:dyDescent="0.35">
      <c r="A554" s="118">
        <v>553</v>
      </c>
      <c r="B554" s="128" t="s">
        <v>168</v>
      </c>
      <c r="C554" s="128" t="s">
        <v>270</v>
      </c>
      <c r="D554" s="128" t="s">
        <v>3349</v>
      </c>
      <c r="E554" s="128" t="s">
        <v>3350</v>
      </c>
      <c r="F554" s="128">
        <v>2008</v>
      </c>
      <c r="G554" s="128">
        <v>11</v>
      </c>
      <c r="H554" s="128">
        <v>6</v>
      </c>
      <c r="I554" s="128">
        <v>17</v>
      </c>
      <c r="J554" s="128" t="s">
        <v>2751</v>
      </c>
      <c r="K554" s="128" t="s">
        <v>3351</v>
      </c>
      <c r="L554" s="128" t="s">
        <v>3352</v>
      </c>
      <c r="M554" s="128" t="s">
        <v>2505</v>
      </c>
      <c r="N554" s="128" t="s">
        <v>3353</v>
      </c>
      <c r="O554" s="128">
        <v>412</v>
      </c>
      <c r="P554" s="128">
        <v>77</v>
      </c>
      <c r="Q554" s="128">
        <v>60</v>
      </c>
      <c r="R554" s="128">
        <v>185</v>
      </c>
      <c r="S554" s="128">
        <v>40</v>
      </c>
      <c r="T554" s="128">
        <v>50</v>
      </c>
      <c r="U554" s="128">
        <v>412</v>
      </c>
      <c r="V554" s="128" t="s">
        <v>2643</v>
      </c>
    </row>
    <row r="555" spans="1:22" x14ac:dyDescent="0.35">
      <c r="A555" s="118">
        <v>554</v>
      </c>
      <c r="B555" s="128" t="s">
        <v>168</v>
      </c>
      <c r="C555" s="128" t="s">
        <v>270</v>
      </c>
      <c r="D555" s="128" t="s">
        <v>3354</v>
      </c>
      <c r="E555" s="128" t="s">
        <v>3355</v>
      </c>
      <c r="F555" s="128">
        <v>2008</v>
      </c>
      <c r="G555" s="128">
        <v>24</v>
      </c>
      <c r="H555" s="128">
        <v>17</v>
      </c>
      <c r="I555" s="128">
        <v>41</v>
      </c>
      <c r="J555" s="128" t="s">
        <v>2751</v>
      </c>
      <c r="K555" s="128" t="s">
        <v>3356</v>
      </c>
      <c r="L555" s="128" t="s">
        <v>3357</v>
      </c>
      <c r="M555" s="128" t="s">
        <v>2497</v>
      </c>
      <c r="N555" s="128" t="s">
        <v>3358</v>
      </c>
      <c r="O555" s="128">
        <v>431</v>
      </c>
      <c r="P555" s="128">
        <v>79</v>
      </c>
      <c r="Q555" s="128">
        <v>80</v>
      </c>
      <c r="R555" s="128">
        <v>185</v>
      </c>
      <c r="S555" s="128">
        <v>40</v>
      </c>
      <c r="T555" s="128">
        <v>50</v>
      </c>
      <c r="U555" s="128">
        <v>434</v>
      </c>
      <c r="V555" s="128" t="s">
        <v>2643</v>
      </c>
    </row>
    <row r="556" spans="1:22" x14ac:dyDescent="0.35">
      <c r="A556" s="118">
        <v>555</v>
      </c>
      <c r="B556" s="128" t="s">
        <v>168</v>
      </c>
      <c r="C556" s="128" t="s">
        <v>270</v>
      </c>
      <c r="D556" s="128" t="s">
        <v>3359</v>
      </c>
      <c r="E556" s="128" t="s">
        <v>3360</v>
      </c>
      <c r="F556" s="128">
        <v>2008</v>
      </c>
      <c r="G556" s="128">
        <v>22</v>
      </c>
      <c r="H556" s="128">
        <v>4</v>
      </c>
      <c r="I556" s="128">
        <v>26</v>
      </c>
      <c r="J556" s="128" t="s">
        <v>2751</v>
      </c>
      <c r="K556" s="128" t="s">
        <v>3361</v>
      </c>
      <c r="L556" s="128" t="s">
        <v>3362</v>
      </c>
      <c r="M556" s="128" t="s">
        <v>2678</v>
      </c>
      <c r="N556" s="128" t="s">
        <v>3363</v>
      </c>
      <c r="O556" s="128">
        <v>542</v>
      </c>
      <c r="P556" s="128">
        <v>110</v>
      </c>
      <c r="Q556" s="128">
        <v>95</v>
      </c>
      <c r="R556" s="128">
        <v>205</v>
      </c>
      <c r="S556" s="128">
        <v>57</v>
      </c>
      <c r="T556" s="128">
        <v>79</v>
      </c>
      <c r="U556" s="128">
        <v>546</v>
      </c>
      <c r="V556" s="128" t="s">
        <v>1547</v>
      </c>
    </row>
    <row r="557" spans="1:22" x14ac:dyDescent="0.35">
      <c r="A557" s="118">
        <v>556</v>
      </c>
      <c r="B557" s="128" t="s">
        <v>168</v>
      </c>
      <c r="C557" s="128" t="s">
        <v>270</v>
      </c>
      <c r="D557" s="128" t="s">
        <v>3364</v>
      </c>
      <c r="E557" s="128" t="s">
        <v>3365</v>
      </c>
      <c r="F557" s="128">
        <v>2008</v>
      </c>
      <c r="G557" s="128">
        <v>42</v>
      </c>
      <c r="H557" s="128">
        <v>9</v>
      </c>
      <c r="I557" s="128">
        <v>51</v>
      </c>
      <c r="J557" s="128" t="s">
        <v>2751</v>
      </c>
      <c r="K557" s="128" t="s">
        <v>3366</v>
      </c>
      <c r="L557" s="128" t="s">
        <v>3367</v>
      </c>
      <c r="M557" s="128" t="s">
        <v>3368</v>
      </c>
      <c r="N557" s="128" t="s">
        <v>2400</v>
      </c>
      <c r="O557" s="128">
        <v>750</v>
      </c>
      <c r="P557" s="128">
        <v>147</v>
      </c>
      <c r="Q557" s="128">
        <v>129</v>
      </c>
      <c r="R557" s="128">
        <v>300</v>
      </c>
      <c r="S557" s="128">
        <v>87</v>
      </c>
      <c r="T557" s="128">
        <v>89</v>
      </c>
      <c r="U557" s="128">
        <v>752</v>
      </c>
      <c r="V557" s="128" t="s">
        <v>2702</v>
      </c>
    </row>
    <row r="558" spans="1:22" x14ac:dyDescent="0.35">
      <c r="A558" s="118">
        <v>557</v>
      </c>
      <c r="B558" s="128" t="s">
        <v>168</v>
      </c>
      <c r="C558" s="128" t="s">
        <v>270</v>
      </c>
      <c r="D558" s="128" t="s">
        <v>3369</v>
      </c>
      <c r="E558" s="128" t="s">
        <v>3370</v>
      </c>
      <c r="F558" s="128">
        <v>2008</v>
      </c>
      <c r="G558" s="128">
        <v>12</v>
      </c>
      <c r="H558" s="128">
        <v>8</v>
      </c>
      <c r="I558" s="128">
        <v>20</v>
      </c>
      <c r="J558" s="128" t="s">
        <v>2751</v>
      </c>
      <c r="K558" s="128" t="s">
        <v>3371</v>
      </c>
      <c r="L558" s="128" t="s">
        <v>3372</v>
      </c>
      <c r="M558" s="128" t="s">
        <v>3373</v>
      </c>
      <c r="N558" s="128" t="s">
        <v>3374</v>
      </c>
      <c r="O558" s="128">
        <v>918</v>
      </c>
      <c r="P558" s="128">
        <v>205</v>
      </c>
      <c r="Q558" s="128">
        <v>170</v>
      </c>
      <c r="R558" s="128">
        <v>380</v>
      </c>
      <c r="S558" s="128">
        <v>85</v>
      </c>
      <c r="T558" s="128">
        <v>104</v>
      </c>
      <c r="U558" s="128">
        <v>944</v>
      </c>
      <c r="V558" s="128" t="s">
        <v>2702</v>
      </c>
    </row>
    <row r="559" spans="1:22" x14ac:dyDescent="0.35">
      <c r="A559" s="118">
        <v>558</v>
      </c>
      <c r="B559" s="128" t="s">
        <v>168</v>
      </c>
      <c r="C559" s="128" t="s">
        <v>270</v>
      </c>
      <c r="D559" s="128" t="s">
        <v>3375</v>
      </c>
      <c r="E559" s="128" t="s">
        <v>3376</v>
      </c>
      <c r="F559" s="128">
        <v>2009</v>
      </c>
      <c r="G559" s="128">
        <v>24</v>
      </c>
      <c r="H559" s="128">
        <v>5</v>
      </c>
      <c r="I559" s="128">
        <v>29</v>
      </c>
      <c r="J559" s="128" t="s">
        <v>2751</v>
      </c>
      <c r="K559" s="128" t="s">
        <v>3377</v>
      </c>
      <c r="L559" s="128" t="s">
        <v>2557</v>
      </c>
      <c r="M559" s="128" t="s">
        <v>3378</v>
      </c>
      <c r="N559" s="128" t="s">
        <v>3379</v>
      </c>
      <c r="O559" s="128">
        <v>339</v>
      </c>
      <c r="P559" s="128">
        <v>77</v>
      </c>
      <c r="Q559" s="128">
        <v>60</v>
      </c>
      <c r="R559" s="128">
        <v>125</v>
      </c>
      <c r="S559" s="128">
        <v>40</v>
      </c>
      <c r="T559" s="128">
        <v>45</v>
      </c>
      <c r="U559" s="128">
        <v>347</v>
      </c>
      <c r="V559" s="128" t="s">
        <v>2643</v>
      </c>
    </row>
    <row r="560" spans="1:22" x14ac:dyDescent="0.35">
      <c r="A560" s="118">
        <v>559</v>
      </c>
      <c r="B560" s="128" t="s">
        <v>168</v>
      </c>
      <c r="C560" s="128" t="s">
        <v>270</v>
      </c>
      <c r="D560" s="128" t="s">
        <v>3380</v>
      </c>
      <c r="E560" s="128" t="s">
        <v>3381</v>
      </c>
      <c r="F560" s="128">
        <v>2009</v>
      </c>
      <c r="G560" s="128">
        <v>25</v>
      </c>
      <c r="H560" s="128">
        <v>12</v>
      </c>
      <c r="I560" s="128">
        <v>37</v>
      </c>
      <c r="J560" s="128" t="s">
        <v>2751</v>
      </c>
      <c r="K560" s="128" t="s">
        <v>3382</v>
      </c>
      <c r="L560" s="128" t="s">
        <v>3383</v>
      </c>
      <c r="M560" s="128" t="s">
        <v>3384</v>
      </c>
      <c r="N560" s="128" t="s">
        <v>3109</v>
      </c>
      <c r="O560" s="128">
        <v>364</v>
      </c>
      <c r="P560" s="128">
        <v>77</v>
      </c>
      <c r="Q560" s="128">
        <v>62</v>
      </c>
      <c r="R560" s="128">
        <v>142</v>
      </c>
      <c r="S560" s="128">
        <v>40</v>
      </c>
      <c r="T560" s="128">
        <v>50</v>
      </c>
      <c r="U560" s="128">
        <v>371</v>
      </c>
      <c r="V560" s="128" t="s">
        <v>2643</v>
      </c>
    </row>
    <row r="561" spans="1:22" x14ac:dyDescent="0.35">
      <c r="A561" s="118">
        <v>560</v>
      </c>
      <c r="B561" s="128" t="s">
        <v>168</v>
      </c>
      <c r="C561" s="128" t="s">
        <v>270</v>
      </c>
      <c r="D561" s="128" t="s">
        <v>2621</v>
      </c>
      <c r="E561" s="128" t="s">
        <v>3385</v>
      </c>
      <c r="F561" s="128">
        <v>2009</v>
      </c>
      <c r="G561" s="128">
        <v>37</v>
      </c>
      <c r="H561" s="128">
        <v>17</v>
      </c>
      <c r="I561" s="128">
        <v>54</v>
      </c>
      <c r="J561" s="128" t="s">
        <v>2751</v>
      </c>
      <c r="K561" s="128" t="s">
        <v>3386</v>
      </c>
      <c r="L561" s="128" t="s">
        <v>3387</v>
      </c>
      <c r="M561" s="128" t="s">
        <v>3388</v>
      </c>
      <c r="N561" s="128" t="s">
        <v>3389</v>
      </c>
      <c r="O561" s="128">
        <v>341</v>
      </c>
      <c r="P561" s="128">
        <v>77</v>
      </c>
      <c r="Q561" s="128">
        <v>57</v>
      </c>
      <c r="R561" s="128">
        <v>122</v>
      </c>
      <c r="S561" s="128">
        <v>40</v>
      </c>
      <c r="T561" s="128">
        <v>50</v>
      </c>
      <c r="U561" s="128">
        <v>346</v>
      </c>
      <c r="V561" s="128" t="s">
        <v>2643</v>
      </c>
    </row>
    <row r="562" spans="1:22" x14ac:dyDescent="0.35">
      <c r="A562" s="118">
        <v>561</v>
      </c>
      <c r="B562" s="128" t="s">
        <v>168</v>
      </c>
      <c r="C562" s="128" t="s">
        <v>270</v>
      </c>
      <c r="D562" s="128" t="s">
        <v>3390</v>
      </c>
      <c r="E562" s="128" t="s">
        <v>3391</v>
      </c>
      <c r="F562" s="128">
        <v>2009</v>
      </c>
      <c r="G562" s="128">
        <v>26</v>
      </c>
      <c r="H562" s="128">
        <v>5</v>
      </c>
      <c r="I562" s="128">
        <v>31</v>
      </c>
      <c r="J562" s="128" t="s">
        <v>2751</v>
      </c>
      <c r="K562" s="128" t="s">
        <v>3392</v>
      </c>
      <c r="L562" s="128" t="s">
        <v>3393</v>
      </c>
      <c r="M562" s="128" t="s">
        <v>3394</v>
      </c>
      <c r="N562" s="128" t="s">
        <v>2816</v>
      </c>
      <c r="O562" s="128">
        <v>334</v>
      </c>
      <c r="P562" s="128">
        <v>77</v>
      </c>
      <c r="Q562" s="128">
        <v>65</v>
      </c>
      <c r="R562" s="128">
        <v>117</v>
      </c>
      <c r="S562" s="128">
        <v>35</v>
      </c>
      <c r="T562" s="128">
        <v>47</v>
      </c>
      <c r="U562" s="128">
        <v>341</v>
      </c>
      <c r="V562" s="128" t="s">
        <v>2643</v>
      </c>
    </row>
    <row r="563" spans="1:22" x14ac:dyDescent="0.35">
      <c r="A563" s="118">
        <v>562</v>
      </c>
      <c r="B563" s="128" t="s">
        <v>168</v>
      </c>
      <c r="C563" s="128" t="s">
        <v>270</v>
      </c>
      <c r="D563" s="128" t="s">
        <v>3395</v>
      </c>
      <c r="E563" s="128" t="s">
        <v>3396</v>
      </c>
      <c r="F563" s="128">
        <v>2009</v>
      </c>
      <c r="G563" s="128">
        <v>18</v>
      </c>
      <c r="H563" s="128">
        <v>8</v>
      </c>
      <c r="I563" s="128">
        <v>26</v>
      </c>
      <c r="J563" s="128" t="s">
        <v>2751</v>
      </c>
      <c r="K563" s="128" t="s">
        <v>3397</v>
      </c>
      <c r="L563" s="128" t="s">
        <v>3398</v>
      </c>
      <c r="M563" s="128" t="s">
        <v>3399</v>
      </c>
      <c r="N563" s="128" t="s">
        <v>2446</v>
      </c>
      <c r="O563" s="128">
        <v>335</v>
      </c>
      <c r="P563" s="128">
        <v>77</v>
      </c>
      <c r="Q563" s="128">
        <v>60</v>
      </c>
      <c r="R563" s="128">
        <v>122</v>
      </c>
      <c r="S563" s="128">
        <v>37</v>
      </c>
      <c r="T563" s="128">
        <v>45</v>
      </c>
      <c r="U563" s="128">
        <v>341</v>
      </c>
      <c r="V563" s="128" t="s">
        <v>2643</v>
      </c>
    </row>
    <row r="564" spans="1:22" x14ac:dyDescent="0.35">
      <c r="A564" s="118">
        <v>563</v>
      </c>
      <c r="B564" s="128" t="s">
        <v>168</v>
      </c>
      <c r="C564" s="128" t="s">
        <v>270</v>
      </c>
      <c r="D564" s="128" t="s">
        <v>3400</v>
      </c>
      <c r="E564" s="128" t="s">
        <v>3401</v>
      </c>
      <c r="F564" s="128">
        <v>2009</v>
      </c>
      <c r="G564" s="128">
        <v>51</v>
      </c>
      <c r="H564" s="128">
        <v>10</v>
      </c>
      <c r="I564" s="128">
        <v>61</v>
      </c>
      <c r="J564" s="128" t="s">
        <v>2751</v>
      </c>
      <c r="K564" s="128" t="s">
        <v>3402</v>
      </c>
      <c r="L564" s="128" t="s">
        <v>3403</v>
      </c>
      <c r="M564" s="128" t="s">
        <v>3404</v>
      </c>
      <c r="N564" s="128" t="s">
        <v>2509</v>
      </c>
      <c r="O564" s="128">
        <v>349</v>
      </c>
      <c r="P564" s="128">
        <v>79</v>
      </c>
      <c r="Q564" s="128">
        <v>59</v>
      </c>
      <c r="R564" s="128">
        <v>130</v>
      </c>
      <c r="S564" s="128">
        <v>40</v>
      </c>
      <c r="T564" s="128">
        <v>50</v>
      </c>
      <c r="U564" s="128">
        <v>358</v>
      </c>
      <c r="V564" s="128" t="s">
        <v>2643</v>
      </c>
    </row>
    <row r="565" spans="1:22" x14ac:dyDescent="0.35">
      <c r="A565" s="118">
        <v>564</v>
      </c>
      <c r="B565" s="128" t="s">
        <v>168</v>
      </c>
      <c r="C565" s="128" t="s">
        <v>270</v>
      </c>
      <c r="D565" s="128" t="s">
        <v>3405</v>
      </c>
      <c r="E565" s="128" t="s">
        <v>3406</v>
      </c>
      <c r="F565" s="128">
        <v>2009</v>
      </c>
      <c r="G565" s="128">
        <v>30</v>
      </c>
      <c r="H565" s="128">
        <v>2</v>
      </c>
      <c r="I565" s="128">
        <v>32</v>
      </c>
      <c r="J565" s="128" t="s">
        <v>2751</v>
      </c>
      <c r="K565" s="128" t="s">
        <v>3407</v>
      </c>
      <c r="L565" s="128" t="s">
        <v>3408</v>
      </c>
      <c r="M565" s="128" t="s">
        <v>3409</v>
      </c>
      <c r="N565" s="128" t="s">
        <v>3410</v>
      </c>
      <c r="O565" s="128">
        <v>350</v>
      </c>
      <c r="P565" s="128">
        <v>77</v>
      </c>
      <c r="Q565" s="128">
        <v>59</v>
      </c>
      <c r="R565" s="128">
        <v>132</v>
      </c>
      <c r="S565" s="128">
        <v>40</v>
      </c>
      <c r="T565" s="128">
        <v>50</v>
      </c>
      <c r="U565" s="128">
        <v>358</v>
      </c>
      <c r="V565" s="128" t="s">
        <v>2643</v>
      </c>
    </row>
    <row r="566" spans="1:22" x14ac:dyDescent="0.35">
      <c r="A566" s="118">
        <v>565</v>
      </c>
      <c r="B566" s="128" t="s">
        <v>168</v>
      </c>
      <c r="C566" s="128" t="s">
        <v>276</v>
      </c>
      <c r="D566" s="128" t="s">
        <v>3411</v>
      </c>
      <c r="E566" s="128" t="s">
        <v>3412</v>
      </c>
      <c r="F566" s="128">
        <v>1981</v>
      </c>
      <c r="G566" s="128">
        <v>33</v>
      </c>
      <c r="H566" s="128">
        <v>27</v>
      </c>
      <c r="I566" s="128">
        <v>60</v>
      </c>
      <c r="J566" s="128" t="s">
        <v>2751</v>
      </c>
      <c r="K566" s="128" t="s">
        <v>3413</v>
      </c>
      <c r="L566" s="128" t="s">
        <v>3414</v>
      </c>
      <c r="M566" s="128" t="s">
        <v>3415</v>
      </c>
      <c r="N566" s="128" t="s">
        <v>3416</v>
      </c>
      <c r="O566" s="128">
        <v>745</v>
      </c>
      <c r="P566" s="128">
        <v>150</v>
      </c>
      <c r="Q566" s="128">
        <v>135</v>
      </c>
      <c r="R566" s="128">
        <v>300</v>
      </c>
      <c r="S566" s="128">
        <v>81</v>
      </c>
      <c r="T566" s="128">
        <v>84</v>
      </c>
      <c r="U566" s="128">
        <v>750</v>
      </c>
      <c r="V566" s="128" t="s">
        <v>2702</v>
      </c>
    </row>
    <row r="567" spans="1:22" x14ac:dyDescent="0.35">
      <c r="A567" s="118">
        <v>566</v>
      </c>
      <c r="B567" s="128" t="s">
        <v>168</v>
      </c>
      <c r="C567" s="128" t="s">
        <v>276</v>
      </c>
      <c r="D567" s="128" t="s">
        <v>3417</v>
      </c>
      <c r="E567" s="128" t="s">
        <v>3418</v>
      </c>
      <c r="F567" s="128">
        <v>1987</v>
      </c>
      <c r="G567" s="128">
        <v>25</v>
      </c>
      <c r="H567" s="128">
        <v>10</v>
      </c>
      <c r="I567" s="128">
        <v>35</v>
      </c>
      <c r="J567" s="128" t="s">
        <v>2751</v>
      </c>
      <c r="K567" s="128" t="s">
        <v>3419</v>
      </c>
      <c r="L567" s="128" t="s">
        <v>2446</v>
      </c>
      <c r="M567" s="128" t="s">
        <v>3420</v>
      </c>
      <c r="N567" s="128" t="s">
        <v>3421</v>
      </c>
      <c r="O567" s="128">
        <v>780</v>
      </c>
      <c r="P567" s="128">
        <v>137</v>
      </c>
      <c r="Q567" s="128">
        <v>135</v>
      </c>
      <c r="R567" s="128">
        <v>300</v>
      </c>
      <c r="S567" s="128">
        <v>90</v>
      </c>
      <c r="T567" s="128">
        <v>123</v>
      </c>
      <c r="U567" s="128">
        <v>785</v>
      </c>
      <c r="V567" s="128" t="s">
        <v>2702</v>
      </c>
    </row>
    <row r="568" spans="1:22" x14ac:dyDescent="0.35">
      <c r="A568" s="118">
        <v>567</v>
      </c>
      <c r="B568" s="128" t="s">
        <v>168</v>
      </c>
      <c r="C568" s="128" t="s">
        <v>276</v>
      </c>
      <c r="D568" s="128" t="s">
        <v>3422</v>
      </c>
      <c r="E568" s="128" t="s">
        <v>3423</v>
      </c>
      <c r="F568" s="128">
        <v>2006</v>
      </c>
      <c r="G568" s="128">
        <v>35</v>
      </c>
      <c r="H568" s="128">
        <v>7</v>
      </c>
      <c r="I568" s="128">
        <v>42</v>
      </c>
      <c r="J568" s="128" t="s">
        <v>2751</v>
      </c>
      <c r="K568" s="128" t="s">
        <v>3424</v>
      </c>
      <c r="L568" s="128" t="s">
        <v>3425</v>
      </c>
      <c r="M568" s="128" t="s">
        <v>3388</v>
      </c>
      <c r="N568" s="128" t="s">
        <v>3426</v>
      </c>
      <c r="O568" s="128">
        <v>298</v>
      </c>
      <c r="P568" s="128">
        <v>70</v>
      </c>
      <c r="Q568" s="128">
        <v>70</v>
      </c>
      <c r="R568" s="128">
        <v>110</v>
      </c>
      <c r="S568" s="128">
        <v>28</v>
      </c>
      <c r="T568" s="128">
        <v>35</v>
      </c>
      <c r="U568" s="128">
        <v>313</v>
      </c>
      <c r="V568" s="128" t="s">
        <v>2643</v>
      </c>
    </row>
    <row r="569" spans="1:22" x14ac:dyDescent="0.35">
      <c r="A569" s="118">
        <v>568</v>
      </c>
      <c r="B569" s="128" t="s">
        <v>168</v>
      </c>
      <c r="C569" s="128" t="s">
        <v>276</v>
      </c>
      <c r="D569" s="128" t="s">
        <v>3427</v>
      </c>
      <c r="E569" s="128" t="s">
        <v>3428</v>
      </c>
      <c r="F569" s="128">
        <v>1994</v>
      </c>
      <c r="G569" s="128">
        <v>19</v>
      </c>
      <c r="H569" s="128">
        <v>8</v>
      </c>
      <c r="I569" s="128">
        <v>27</v>
      </c>
      <c r="J569" s="128" t="s">
        <v>2751</v>
      </c>
      <c r="K569" s="128" t="s">
        <v>3429</v>
      </c>
      <c r="L569" s="128" t="s">
        <v>2502</v>
      </c>
      <c r="M569" s="128" t="s">
        <v>3430</v>
      </c>
      <c r="N569" s="128" t="s">
        <v>2520</v>
      </c>
      <c r="O569" s="128">
        <v>547</v>
      </c>
      <c r="P569" s="128">
        <v>102</v>
      </c>
      <c r="Q569" s="128">
        <v>100</v>
      </c>
      <c r="R569" s="128">
        <v>195</v>
      </c>
      <c r="S569" s="128">
        <v>80</v>
      </c>
      <c r="T569" s="128">
        <v>75</v>
      </c>
      <c r="U569" s="128">
        <v>552</v>
      </c>
      <c r="V569" s="128" t="s">
        <v>1547</v>
      </c>
    </row>
    <row r="570" spans="1:22" x14ac:dyDescent="0.35">
      <c r="A570" s="118">
        <v>569</v>
      </c>
      <c r="B570" s="128" t="s">
        <v>168</v>
      </c>
      <c r="C570" s="128" t="s">
        <v>276</v>
      </c>
      <c r="D570" s="128" t="s">
        <v>3431</v>
      </c>
      <c r="E570" s="128" t="s">
        <v>32</v>
      </c>
      <c r="F570" s="128">
        <v>2006</v>
      </c>
      <c r="G570" s="128">
        <v>21</v>
      </c>
      <c r="H570" s="128">
        <v>7</v>
      </c>
      <c r="I570" s="128">
        <v>28</v>
      </c>
      <c r="J570" s="128" t="s">
        <v>2751</v>
      </c>
      <c r="K570" s="128" t="s">
        <v>3432</v>
      </c>
      <c r="L570" s="128" t="s">
        <v>3433</v>
      </c>
      <c r="M570" s="128" t="s">
        <v>3434</v>
      </c>
      <c r="N570" s="128" t="s">
        <v>3435</v>
      </c>
      <c r="O570" s="128">
        <v>555</v>
      </c>
      <c r="P570" s="128">
        <v>110</v>
      </c>
      <c r="Q570" s="128">
        <v>100</v>
      </c>
      <c r="R570" s="128">
        <v>195</v>
      </c>
      <c r="S570" s="128">
        <v>80</v>
      </c>
      <c r="T570" s="128">
        <v>75</v>
      </c>
      <c r="U570" s="128">
        <v>560</v>
      </c>
      <c r="V570" s="128" t="s">
        <v>1547</v>
      </c>
    </row>
    <row r="571" spans="1:22" x14ac:dyDescent="0.35">
      <c r="A571" s="118">
        <v>570</v>
      </c>
      <c r="B571" s="128" t="s">
        <v>168</v>
      </c>
      <c r="C571" s="128" t="s">
        <v>276</v>
      </c>
      <c r="D571" s="128" t="s">
        <v>3436</v>
      </c>
      <c r="E571" s="128" t="s">
        <v>50</v>
      </c>
      <c r="F571" s="128">
        <v>2006</v>
      </c>
      <c r="G571" s="128">
        <v>34</v>
      </c>
      <c r="H571" s="128">
        <v>7</v>
      </c>
      <c r="I571" s="128">
        <v>41</v>
      </c>
      <c r="J571" s="128" t="s">
        <v>2751</v>
      </c>
      <c r="K571" s="128" t="s">
        <v>3437</v>
      </c>
      <c r="L571" s="128" t="s">
        <v>2661</v>
      </c>
      <c r="M571" s="128" t="s">
        <v>3438</v>
      </c>
      <c r="N571" s="128" t="s">
        <v>3439</v>
      </c>
      <c r="O571" s="128">
        <v>555</v>
      </c>
      <c r="P571" s="128">
        <v>110</v>
      </c>
      <c r="Q571" s="128">
        <v>100</v>
      </c>
      <c r="R571" s="128">
        <v>195</v>
      </c>
      <c r="S571" s="128">
        <v>80</v>
      </c>
      <c r="T571" s="128">
        <v>75</v>
      </c>
      <c r="U571" s="128">
        <v>560</v>
      </c>
      <c r="V571" s="128" t="s">
        <v>1547</v>
      </c>
    </row>
    <row r="572" spans="1:22" x14ac:dyDescent="0.35">
      <c r="A572" s="118">
        <v>571</v>
      </c>
      <c r="B572" s="128" t="s">
        <v>168</v>
      </c>
      <c r="C572" s="128" t="s">
        <v>276</v>
      </c>
      <c r="D572" s="128" t="s">
        <v>3436</v>
      </c>
      <c r="E572" s="128" t="s">
        <v>68</v>
      </c>
      <c r="F572" s="128">
        <v>2006</v>
      </c>
      <c r="G572" s="128">
        <v>36</v>
      </c>
      <c r="H572" s="128">
        <v>7</v>
      </c>
      <c r="I572" s="128">
        <v>43</v>
      </c>
      <c r="J572" s="128" t="s">
        <v>2751</v>
      </c>
      <c r="K572" s="128" t="s">
        <v>3440</v>
      </c>
      <c r="L572" s="128" t="s">
        <v>3441</v>
      </c>
      <c r="M572" s="128" t="s">
        <v>3442</v>
      </c>
      <c r="N572" s="128" t="s">
        <v>3443</v>
      </c>
      <c r="O572" s="128">
        <v>551</v>
      </c>
      <c r="P572" s="128">
        <v>110</v>
      </c>
      <c r="Q572" s="128">
        <v>96</v>
      </c>
      <c r="R572" s="128">
        <v>195</v>
      </c>
      <c r="S572" s="128">
        <v>80</v>
      </c>
      <c r="T572" s="128">
        <v>75</v>
      </c>
      <c r="U572" s="128">
        <v>556</v>
      </c>
      <c r="V572" s="128" t="s">
        <v>1547</v>
      </c>
    </row>
    <row r="573" spans="1:22" x14ac:dyDescent="0.35">
      <c r="A573" s="118">
        <v>572</v>
      </c>
      <c r="B573" s="128" t="s">
        <v>168</v>
      </c>
      <c r="C573" s="128" t="s">
        <v>276</v>
      </c>
      <c r="D573" s="128" t="s">
        <v>3444</v>
      </c>
      <c r="E573" s="128" t="s">
        <v>1243</v>
      </c>
      <c r="F573" s="128">
        <v>2006</v>
      </c>
      <c r="G573" s="128">
        <v>80</v>
      </c>
      <c r="H573" s="128">
        <v>12</v>
      </c>
      <c r="I573" s="128">
        <v>92</v>
      </c>
      <c r="J573" s="128" t="s">
        <v>2751</v>
      </c>
      <c r="K573" s="128" t="s">
        <v>3445</v>
      </c>
      <c r="L573" s="128" t="s">
        <v>3446</v>
      </c>
      <c r="M573" s="128" t="s">
        <v>3447</v>
      </c>
      <c r="N573" s="128" t="s">
        <v>3448</v>
      </c>
      <c r="O573" s="128">
        <v>315</v>
      </c>
      <c r="P573" s="128">
        <v>70</v>
      </c>
      <c r="Q573" s="128">
        <v>65</v>
      </c>
      <c r="R573" s="128">
        <v>108</v>
      </c>
      <c r="S573" s="128">
        <v>36</v>
      </c>
      <c r="T573" s="128">
        <v>40</v>
      </c>
      <c r="U573" s="128">
        <v>319</v>
      </c>
      <c r="V573" s="128" t="s">
        <v>2643</v>
      </c>
    </row>
    <row r="574" spans="1:22" x14ac:dyDescent="0.35">
      <c r="A574" s="118">
        <v>573</v>
      </c>
      <c r="B574" s="128" t="s">
        <v>168</v>
      </c>
      <c r="C574" s="128" t="s">
        <v>276</v>
      </c>
      <c r="D574" s="128" t="s">
        <v>2576</v>
      </c>
      <c r="E574" s="128" t="s">
        <v>3449</v>
      </c>
      <c r="F574" s="128">
        <v>2006</v>
      </c>
      <c r="G574" s="128">
        <v>29</v>
      </c>
      <c r="H574" s="128">
        <v>12</v>
      </c>
      <c r="I574" s="128">
        <v>41</v>
      </c>
      <c r="J574" s="128" t="s">
        <v>2751</v>
      </c>
      <c r="K574" s="128">
        <v>11</v>
      </c>
      <c r="L574" s="128" t="s">
        <v>3450</v>
      </c>
      <c r="M574" s="128" t="s">
        <v>2601</v>
      </c>
      <c r="N574" s="128" t="s">
        <v>3451</v>
      </c>
      <c r="O574" s="128">
        <v>313</v>
      </c>
      <c r="P574" s="128">
        <v>70</v>
      </c>
      <c r="Q574" s="128">
        <v>65</v>
      </c>
      <c r="R574" s="128">
        <v>113</v>
      </c>
      <c r="S574" s="128">
        <v>30</v>
      </c>
      <c r="T574" s="128">
        <v>40</v>
      </c>
      <c r="U574" s="128">
        <v>318</v>
      </c>
      <c r="V574" s="128" t="s">
        <v>2643</v>
      </c>
    </row>
    <row r="575" spans="1:22" x14ac:dyDescent="0.35">
      <c r="A575" s="118">
        <v>574</v>
      </c>
      <c r="B575" s="128" t="s">
        <v>168</v>
      </c>
      <c r="C575" s="128" t="s">
        <v>276</v>
      </c>
      <c r="D575" s="128" t="s">
        <v>3417</v>
      </c>
      <c r="E575" s="128" t="s">
        <v>3452</v>
      </c>
      <c r="F575" s="128">
        <v>2007</v>
      </c>
      <c r="G575" s="128">
        <v>41</v>
      </c>
      <c r="H575" s="128">
        <v>9</v>
      </c>
      <c r="I575" s="128">
        <v>50</v>
      </c>
      <c r="J575" s="128" t="s">
        <v>2751</v>
      </c>
      <c r="K575" s="128" t="s">
        <v>3453</v>
      </c>
      <c r="L575" s="128" t="s">
        <v>3454</v>
      </c>
      <c r="M575" s="128" t="s">
        <v>3455</v>
      </c>
      <c r="N575" s="128" t="s">
        <v>3456</v>
      </c>
      <c r="O575" s="128">
        <v>312</v>
      </c>
      <c r="P575" s="128">
        <v>70</v>
      </c>
      <c r="Q575" s="128">
        <v>65</v>
      </c>
      <c r="R575" s="128">
        <v>112</v>
      </c>
      <c r="S575" s="128">
        <v>35</v>
      </c>
      <c r="T575" s="128">
        <v>35</v>
      </c>
      <c r="U575" s="128">
        <v>317</v>
      </c>
      <c r="V575" s="128" t="s">
        <v>2643</v>
      </c>
    </row>
    <row r="576" spans="1:22" x14ac:dyDescent="0.35">
      <c r="A576" s="118">
        <v>575</v>
      </c>
      <c r="B576" s="128" t="s">
        <v>168</v>
      </c>
      <c r="C576" s="128" t="s">
        <v>276</v>
      </c>
      <c r="D576" s="128" t="s">
        <v>3411</v>
      </c>
      <c r="E576" s="128" t="s">
        <v>344</v>
      </c>
      <c r="F576" s="128">
        <v>2008</v>
      </c>
      <c r="G576" s="128">
        <v>31</v>
      </c>
      <c r="H576" s="128">
        <v>13</v>
      </c>
      <c r="I576" s="128">
        <v>44</v>
      </c>
      <c r="J576" s="128" t="s">
        <v>2751</v>
      </c>
      <c r="K576" s="128" t="s">
        <v>3457</v>
      </c>
      <c r="L576" s="128" t="s">
        <v>3458</v>
      </c>
      <c r="M576" s="128" t="s">
        <v>3459</v>
      </c>
      <c r="N576" s="128" t="s">
        <v>3460</v>
      </c>
      <c r="O576" s="128">
        <v>348</v>
      </c>
      <c r="P576" s="128">
        <v>70</v>
      </c>
      <c r="Q576" s="128">
        <v>75</v>
      </c>
      <c r="R576" s="128">
        <v>115</v>
      </c>
      <c r="S576" s="128">
        <v>40</v>
      </c>
      <c r="T576" s="128">
        <v>50</v>
      </c>
      <c r="U576" s="128">
        <v>350</v>
      </c>
      <c r="V576" s="128" t="s">
        <v>2643</v>
      </c>
    </row>
    <row r="577" spans="1:22" x14ac:dyDescent="0.35">
      <c r="A577" s="118">
        <v>576</v>
      </c>
      <c r="B577" s="128" t="s">
        <v>168</v>
      </c>
      <c r="C577" s="128" t="s">
        <v>276</v>
      </c>
      <c r="D577" s="128" t="s">
        <v>3417</v>
      </c>
      <c r="E577" s="128" t="s">
        <v>3461</v>
      </c>
      <c r="F577" s="128">
        <v>2009</v>
      </c>
      <c r="G577" s="128">
        <v>17</v>
      </c>
      <c r="H577" s="128">
        <v>26</v>
      </c>
      <c r="I577" s="128">
        <v>43</v>
      </c>
      <c r="J577" s="128" t="s">
        <v>2751</v>
      </c>
      <c r="K577" s="128" t="s">
        <v>3462</v>
      </c>
      <c r="L577" s="128" t="s">
        <v>3153</v>
      </c>
      <c r="M577" s="128" t="s">
        <v>3463</v>
      </c>
      <c r="N577" s="128" t="s">
        <v>3464</v>
      </c>
      <c r="O577" s="128">
        <v>546</v>
      </c>
      <c r="P577" s="128">
        <v>110</v>
      </c>
      <c r="Q577" s="128">
        <v>91</v>
      </c>
      <c r="R577" s="128">
        <v>195</v>
      </c>
      <c r="S577" s="128">
        <v>80</v>
      </c>
      <c r="T577" s="128">
        <v>75</v>
      </c>
      <c r="U577" s="128">
        <v>551</v>
      </c>
      <c r="V577" s="128" t="s">
        <v>1547</v>
      </c>
    </row>
    <row r="578" spans="1:22" x14ac:dyDescent="0.35">
      <c r="A578" s="118">
        <v>577</v>
      </c>
      <c r="B578" s="128" t="s">
        <v>168</v>
      </c>
      <c r="C578" s="128" t="s">
        <v>276</v>
      </c>
      <c r="D578" s="128" t="s">
        <v>3427</v>
      </c>
      <c r="E578" s="128" t="s">
        <v>3465</v>
      </c>
      <c r="F578" s="128">
        <v>2009</v>
      </c>
      <c r="G578" s="128">
        <v>16</v>
      </c>
      <c r="H578" s="128">
        <v>6</v>
      </c>
      <c r="I578" s="128">
        <v>22</v>
      </c>
      <c r="J578" s="128" t="s">
        <v>2751</v>
      </c>
      <c r="K578" s="128" t="s">
        <v>3466</v>
      </c>
      <c r="L578" s="128" t="s">
        <v>3388</v>
      </c>
      <c r="M578" s="128" t="s">
        <v>2763</v>
      </c>
      <c r="N578" s="128" t="s">
        <v>3467</v>
      </c>
      <c r="O578" s="128">
        <v>344</v>
      </c>
      <c r="P578" s="128">
        <v>90</v>
      </c>
      <c r="Q578" s="128">
        <v>65</v>
      </c>
      <c r="R578" s="128">
        <v>120</v>
      </c>
      <c r="S578" s="128">
        <v>40</v>
      </c>
      <c r="T578" s="128">
        <v>38</v>
      </c>
      <c r="U578" s="128">
        <v>353</v>
      </c>
      <c r="V578" s="128" t="s">
        <v>2643</v>
      </c>
    </row>
    <row r="579" spans="1:22" x14ac:dyDescent="0.35">
      <c r="A579" s="118">
        <v>578</v>
      </c>
      <c r="B579" s="128" t="s">
        <v>168</v>
      </c>
      <c r="C579" s="128" t="s">
        <v>276</v>
      </c>
      <c r="D579" s="128" t="s">
        <v>3427</v>
      </c>
      <c r="E579" s="128" t="s">
        <v>3468</v>
      </c>
      <c r="F579" s="128">
        <v>2009</v>
      </c>
      <c r="G579" s="128">
        <v>17</v>
      </c>
      <c r="H579" s="128">
        <v>20</v>
      </c>
      <c r="I579" s="128">
        <v>37</v>
      </c>
      <c r="J579" s="128" t="s">
        <v>2751</v>
      </c>
      <c r="K579" s="128" t="s">
        <v>3469</v>
      </c>
      <c r="L579" s="128" t="s">
        <v>2432</v>
      </c>
      <c r="M579" s="128" t="s">
        <v>3470</v>
      </c>
      <c r="N579" s="128" t="s">
        <v>3471</v>
      </c>
      <c r="O579" s="128">
        <v>350</v>
      </c>
      <c r="P579" s="128">
        <v>100</v>
      </c>
      <c r="Q579" s="128">
        <v>60</v>
      </c>
      <c r="R579" s="128">
        <v>115</v>
      </c>
      <c r="S579" s="128">
        <v>40</v>
      </c>
      <c r="T579" s="128">
        <v>40</v>
      </c>
      <c r="U579" s="128">
        <v>355</v>
      </c>
      <c r="V579" s="128" t="s">
        <v>2643</v>
      </c>
    </row>
    <row r="580" spans="1:22" x14ac:dyDescent="0.35">
      <c r="A580" s="118">
        <v>579</v>
      </c>
      <c r="B580" s="128" t="s">
        <v>168</v>
      </c>
      <c r="C580" s="128" t="s">
        <v>276</v>
      </c>
      <c r="D580" s="128" t="s">
        <v>3411</v>
      </c>
      <c r="E580" s="128" t="s">
        <v>1015</v>
      </c>
      <c r="F580" s="128">
        <v>2020</v>
      </c>
      <c r="G580" s="128">
        <v>30</v>
      </c>
      <c r="H580" s="128">
        <v>10</v>
      </c>
      <c r="I580" s="128">
        <v>40</v>
      </c>
      <c r="J580" s="128" t="s">
        <v>2751</v>
      </c>
      <c r="K580" s="128" t="s">
        <v>3472</v>
      </c>
      <c r="L580" s="128" t="s">
        <v>3473</v>
      </c>
      <c r="M580" s="128" t="s">
        <v>3474</v>
      </c>
      <c r="N580" s="128" t="s">
        <v>2406</v>
      </c>
      <c r="O580" s="128">
        <v>175</v>
      </c>
      <c r="P580" s="128">
        <v>66</v>
      </c>
      <c r="Q580" s="128">
        <v>48</v>
      </c>
      <c r="R580" s="128">
        <v>100</v>
      </c>
      <c r="S580" s="128">
        <v>11</v>
      </c>
      <c r="T580" s="128">
        <v>31</v>
      </c>
      <c r="U580" s="128">
        <v>256</v>
      </c>
      <c r="V580" s="128" t="s">
        <v>2643</v>
      </c>
    </row>
    <row r="581" spans="1:22" x14ac:dyDescent="0.35">
      <c r="A581" s="118">
        <v>580</v>
      </c>
      <c r="B581" s="128" t="s">
        <v>168</v>
      </c>
      <c r="C581" s="128" t="s">
        <v>277</v>
      </c>
      <c r="D581" s="128" t="s">
        <v>3476</v>
      </c>
      <c r="E581" s="128" t="s">
        <v>3210</v>
      </c>
      <c r="F581" s="128">
        <v>1987</v>
      </c>
      <c r="G581" s="128">
        <v>29</v>
      </c>
      <c r="H581" s="128">
        <v>6</v>
      </c>
      <c r="I581" s="128">
        <v>35</v>
      </c>
      <c r="J581" s="128" t="s">
        <v>2751</v>
      </c>
      <c r="K581" s="128" t="s">
        <v>3477</v>
      </c>
      <c r="L581" s="128" t="s">
        <v>3478</v>
      </c>
      <c r="M581" s="128" t="s">
        <v>3479</v>
      </c>
      <c r="N581" s="128" t="s">
        <v>2406</v>
      </c>
      <c r="O581" s="128">
        <v>714</v>
      </c>
      <c r="P581" s="128">
        <v>140</v>
      </c>
      <c r="Q581" s="128">
        <v>120</v>
      </c>
      <c r="R581" s="128">
        <v>300</v>
      </c>
      <c r="S581" s="128">
        <v>81</v>
      </c>
      <c r="T581" s="128">
        <v>81</v>
      </c>
      <c r="U581" s="128">
        <v>722</v>
      </c>
      <c r="V581" s="128" t="s">
        <v>2702</v>
      </c>
    </row>
    <row r="582" spans="1:22" x14ac:dyDescent="0.35">
      <c r="A582" s="118">
        <v>581</v>
      </c>
      <c r="B582" s="128" t="s">
        <v>168</v>
      </c>
      <c r="C582" s="128" t="s">
        <v>277</v>
      </c>
      <c r="D582" s="128" t="s">
        <v>3480</v>
      </c>
      <c r="E582" s="128" t="s">
        <v>3481</v>
      </c>
      <c r="F582" s="128">
        <v>1991</v>
      </c>
      <c r="G582" s="128">
        <v>20</v>
      </c>
      <c r="H582" s="128">
        <v>6</v>
      </c>
      <c r="I582" s="128">
        <v>26</v>
      </c>
      <c r="J582" s="128" t="s">
        <v>2751</v>
      </c>
      <c r="K582" s="128">
        <v>9</v>
      </c>
      <c r="L582" s="128" t="s">
        <v>3482</v>
      </c>
      <c r="M582" s="128" t="s">
        <v>2426</v>
      </c>
      <c r="N582" s="128" t="s">
        <v>3483</v>
      </c>
      <c r="O582" s="128">
        <v>307</v>
      </c>
      <c r="P582" s="128">
        <v>70</v>
      </c>
      <c r="Q582" s="128">
        <v>65</v>
      </c>
      <c r="R582" s="128">
        <v>100</v>
      </c>
      <c r="S582" s="128">
        <v>40</v>
      </c>
      <c r="T582" s="128">
        <v>40</v>
      </c>
      <c r="U582" s="128">
        <v>315</v>
      </c>
      <c r="V582" s="128" t="s">
        <v>2643</v>
      </c>
    </row>
    <row r="583" spans="1:22" x14ac:dyDescent="0.35">
      <c r="A583" s="118">
        <v>582</v>
      </c>
      <c r="B583" s="128" t="s">
        <v>168</v>
      </c>
      <c r="C583" s="128" t="s">
        <v>277</v>
      </c>
      <c r="D583" s="128" t="s">
        <v>3484</v>
      </c>
      <c r="E583" s="128" t="s">
        <v>3485</v>
      </c>
      <c r="F583" s="128">
        <v>1992</v>
      </c>
      <c r="G583" s="128">
        <v>27</v>
      </c>
      <c r="H583" s="128">
        <v>3</v>
      </c>
      <c r="I583" s="128">
        <v>30</v>
      </c>
      <c r="J583" s="128" t="s">
        <v>2751</v>
      </c>
      <c r="K583" s="128">
        <v>5</v>
      </c>
      <c r="L583" s="128" t="s">
        <v>3486</v>
      </c>
      <c r="M583" s="128" t="s">
        <v>2446</v>
      </c>
      <c r="N583" s="128" t="s">
        <v>3140</v>
      </c>
      <c r="O583" s="128">
        <v>400</v>
      </c>
      <c r="P583" s="128">
        <v>75</v>
      </c>
      <c r="Q583" s="128">
        <v>55</v>
      </c>
      <c r="R583" s="128">
        <v>185</v>
      </c>
      <c r="S583" s="128">
        <v>40</v>
      </c>
      <c r="T583" s="128">
        <v>50</v>
      </c>
      <c r="U583" s="128">
        <v>405</v>
      </c>
      <c r="V583" s="128" t="s">
        <v>2643</v>
      </c>
    </row>
    <row r="584" spans="1:22" x14ac:dyDescent="0.35">
      <c r="A584" s="118">
        <v>583</v>
      </c>
      <c r="B584" s="128" t="s">
        <v>168</v>
      </c>
      <c r="C584" s="128" t="s">
        <v>277</v>
      </c>
      <c r="D584" s="128" t="s">
        <v>2694</v>
      </c>
      <c r="E584" s="128" t="s">
        <v>3487</v>
      </c>
      <c r="F584" s="128">
        <v>2006</v>
      </c>
      <c r="G584" s="128">
        <v>19</v>
      </c>
      <c r="H584" s="128">
        <v>2</v>
      </c>
      <c r="I584" s="128">
        <v>21</v>
      </c>
      <c r="J584" s="128" t="s">
        <v>2751</v>
      </c>
      <c r="K584" s="128" t="s">
        <v>3488</v>
      </c>
      <c r="L584" s="128" t="s">
        <v>2647</v>
      </c>
      <c r="M584" s="128" t="s">
        <v>2437</v>
      </c>
      <c r="N584" s="128" t="s">
        <v>2742</v>
      </c>
      <c r="O584" s="128">
        <v>320</v>
      </c>
      <c r="P584" s="128">
        <v>70</v>
      </c>
      <c r="Q584" s="128">
        <v>65</v>
      </c>
      <c r="R584" s="128">
        <v>100</v>
      </c>
      <c r="S584" s="128">
        <v>40</v>
      </c>
      <c r="T584" s="128">
        <v>50</v>
      </c>
      <c r="U584" s="128">
        <v>325</v>
      </c>
      <c r="V584" s="128" t="s">
        <v>2643</v>
      </c>
    </row>
    <row r="585" spans="1:22" x14ac:dyDescent="0.35">
      <c r="A585" s="118">
        <v>584</v>
      </c>
      <c r="B585" s="128" t="s">
        <v>168</v>
      </c>
      <c r="C585" s="128" t="s">
        <v>277</v>
      </c>
      <c r="D585" s="128" t="s">
        <v>3489</v>
      </c>
      <c r="E585" s="128" t="s">
        <v>3490</v>
      </c>
      <c r="F585" s="128">
        <v>2007</v>
      </c>
      <c r="G585" s="128">
        <v>34</v>
      </c>
      <c r="H585" s="128">
        <v>2</v>
      </c>
      <c r="I585" s="128">
        <v>36</v>
      </c>
      <c r="J585" s="128" t="s">
        <v>2751</v>
      </c>
      <c r="K585" s="128" t="s">
        <v>3491</v>
      </c>
      <c r="L585" s="128" t="s">
        <v>2544</v>
      </c>
      <c r="M585" s="128" t="s">
        <v>3492</v>
      </c>
      <c r="N585" s="128" t="s">
        <v>3493</v>
      </c>
      <c r="O585" s="128">
        <v>325</v>
      </c>
      <c r="P585" s="128">
        <v>70</v>
      </c>
      <c r="Q585" s="128">
        <v>55</v>
      </c>
      <c r="R585" s="128">
        <v>126</v>
      </c>
      <c r="S585" s="128">
        <v>30</v>
      </c>
      <c r="T585" s="128">
        <v>50</v>
      </c>
      <c r="U585" s="128">
        <v>331</v>
      </c>
      <c r="V585" s="128" t="s">
        <v>2643</v>
      </c>
    </row>
    <row r="586" spans="1:22" x14ac:dyDescent="0.35">
      <c r="A586" s="118">
        <v>585</v>
      </c>
      <c r="B586" s="128" t="s">
        <v>168</v>
      </c>
      <c r="C586" s="128" t="s">
        <v>277</v>
      </c>
      <c r="D586" s="128" t="s">
        <v>3494</v>
      </c>
      <c r="E586" s="128" t="s">
        <v>3495</v>
      </c>
      <c r="F586" s="128">
        <v>2006</v>
      </c>
      <c r="G586" s="128">
        <v>31</v>
      </c>
      <c r="H586" s="128">
        <v>3</v>
      </c>
      <c r="I586" s="128">
        <v>34</v>
      </c>
      <c r="J586" s="128" t="s">
        <v>2751</v>
      </c>
      <c r="K586" s="128" t="s">
        <v>3496</v>
      </c>
      <c r="L586" s="128" t="s">
        <v>3497</v>
      </c>
      <c r="M586" s="128" t="s">
        <v>3498</v>
      </c>
      <c r="N586" s="128" t="s">
        <v>2407</v>
      </c>
      <c r="O586" s="128">
        <v>325</v>
      </c>
      <c r="P586" s="128">
        <v>71</v>
      </c>
      <c r="Q586" s="128">
        <v>65</v>
      </c>
      <c r="R586" s="128">
        <v>121</v>
      </c>
      <c r="S586" s="128">
        <v>28</v>
      </c>
      <c r="T586" s="128">
        <v>40</v>
      </c>
      <c r="U586" s="128">
        <v>325</v>
      </c>
      <c r="V586" s="128" t="s">
        <v>2643</v>
      </c>
    </row>
    <row r="587" spans="1:22" x14ac:dyDescent="0.35">
      <c r="A587" s="118">
        <v>586</v>
      </c>
      <c r="B587" s="128" t="s">
        <v>168</v>
      </c>
      <c r="C587" s="128" t="s">
        <v>273</v>
      </c>
      <c r="D587" s="128" t="s">
        <v>3499</v>
      </c>
      <c r="E587" s="128" t="s">
        <v>3500</v>
      </c>
      <c r="F587" s="128">
        <v>1987</v>
      </c>
      <c r="G587" s="128">
        <v>72</v>
      </c>
      <c r="H587" s="128">
        <v>14</v>
      </c>
      <c r="I587" s="128">
        <v>86</v>
      </c>
      <c r="J587" s="128" t="s">
        <v>2751</v>
      </c>
      <c r="K587" s="128" t="s">
        <v>3501</v>
      </c>
      <c r="L587" s="128" t="s">
        <v>2601</v>
      </c>
      <c r="M587" s="128" t="s">
        <v>2508</v>
      </c>
      <c r="N587" s="128" t="s">
        <v>2509</v>
      </c>
      <c r="O587" s="128">
        <v>737</v>
      </c>
      <c r="P587" s="128">
        <v>140</v>
      </c>
      <c r="Q587" s="128">
        <v>124</v>
      </c>
      <c r="R587" s="128">
        <v>306</v>
      </c>
      <c r="S587" s="128">
        <v>87</v>
      </c>
      <c r="T587" s="128">
        <v>85</v>
      </c>
      <c r="U587" s="128">
        <v>742</v>
      </c>
      <c r="V587" s="128" t="s">
        <v>2702</v>
      </c>
    </row>
    <row r="588" spans="1:22" x14ac:dyDescent="0.35">
      <c r="A588" s="118">
        <v>587</v>
      </c>
      <c r="B588" s="128" t="s">
        <v>168</v>
      </c>
      <c r="C588" s="128" t="s">
        <v>273</v>
      </c>
      <c r="D588" s="128" t="s">
        <v>3502</v>
      </c>
      <c r="E588" s="128" t="s">
        <v>3503</v>
      </c>
      <c r="F588" s="128">
        <v>1987</v>
      </c>
      <c r="G588" s="128">
        <v>58</v>
      </c>
      <c r="H588" s="128">
        <v>4</v>
      </c>
      <c r="I588" s="128">
        <v>62</v>
      </c>
      <c r="J588" s="128" t="s">
        <v>2751</v>
      </c>
      <c r="K588" s="128" t="s">
        <v>3504</v>
      </c>
      <c r="L588" s="128" t="s">
        <v>3358</v>
      </c>
      <c r="M588" s="128" t="s">
        <v>3505</v>
      </c>
      <c r="N588" s="128" t="s">
        <v>3506</v>
      </c>
      <c r="O588" s="128">
        <v>736</v>
      </c>
      <c r="P588" s="128">
        <v>140</v>
      </c>
      <c r="Q588" s="128">
        <v>124</v>
      </c>
      <c r="R588" s="128">
        <v>306</v>
      </c>
      <c r="S588" s="128">
        <v>86</v>
      </c>
      <c r="T588" s="128">
        <v>86</v>
      </c>
      <c r="U588" s="128">
        <v>742</v>
      </c>
      <c r="V588" s="128" t="s">
        <v>2702</v>
      </c>
    </row>
    <row r="589" spans="1:22" x14ac:dyDescent="0.35">
      <c r="A589" s="118">
        <v>588</v>
      </c>
      <c r="B589" s="128" t="s">
        <v>168</v>
      </c>
      <c r="C589" s="128" t="s">
        <v>273</v>
      </c>
      <c r="D589" s="128" t="s">
        <v>3499</v>
      </c>
      <c r="E589" s="128" t="s">
        <v>3507</v>
      </c>
      <c r="F589" s="128">
        <v>1988</v>
      </c>
      <c r="G589" s="128">
        <v>39</v>
      </c>
      <c r="H589" s="128">
        <v>6</v>
      </c>
      <c r="I589" s="128">
        <v>45</v>
      </c>
      <c r="J589" s="128" t="s">
        <v>2751</v>
      </c>
      <c r="K589" s="128" t="s">
        <v>3508</v>
      </c>
      <c r="L589" s="128" t="s">
        <v>2786</v>
      </c>
      <c r="M589" s="128" t="s">
        <v>3509</v>
      </c>
      <c r="N589" s="128" t="s">
        <v>2727</v>
      </c>
      <c r="O589" s="128">
        <v>596</v>
      </c>
      <c r="P589" s="128">
        <v>120</v>
      </c>
      <c r="Q589" s="128">
        <v>95</v>
      </c>
      <c r="R589" s="128">
        <v>227</v>
      </c>
      <c r="S589" s="128">
        <v>80</v>
      </c>
      <c r="T589" s="128">
        <v>80</v>
      </c>
      <c r="U589" s="128">
        <v>602</v>
      </c>
      <c r="V589" s="128" t="s">
        <v>1547</v>
      </c>
    </row>
    <row r="590" spans="1:22" x14ac:dyDescent="0.35">
      <c r="A590" s="118">
        <v>589</v>
      </c>
      <c r="B590" s="128" t="s">
        <v>168</v>
      </c>
      <c r="C590" s="128" t="s">
        <v>273</v>
      </c>
      <c r="D590" s="128" t="s">
        <v>3510</v>
      </c>
      <c r="E590" s="128" t="s">
        <v>3511</v>
      </c>
      <c r="F590" s="128">
        <v>1988</v>
      </c>
      <c r="G590" s="128">
        <v>103</v>
      </c>
      <c r="H590" s="128">
        <v>22</v>
      </c>
      <c r="I590" s="128">
        <v>125</v>
      </c>
      <c r="J590" s="128" t="s">
        <v>2751</v>
      </c>
      <c r="K590" s="128" t="s">
        <v>3512</v>
      </c>
      <c r="L590" s="128" t="s">
        <v>3513</v>
      </c>
      <c r="M590" s="128" t="s">
        <v>2609</v>
      </c>
      <c r="N590" s="128" t="s">
        <v>2493</v>
      </c>
      <c r="O590" s="128">
        <v>605</v>
      </c>
      <c r="P590" s="128">
        <v>135</v>
      </c>
      <c r="Q590" s="128">
        <v>90</v>
      </c>
      <c r="R590" s="128">
        <v>235</v>
      </c>
      <c r="S590" s="128">
        <v>80</v>
      </c>
      <c r="T590" s="128">
        <v>75</v>
      </c>
      <c r="U590" s="128">
        <v>615</v>
      </c>
      <c r="V590" s="128" t="s">
        <v>1547</v>
      </c>
    </row>
    <row r="591" spans="1:22" x14ac:dyDescent="0.35">
      <c r="A591" s="118">
        <v>590</v>
      </c>
      <c r="B591" s="128" t="s">
        <v>168</v>
      </c>
      <c r="C591" s="128" t="s">
        <v>273</v>
      </c>
      <c r="D591" s="128" t="s">
        <v>3514</v>
      </c>
      <c r="E591" s="128" t="s">
        <v>3515</v>
      </c>
      <c r="F591" s="128">
        <v>1987</v>
      </c>
      <c r="G591" s="128">
        <v>148</v>
      </c>
      <c r="H591" s="128">
        <v>19</v>
      </c>
      <c r="I591" s="128">
        <v>167</v>
      </c>
      <c r="J591" s="128" t="s">
        <v>2751</v>
      </c>
      <c r="K591" s="128" t="s">
        <v>3516</v>
      </c>
      <c r="L591" s="128" t="s">
        <v>2849</v>
      </c>
      <c r="M591" s="128" t="s">
        <v>3517</v>
      </c>
      <c r="N591" s="128" t="s">
        <v>2489</v>
      </c>
      <c r="O591" s="128">
        <v>596</v>
      </c>
      <c r="P591" s="128">
        <v>135</v>
      </c>
      <c r="Q591" s="128">
        <v>90</v>
      </c>
      <c r="R591" s="128">
        <v>220</v>
      </c>
      <c r="S591" s="128">
        <v>80</v>
      </c>
      <c r="T591" s="128">
        <v>75</v>
      </c>
      <c r="U591" s="128">
        <v>600</v>
      </c>
      <c r="V591" s="128" t="s">
        <v>1547</v>
      </c>
    </row>
    <row r="592" spans="1:22" x14ac:dyDescent="0.35">
      <c r="A592" s="118">
        <v>591</v>
      </c>
      <c r="B592" s="128" t="s">
        <v>168</v>
      </c>
      <c r="C592" s="128" t="s">
        <v>273</v>
      </c>
      <c r="D592" s="128" t="s">
        <v>2721</v>
      </c>
      <c r="E592" s="128" t="s">
        <v>3518</v>
      </c>
      <c r="F592" s="128">
        <v>2006</v>
      </c>
      <c r="G592" s="128">
        <v>65</v>
      </c>
      <c r="H592" s="128">
        <v>35</v>
      </c>
      <c r="I592" s="128">
        <v>100</v>
      </c>
      <c r="J592" s="128" t="s">
        <v>2751</v>
      </c>
      <c r="K592" s="128" t="s">
        <v>3519</v>
      </c>
      <c r="L592" s="128" t="s">
        <v>3520</v>
      </c>
      <c r="M592" s="128" t="s">
        <v>3521</v>
      </c>
      <c r="N592" s="128" t="s">
        <v>3522</v>
      </c>
      <c r="O592" s="128">
        <v>570</v>
      </c>
      <c r="P592" s="128">
        <v>123</v>
      </c>
      <c r="Q592" s="128">
        <v>88</v>
      </c>
      <c r="R592" s="128">
        <v>204</v>
      </c>
      <c r="S592" s="128">
        <v>80</v>
      </c>
      <c r="T592" s="128">
        <v>80</v>
      </c>
      <c r="U592" s="128">
        <v>575</v>
      </c>
      <c r="V592" s="128" t="s">
        <v>1547</v>
      </c>
    </row>
    <row r="593" spans="1:22" x14ac:dyDescent="0.35">
      <c r="A593" s="118">
        <v>592</v>
      </c>
      <c r="B593" s="128" t="s">
        <v>168</v>
      </c>
      <c r="C593" s="128" t="s">
        <v>273</v>
      </c>
      <c r="D593" s="128" t="s">
        <v>3523</v>
      </c>
      <c r="E593" s="128" t="s">
        <v>3524</v>
      </c>
      <c r="F593" s="128">
        <v>1987</v>
      </c>
      <c r="G593" s="128">
        <v>32</v>
      </c>
      <c r="H593" s="128">
        <v>9</v>
      </c>
      <c r="I593" s="128">
        <v>41</v>
      </c>
      <c r="J593" s="128" t="s">
        <v>2751</v>
      </c>
      <c r="K593" s="128" t="s">
        <v>3525</v>
      </c>
      <c r="L593" s="128" t="s">
        <v>2406</v>
      </c>
      <c r="M593" s="128" t="s">
        <v>3526</v>
      </c>
      <c r="N593" s="128" t="s">
        <v>3527</v>
      </c>
      <c r="O593" s="128">
        <v>584</v>
      </c>
      <c r="P593" s="128">
        <v>135</v>
      </c>
      <c r="Q593" s="128">
        <v>88</v>
      </c>
      <c r="R593" s="128">
        <v>210</v>
      </c>
      <c r="S593" s="128">
        <v>80</v>
      </c>
      <c r="T593" s="128">
        <v>76</v>
      </c>
      <c r="U593" s="128">
        <v>589</v>
      </c>
      <c r="V593" s="128" t="s">
        <v>1547</v>
      </c>
    </row>
    <row r="594" spans="1:22" x14ac:dyDescent="0.35">
      <c r="A594" s="118">
        <v>593</v>
      </c>
      <c r="B594" s="128" t="s">
        <v>168</v>
      </c>
      <c r="C594" s="128" t="s">
        <v>273</v>
      </c>
      <c r="D594" s="128" t="s">
        <v>2391</v>
      </c>
      <c r="E594" s="128" t="s">
        <v>3528</v>
      </c>
      <c r="F594" s="128">
        <v>2006</v>
      </c>
      <c r="G594" s="128">
        <v>58</v>
      </c>
      <c r="H594" s="128">
        <v>4</v>
      </c>
      <c r="I594" s="128">
        <v>62</v>
      </c>
      <c r="J594" s="128" t="s">
        <v>2751</v>
      </c>
      <c r="K594" s="128" t="s">
        <v>3529</v>
      </c>
      <c r="L594" s="128" t="s">
        <v>3085</v>
      </c>
      <c r="M594" s="128" t="s">
        <v>3530</v>
      </c>
      <c r="N594" s="128" t="s">
        <v>3531</v>
      </c>
      <c r="O594" s="128">
        <v>576</v>
      </c>
      <c r="P594" s="128">
        <v>130</v>
      </c>
      <c r="Q594" s="128">
        <v>89</v>
      </c>
      <c r="R594" s="128">
        <v>206</v>
      </c>
      <c r="S594" s="128">
        <v>80</v>
      </c>
      <c r="T594" s="128">
        <v>75</v>
      </c>
      <c r="U594" s="128">
        <v>580</v>
      </c>
      <c r="V594" s="128" t="s">
        <v>1547</v>
      </c>
    </row>
    <row r="595" spans="1:22" x14ac:dyDescent="0.35">
      <c r="A595" s="118">
        <v>594</v>
      </c>
      <c r="B595" s="128" t="s">
        <v>168</v>
      </c>
      <c r="C595" s="128" t="s">
        <v>273</v>
      </c>
      <c r="D595" s="128" t="s">
        <v>3523</v>
      </c>
      <c r="E595" s="128" t="s">
        <v>3532</v>
      </c>
      <c r="F595" s="128">
        <v>1986</v>
      </c>
      <c r="G595" s="128">
        <v>46</v>
      </c>
      <c r="H595" s="128">
        <v>2</v>
      </c>
      <c r="I595" s="128">
        <v>48</v>
      </c>
      <c r="J595" s="128" t="s">
        <v>2751</v>
      </c>
      <c r="K595" s="128" t="s">
        <v>3533</v>
      </c>
      <c r="L595" s="128" t="s">
        <v>3534</v>
      </c>
      <c r="M595" s="128" t="s">
        <v>3535</v>
      </c>
      <c r="N595" s="128" t="s">
        <v>3536</v>
      </c>
      <c r="O595" s="128">
        <v>581</v>
      </c>
      <c r="P595" s="128">
        <v>130</v>
      </c>
      <c r="Q595" s="128">
        <v>89</v>
      </c>
      <c r="R595" s="128">
        <v>216</v>
      </c>
      <c r="S595" s="128">
        <v>80</v>
      </c>
      <c r="T595" s="128">
        <v>75</v>
      </c>
      <c r="U595" s="128">
        <v>590</v>
      </c>
      <c r="V595" s="128" t="s">
        <v>1547</v>
      </c>
    </row>
    <row r="596" spans="1:22" x14ac:dyDescent="0.35">
      <c r="A596" s="118">
        <v>595</v>
      </c>
      <c r="B596" s="128" t="s">
        <v>168</v>
      </c>
      <c r="C596" s="128" t="s">
        <v>273</v>
      </c>
      <c r="D596" s="128" t="s">
        <v>2391</v>
      </c>
      <c r="E596" s="128" t="s">
        <v>3537</v>
      </c>
      <c r="F596" s="128">
        <v>2013</v>
      </c>
      <c r="G596" s="128">
        <v>0</v>
      </c>
      <c r="H596" s="128">
        <v>23</v>
      </c>
      <c r="I596" s="128">
        <v>23</v>
      </c>
      <c r="J596" s="128" t="s">
        <v>3538</v>
      </c>
      <c r="K596" s="128" t="s">
        <v>3539</v>
      </c>
      <c r="L596" s="128" t="s">
        <v>3540</v>
      </c>
      <c r="M596" s="128" t="s">
        <v>3541</v>
      </c>
      <c r="N596" s="128" t="s">
        <v>3542</v>
      </c>
      <c r="O596" s="128">
        <v>432</v>
      </c>
      <c r="P596" s="128">
        <v>100</v>
      </c>
      <c r="Q596" s="128">
        <v>75</v>
      </c>
      <c r="R596" s="128">
        <v>180</v>
      </c>
      <c r="S596" s="128">
        <v>40</v>
      </c>
      <c r="T596" s="128">
        <v>44</v>
      </c>
      <c r="U596" s="128">
        <v>439</v>
      </c>
      <c r="V596" s="128" t="s">
        <v>2643</v>
      </c>
    </row>
    <row r="597" spans="1:22" x14ac:dyDescent="0.35">
      <c r="A597" s="118">
        <v>596</v>
      </c>
      <c r="B597" s="128" t="s">
        <v>168</v>
      </c>
      <c r="C597" s="128" t="s">
        <v>278</v>
      </c>
      <c r="D597" s="128" t="s">
        <v>2391</v>
      </c>
      <c r="E597" s="128" t="s">
        <v>3543</v>
      </c>
      <c r="F597" s="128">
        <v>2008</v>
      </c>
      <c r="G597" s="128">
        <v>20</v>
      </c>
      <c r="H597" s="128">
        <v>15</v>
      </c>
      <c r="I597" s="128">
        <v>35</v>
      </c>
      <c r="J597" s="128" t="s">
        <v>2751</v>
      </c>
      <c r="K597" s="128" t="s">
        <v>3544</v>
      </c>
      <c r="L597" s="128" t="s">
        <v>3358</v>
      </c>
      <c r="M597" s="128" t="s">
        <v>2787</v>
      </c>
      <c r="N597" s="128" t="s">
        <v>3545</v>
      </c>
      <c r="O597" s="128">
        <v>750</v>
      </c>
      <c r="P597" s="128">
        <v>161</v>
      </c>
      <c r="Q597" s="128">
        <v>139</v>
      </c>
      <c r="R597" s="128">
        <v>295</v>
      </c>
      <c r="S597" s="128">
        <v>85</v>
      </c>
      <c r="T597" s="128">
        <v>85</v>
      </c>
      <c r="U597" s="128">
        <v>765</v>
      </c>
      <c r="V597" s="128" t="s">
        <v>2702</v>
      </c>
    </row>
    <row r="598" spans="1:22" x14ac:dyDescent="0.35">
      <c r="A598" s="118">
        <v>597</v>
      </c>
      <c r="B598" s="128" t="s">
        <v>168</v>
      </c>
      <c r="C598" s="128" t="s">
        <v>278</v>
      </c>
      <c r="D598" s="128" t="s">
        <v>361</v>
      </c>
      <c r="E598" s="128" t="s">
        <v>3546</v>
      </c>
      <c r="F598" s="128">
        <v>2008</v>
      </c>
      <c r="G598" s="128">
        <v>15</v>
      </c>
      <c r="H598" s="128">
        <v>4</v>
      </c>
      <c r="I598" s="128">
        <v>19</v>
      </c>
      <c r="J598" s="128" t="s">
        <v>2751</v>
      </c>
      <c r="K598" s="128" t="s">
        <v>3547</v>
      </c>
      <c r="L598" s="128" t="s">
        <v>3548</v>
      </c>
      <c r="M598" s="128" t="s">
        <v>2647</v>
      </c>
      <c r="N598" s="128" t="s">
        <v>2614</v>
      </c>
      <c r="O598" s="128">
        <v>615</v>
      </c>
      <c r="P598" s="128">
        <v>135</v>
      </c>
      <c r="Q598" s="128">
        <v>115</v>
      </c>
      <c r="R598" s="128">
        <v>216</v>
      </c>
      <c r="S598" s="128">
        <v>80</v>
      </c>
      <c r="T598" s="128">
        <v>80</v>
      </c>
      <c r="U598" s="128">
        <v>626</v>
      </c>
      <c r="V598" s="128" t="s">
        <v>1547</v>
      </c>
    </row>
    <row r="599" spans="1:22" x14ac:dyDescent="0.35">
      <c r="A599" s="118">
        <v>598</v>
      </c>
      <c r="B599" s="128" t="s">
        <v>168</v>
      </c>
      <c r="C599" s="128" t="s">
        <v>278</v>
      </c>
      <c r="D599" s="128" t="s">
        <v>3549</v>
      </c>
      <c r="E599" s="128" t="s">
        <v>3550</v>
      </c>
      <c r="F599" s="128">
        <v>2008</v>
      </c>
      <c r="G599" s="128">
        <v>5</v>
      </c>
      <c r="H599" s="128">
        <v>8</v>
      </c>
      <c r="I599" s="128">
        <v>13</v>
      </c>
      <c r="J599" s="128" t="s">
        <v>2751</v>
      </c>
      <c r="K599" s="128" t="s">
        <v>3551</v>
      </c>
      <c r="L599" s="128" t="s">
        <v>2653</v>
      </c>
      <c r="M599" s="128" t="s">
        <v>3552</v>
      </c>
      <c r="N599" s="128" t="s">
        <v>2606</v>
      </c>
      <c r="O599" s="128">
        <v>704</v>
      </c>
      <c r="P599" s="128">
        <v>137</v>
      </c>
      <c r="Q599" s="128">
        <v>118</v>
      </c>
      <c r="R599" s="128">
        <v>295</v>
      </c>
      <c r="S599" s="128">
        <v>81</v>
      </c>
      <c r="T599" s="128">
        <v>81</v>
      </c>
      <c r="U599" s="128">
        <v>712</v>
      </c>
      <c r="V599" s="128" t="s">
        <v>2702</v>
      </c>
    </row>
    <row r="600" spans="1:22" x14ac:dyDescent="0.35">
      <c r="A600" s="118">
        <v>599</v>
      </c>
      <c r="B600" s="128" t="s">
        <v>168</v>
      </c>
      <c r="C600" s="128" t="s">
        <v>278</v>
      </c>
      <c r="D600" s="128" t="s">
        <v>3553</v>
      </c>
      <c r="E600" s="128" t="s">
        <v>3554</v>
      </c>
      <c r="F600" s="128">
        <v>2008</v>
      </c>
      <c r="G600" s="128">
        <v>34</v>
      </c>
      <c r="H600" s="128">
        <v>9</v>
      </c>
      <c r="I600" s="128">
        <v>43</v>
      </c>
      <c r="J600" s="128" t="s">
        <v>2751</v>
      </c>
      <c r="K600" s="128" t="s">
        <v>3555</v>
      </c>
      <c r="L600" s="128" t="s">
        <v>3556</v>
      </c>
      <c r="M600" s="128" t="s">
        <v>3557</v>
      </c>
      <c r="N600" s="128" t="s">
        <v>3161</v>
      </c>
      <c r="O600" s="128">
        <v>805</v>
      </c>
      <c r="P600" s="128">
        <v>197</v>
      </c>
      <c r="Q600" s="128">
        <v>150</v>
      </c>
      <c r="R600" s="128">
        <v>295</v>
      </c>
      <c r="S600" s="128">
        <v>83</v>
      </c>
      <c r="T600" s="128">
        <v>84</v>
      </c>
      <c r="U600" s="128">
        <v>809</v>
      </c>
      <c r="V600" s="128" t="s">
        <v>2702</v>
      </c>
    </row>
    <row r="601" spans="1:22" x14ac:dyDescent="0.35">
      <c r="A601" s="118">
        <v>600</v>
      </c>
      <c r="B601" s="128" t="s">
        <v>168</v>
      </c>
      <c r="C601" s="128" t="s">
        <v>278</v>
      </c>
      <c r="D601" s="128" t="s">
        <v>3558</v>
      </c>
      <c r="E601" s="128" t="s">
        <v>3559</v>
      </c>
      <c r="F601" s="128">
        <v>2008</v>
      </c>
      <c r="G601" s="128">
        <v>14</v>
      </c>
      <c r="H601" s="128">
        <v>5</v>
      </c>
      <c r="I601" s="128">
        <v>19</v>
      </c>
      <c r="J601" s="128" t="s">
        <v>2751</v>
      </c>
      <c r="K601" s="128" t="s">
        <v>3560</v>
      </c>
      <c r="L601" s="128" t="s">
        <v>3358</v>
      </c>
      <c r="M601" s="128" t="s">
        <v>3561</v>
      </c>
      <c r="N601" s="128" t="s">
        <v>3562</v>
      </c>
      <c r="O601" s="128">
        <v>586</v>
      </c>
      <c r="P601" s="128">
        <v>135</v>
      </c>
      <c r="Q601" s="128">
        <v>115</v>
      </c>
      <c r="R601" s="128">
        <v>202</v>
      </c>
      <c r="S601" s="128">
        <v>67</v>
      </c>
      <c r="T601" s="128">
        <v>79</v>
      </c>
      <c r="U601" s="128">
        <v>598</v>
      </c>
      <c r="V601" s="128" t="s">
        <v>1547</v>
      </c>
    </row>
    <row r="602" spans="1:22" x14ac:dyDescent="0.35">
      <c r="A602" s="118">
        <v>601</v>
      </c>
      <c r="B602" s="128" t="s">
        <v>168</v>
      </c>
      <c r="C602" s="128" t="s">
        <v>278</v>
      </c>
      <c r="D602" s="128" t="s">
        <v>2535</v>
      </c>
      <c r="E602" s="128" t="s">
        <v>3563</v>
      </c>
      <c r="F602" s="128">
        <v>2008</v>
      </c>
      <c r="G602" s="128">
        <v>12</v>
      </c>
      <c r="H602" s="128">
        <v>1</v>
      </c>
      <c r="I602" s="128">
        <v>13</v>
      </c>
      <c r="J602" s="128" t="s">
        <v>2751</v>
      </c>
      <c r="K602" s="128" t="s">
        <v>3564</v>
      </c>
      <c r="L602" s="128" t="s">
        <v>3439</v>
      </c>
      <c r="M602" s="128" t="s">
        <v>2524</v>
      </c>
      <c r="N602" s="128" t="s">
        <v>2849</v>
      </c>
      <c r="O602" s="128">
        <v>809</v>
      </c>
      <c r="P602" s="128">
        <v>200</v>
      </c>
      <c r="Q602" s="128">
        <v>150</v>
      </c>
      <c r="R602" s="128">
        <v>295</v>
      </c>
      <c r="S602" s="128">
        <v>85</v>
      </c>
      <c r="T602" s="128">
        <v>85</v>
      </c>
      <c r="U602" s="128">
        <v>815</v>
      </c>
      <c r="V602" s="128" t="s">
        <v>2702</v>
      </c>
    </row>
    <row r="603" spans="1:22" x14ac:dyDescent="0.35">
      <c r="A603" s="118">
        <v>602</v>
      </c>
      <c r="B603" s="128" t="s">
        <v>168</v>
      </c>
      <c r="C603" s="128" t="s">
        <v>278</v>
      </c>
      <c r="D603" s="128" t="s">
        <v>3565</v>
      </c>
      <c r="E603" s="128" t="s">
        <v>3566</v>
      </c>
      <c r="F603" s="128">
        <v>2008</v>
      </c>
      <c r="G603" s="128">
        <v>19</v>
      </c>
      <c r="H603" s="128">
        <v>4</v>
      </c>
      <c r="I603" s="128">
        <v>23</v>
      </c>
      <c r="J603" s="128" t="s">
        <v>2751</v>
      </c>
      <c r="K603" s="128" t="s">
        <v>3539</v>
      </c>
      <c r="L603" s="128" t="s">
        <v>3567</v>
      </c>
      <c r="M603" s="128" t="s">
        <v>2786</v>
      </c>
      <c r="N603" s="128" t="s">
        <v>3568</v>
      </c>
      <c r="O603" s="128">
        <v>826</v>
      </c>
      <c r="P603" s="128">
        <v>187</v>
      </c>
      <c r="Q603" s="128">
        <v>149</v>
      </c>
      <c r="R603" s="128">
        <v>295</v>
      </c>
      <c r="S603" s="128">
        <v>92</v>
      </c>
      <c r="T603" s="128">
        <v>107</v>
      </c>
      <c r="U603" s="128">
        <v>830</v>
      </c>
      <c r="V603" s="128" t="s">
        <v>2702</v>
      </c>
    </row>
    <row r="604" spans="1:22" x14ac:dyDescent="0.35">
      <c r="A604" s="118">
        <v>603</v>
      </c>
      <c r="B604" s="128" t="s">
        <v>168</v>
      </c>
      <c r="C604" s="128" t="s">
        <v>278</v>
      </c>
      <c r="D604" s="128" t="s">
        <v>3569</v>
      </c>
      <c r="E604" s="128" t="s">
        <v>3570</v>
      </c>
      <c r="F604" s="128">
        <v>1987</v>
      </c>
      <c r="G604" s="128">
        <v>36</v>
      </c>
      <c r="H604" s="128">
        <v>10</v>
      </c>
      <c r="I604" s="128">
        <v>46</v>
      </c>
      <c r="J604" s="128" t="s">
        <v>2751</v>
      </c>
      <c r="K604" s="128" t="s">
        <v>3571</v>
      </c>
      <c r="L604" s="128" t="s">
        <v>3464</v>
      </c>
      <c r="M604" s="128" t="s">
        <v>2493</v>
      </c>
      <c r="N604" s="128" t="s">
        <v>3572</v>
      </c>
      <c r="O604" s="128">
        <v>817</v>
      </c>
      <c r="P604" s="128">
        <v>187</v>
      </c>
      <c r="Q604" s="128">
        <v>147</v>
      </c>
      <c r="R604" s="128">
        <v>303</v>
      </c>
      <c r="S604" s="128">
        <v>95</v>
      </c>
      <c r="T604" s="128">
        <v>90</v>
      </c>
      <c r="U604" s="128">
        <v>822</v>
      </c>
      <c r="V604" s="128" t="s">
        <v>2702</v>
      </c>
    </row>
    <row r="605" spans="1:22" x14ac:dyDescent="0.35">
      <c r="A605" s="118">
        <v>604</v>
      </c>
      <c r="B605" s="128" t="s">
        <v>168</v>
      </c>
      <c r="C605" s="128" t="s">
        <v>278</v>
      </c>
      <c r="D605" s="128" t="s">
        <v>3573</v>
      </c>
      <c r="E605" s="128" t="s">
        <v>3574</v>
      </c>
      <c r="F605" s="128">
        <v>1987</v>
      </c>
      <c r="G605" s="128">
        <v>22</v>
      </c>
      <c r="H605" s="128">
        <v>6</v>
      </c>
      <c r="I605" s="128">
        <v>28</v>
      </c>
      <c r="J605" s="128" t="s">
        <v>2751</v>
      </c>
      <c r="K605" s="128" t="s">
        <v>3575</v>
      </c>
      <c r="L605" s="128" t="s">
        <v>3576</v>
      </c>
      <c r="M605" s="128" t="s">
        <v>2731</v>
      </c>
      <c r="N605" s="128" t="s">
        <v>3577</v>
      </c>
      <c r="O605" s="128">
        <v>807</v>
      </c>
      <c r="P605" s="128">
        <v>187</v>
      </c>
      <c r="Q605" s="128">
        <v>130</v>
      </c>
      <c r="R605" s="128">
        <v>295</v>
      </c>
      <c r="S605" s="128">
        <v>95</v>
      </c>
      <c r="T605" s="128">
        <v>107</v>
      </c>
      <c r="U605" s="128">
        <v>814</v>
      </c>
      <c r="V605" s="128" t="s">
        <v>2702</v>
      </c>
    </row>
    <row r="606" spans="1:22" x14ac:dyDescent="0.35">
      <c r="A606" s="118">
        <v>605</v>
      </c>
      <c r="B606" s="128" t="s">
        <v>168</v>
      </c>
      <c r="C606" s="128" t="s">
        <v>278</v>
      </c>
      <c r="D606" s="128" t="s">
        <v>3354</v>
      </c>
      <c r="E606" s="128" t="s">
        <v>3578</v>
      </c>
      <c r="F606" s="128">
        <v>1987</v>
      </c>
      <c r="G606" s="128">
        <v>16</v>
      </c>
      <c r="H606" s="128">
        <v>2</v>
      </c>
      <c r="I606" s="128">
        <v>18</v>
      </c>
      <c r="J606" s="128" t="s">
        <v>2751</v>
      </c>
      <c r="K606" s="128" t="s">
        <v>3579</v>
      </c>
      <c r="L606" s="128" t="s">
        <v>2661</v>
      </c>
      <c r="M606" s="128" t="s">
        <v>2706</v>
      </c>
      <c r="N606" s="128" t="s">
        <v>3178</v>
      </c>
      <c r="O606" s="128">
        <v>610</v>
      </c>
      <c r="P606" s="128">
        <v>135</v>
      </c>
      <c r="Q606" s="128">
        <v>97</v>
      </c>
      <c r="R606" s="128">
        <v>230</v>
      </c>
      <c r="S606" s="128">
        <v>80</v>
      </c>
      <c r="T606" s="128">
        <v>80</v>
      </c>
      <c r="U606" s="128">
        <v>622</v>
      </c>
      <c r="V606" s="128" t="s">
        <v>1547</v>
      </c>
    </row>
    <row r="607" spans="1:22" x14ac:dyDescent="0.35">
      <c r="A607" s="118">
        <v>606</v>
      </c>
      <c r="B607" s="128" t="s">
        <v>168</v>
      </c>
      <c r="C607" s="128" t="s">
        <v>6245</v>
      </c>
      <c r="D607" s="128" t="s">
        <v>3580</v>
      </c>
      <c r="E607" s="128" t="s">
        <v>3581</v>
      </c>
      <c r="F607" s="128">
        <v>2007</v>
      </c>
      <c r="G607" s="128">
        <v>43</v>
      </c>
      <c r="H607" s="128">
        <v>6</v>
      </c>
      <c r="I607" s="128">
        <v>49</v>
      </c>
      <c r="J607" s="128" t="s">
        <v>2751</v>
      </c>
      <c r="K607" s="128" t="s">
        <v>3582</v>
      </c>
      <c r="L607" s="128" t="s">
        <v>2613</v>
      </c>
      <c r="M607" s="128" t="s">
        <v>3583</v>
      </c>
      <c r="N607" s="128" t="s">
        <v>3584</v>
      </c>
      <c r="O607" s="128">
        <v>662</v>
      </c>
      <c r="P607" s="128">
        <v>135</v>
      </c>
      <c r="Q607" s="128">
        <v>115</v>
      </c>
      <c r="R607" s="128">
        <v>260</v>
      </c>
      <c r="S607" s="128">
        <v>80</v>
      </c>
      <c r="T607" s="128">
        <v>80</v>
      </c>
      <c r="U607" s="128">
        <v>670</v>
      </c>
      <c r="V607" s="128" t="s">
        <v>1547</v>
      </c>
    </row>
    <row r="608" spans="1:22" x14ac:dyDescent="0.35">
      <c r="A608" s="118">
        <v>607</v>
      </c>
      <c r="B608" s="128" t="s">
        <v>168</v>
      </c>
      <c r="C608" s="128" t="s">
        <v>6245</v>
      </c>
      <c r="D608" s="128" t="s">
        <v>3585</v>
      </c>
      <c r="E608" s="128" t="s">
        <v>3586</v>
      </c>
      <c r="F608" s="128">
        <v>1992</v>
      </c>
      <c r="G608" s="128">
        <v>30</v>
      </c>
      <c r="H608" s="128">
        <v>15</v>
      </c>
      <c r="I608" s="128">
        <v>45</v>
      </c>
      <c r="J608" s="128" t="s">
        <v>2751</v>
      </c>
      <c r="K608" s="128" t="s">
        <v>3587</v>
      </c>
      <c r="L608" s="128" t="s">
        <v>2786</v>
      </c>
      <c r="M608" s="128" t="s">
        <v>2731</v>
      </c>
      <c r="N608" s="128" t="s">
        <v>2426</v>
      </c>
      <c r="O608" s="128">
        <v>445</v>
      </c>
      <c r="P608" s="128">
        <v>100</v>
      </c>
      <c r="Q608" s="128">
        <v>80</v>
      </c>
      <c r="R608" s="128">
        <v>180</v>
      </c>
      <c r="S608" s="128">
        <v>40</v>
      </c>
      <c r="T608" s="128">
        <v>50</v>
      </c>
      <c r="U608" s="128">
        <v>450</v>
      </c>
      <c r="V608" s="128" t="s">
        <v>2643</v>
      </c>
    </row>
    <row r="609" spans="1:22" x14ac:dyDescent="0.35">
      <c r="A609" s="118">
        <v>608</v>
      </c>
      <c r="B609" s="128" t="s">
        <v>168</v>
      </c>
      <c r="C609" s="128" t="s">
        <v>6245</v>
      </c>
      <c r="D609" s="128" t="s">
        <v>3588</v>
      </c>
      <c r="E609" s="128" t="s">
        <v>3589</v>
      </c>
      <c r="F609" s="128">
        <v>2008</v>
      </c>
      <c r="G609" s="128">
        <v>54</v>
      </c>
      <c r="H609" s="128">
        <v>12</v>
      </c>
      <c r="I609" s="128">
        <v>66</v>
      </c>
      <c r="J609" s="128" t="s">
        <v>2751</v>
      </c>
      <c r="K609" s="128" t="s">
        <v>3590</v>
      </c>
      <c r="L609" s="128" t="s">
        <v>2566</v>
      </c>
      <c r="M609" s="128" t="s">
        <v>3591</v>
      </c>
      <c r="N609" s="128" t="s">
        <v>3592</v>
      </c>
      <c r="O609" s="128">
        <v>476</v>
      </c>
      <c r="P609" s="128">
        <v>107</v>
      </c>
      <c r="Q609" s="128">
        <v>87</v>
      </c>
      <c r="R609" s="128">
        <v>190</v>
      </c>
      <c r="S609" s="128">
        <v>41</v>
      </c>
      <c r="T609" s="128">
        <v>63</v>
      </c>
      <c r="U609" s="128">
        <v>488</v>
      </c>
      <c r="V609" s="128" t="s">
        <v>1547</v>
      </c>
    </row>
    <row r="610" spans="1:22" x14ac:dyDescent="0.35">
      <c r="A610" s="118">
        <v>609</v>
      </c>
      <c r="B610" s="128" t="s">
        <v>168</v>
      </c>
      <c r="C610" s="128" t="s">
        <v>6245</v>
      </c>
      <c r="D610" s="128" t="s">
        <v>3593</v>
      </c>
      <c r="E610" s="128" t="s">
        <v>3594</v>
      </c>
      <c r="F610" s="128">
        <v>2008</v>
      </c>
      <c r="G610" s="128">
        <v>29</v>
      </c>
      <c r="H610" s="128">
        <v>8</v>
      </c>
      <c r="I610" s="128">
        <v>37</v>
      </c>
      <c r="J610" s="128" t="s">
        <v>2751</v>
      </c>
      <c r="K610" s="128" t="s">
        <v>3595</v>
      </c>
      <c r="L610" s="128" t="s">
        <v>2735</v>
      </c>
      <c r="M610" s="128" t="s">
        <v>3596</v>
      </c>
      <c r="N610" s="128" t="s">
        <v>2678</v>
      </c>
      <c r="O610" s="128">
        <v>417</v>
      </c>
      <c r="P610" s="128">
        <v>100</v>
      </c>
      <c r="Q610" s="128">
        <v>75</v>
      </c>
      <c r="R610" s="128">
        <v>166</v>
      </c>
      <c r="S610" s="128">
        <v>40</v>
      </c>
      <c r="T610" s="128">
        <v>50</v>
      </c>
      <c r="U610" s="128">
        <v>431</v>
      </c>
      <c r="V610" s="128" t="s">
        <v>2643</v>
      </c>
    </row>
    <row r="611" spans="1:22" x14ac:dyDescent="0.35">
      <c r="A611" s="118">
        <v>610</v>
      </c>
      <c r="B611" s="128" t="s">
        <v>168</v>
      </c>
      <c r="C611" s="128" t="s">
        <v>6245</v>
      </c>
      <c r="D611" s="128" t="s">
        <v>3187</v>
      </c>
      <c r="E611" s="128" t="s">
        <v>3597</v>
      </c>
      <c r="F611" s="128">
        <v>2008</v>
      </c>
      <c r="G611" s="128">
        <v>83</v>
      </c>
      <c r="H611" s="128">
        <v>4</v>
      </c>
      <c r="I611" s="128">
        <v>87</v>
      </c>
      <c r="J611" s="128" t="s">
        <v>2751</v>
      </c>
      <c r="K611" s="128" t="s">
        <v>3598</v>
      </c>
      <c r="L611" s="128" t="s">
        <v>2566</v>
      </c>
      <c r="M611" s="128" t="s">
        <v>3599</v>
      </c>
      <c r="N611" s="128" t="s">
        <v>3600</v>
      </c>
      <c r="O611" s="128">
        <v>432</v>
      </c>
      <c r="P611" s="128">
        <v>100</v>
      </c>
      <c r="Q611" s="128">
        <v>80</v>
      </c>
      <c r="R611" s="128">
        <v>170</v>
      </c>
      <c r="S611" s="128">
        <v>40</v>
      </c>
      <c r="T611" s="128">
        <v>50</v>
      </c>
      <c r="U611" s="128">
        <v>440</v>
      </c>
      <c r="V611" s="128" t="s">
        <v>2643</v>
      </c>
    </row>
    <row r="612" spans="1:22" x14ac:dyDescent="0.35">
      <c r="A612" s="118">
        <v>611</v>
      </c>
      <c r="B612" s="128" t="s">
        <v>168</v>
      </c>
      <c r="C612" s="128" t="s">
        <v>6245</v>
      </c>
      <c r="D612" s="128" t="s">
        <v>3601</v>
      </c>
      <c r="E612" s="128" t="s">
        <v>3602</v>
      </c>
      <c r="F612" s="128">
        <v>2007</v>
      </c>
      <c r="G612" s="128">
        <v>84</v>
      </c>
      <c r="H612" s="128">
        <v>8</v>
      </c>
      <c r="I612" s="128">
        <v>92</v>
      </c>
      <c r="J612" s="128" t="s">
        <v>2751</v>
      </c>
      <c r="K612" s="128" t="s">
        <v>3603</v>
      </c>
      <c r="L612" s="128" t="s">
        <v>3604</v>
      </c>
      <c r="M612" s="128" t="s">
        <v>3605</v>
      </c>
      <c r="N612" s="128" t="s">
        <v>3606</v>
      </c>
      <c r="O612" s="128">
        <v>497</v>
      </c>
      <c r="P612" s="128">
        <v>120</v>
      </c>
      <c r="Q612" s="128">
        <v>83</v>
      </c>
      <c r="R612" s="128">
        <v>195</v>
      </c>
      <c r="S612" s="128">
        <v>57</v>
      </c>
      <c r="T612" s="128">
        <v>60</v>
      </c>
      <c r="U612" s="128">
        <v>515</v>
      </c>
      <c r="V612" s="128" t="s">
        <v>1547</v>
      </c>
    </row>
    <row r="613" spans="1:22" x14ac:dyDescent="0.35">
      <c r="A613" s="118">
        <v>612</v>
      </c>
      <c r="B613" s="128" t="s">
        <v>168</v>
      </c>
      <c r="C613" s="128" t="s">
        <v>6245</v>
      </c>
      <c r="D613" s="128" t="s">
        <v>3607</v>
      </c>
      <c r="E613" s="128" t="s">
        <v>3608</v>
      </c>
      <c r="F613" s="128">
        <v>2008</v>
      </c>
      <c r="G613" s="128">
        <v>50</v>
      </c>
      <c r="H613" s="128">
        <v>6</v>
      </c>
      <c r="I613" s="128">
        <v>56</v>
      </c>
      <c r="J613" s="128" t="s">
        <v>3609</v>
      </c>
      <c r="K613" s="128" t="s">
        <v>3610</v>
      </c>
      <c r="L613" s="128" t="s">
        <v>3611</v>
      </c>
      <c r="M613" s="128" t="s">
        <v>3612</v>
      </c>
      <c r="N613" s="128" t="s">
        <v>3613</v>
      </c>
      <c r="O613" s="128">
        <v>520</v>
      </c>
      <c r="P613" s="128">
        <v>128</v>
      </c>
      <c r="Q613" s="128">
        <v>83</v>
      </c>
      <c r="R613" s="128">
        <v>190</v>
      </c>
      <c r="S613" s="128">
        <v>60</v>
      </c>
      <c r="T613" s="128">
        <v>65</v>
      </c>
      <c r="U613" s="128">
        <v>526</v>
      </c>
      <c r="V613" s="128" t="s">
        <v>1547</v>
      </c>
    </row>
    <row r="614" spans="1:22" x14ac:dyDescent="0.35">
      <c r="A614" s="118">
        <v>613</v>
      </c>
      <c r="B614" s="128" t="s">
        <v>168</v>
      </c>
      <c r="C614" s="128" t="s">
        <v>6245</v>
      </c>
      <c r="D614" s="128" t="s">
        <v>3614</v>
      </c>
      <c r="E614" s="128" t="s">
        <v>3615</v>
      </c>
      <c r="F614" s="128">
        <v>2012</v>
      </c>
      <c r="G614" s="128">
        <v>0</v>
      </c>
      <c r="H614" s="128">
        <v>46</v>
      </c>
      <c r="I614" s="128">
        <v>46</v>
      </c>
      <c r="J614" s="128" t="s">
        <v>3616</v>
      </c>
      <c r="K614" s="128" t="s">
        <v>3617</v>
      </c>
      <c r="L614" s="128" t="s">
        <v>3618</v>
      </c>
      <c r="M614" s="128" t="s">
        <v>3619</v>
      </c>
      <c r="N614" s="128" t="s">
        <v>3620</v>
      </c>
      <c r="O614" s="128">
        <v>437</v>
      </c>
      <c r="P614" s="128">
        <v>100</v>
      </c>
      <c r="Q614" s="128">
        <v>80</v>
      </c>
      <c r="R614" s="128">
        <v>175</v>
      </c>
      <c r="S614" s="128">
        <v>40</v>
      </c>
      <c r="T614" s="128">
        <v>50</v>
      </c>
      <c r="U614" s="128">
        <v>445</v>
      </c>
      <c r="V614" s="128" t="s">
        <v>2643</v>
      </c>
    </row>
    <row r="615" spans="1:22" x14ac:dyDescent="0.35">
      <c r="A615" s="118">
        <v>614</v>
      </c>
      <c r="B615" s="128" t="s">
        <v>168</v>
      </c>
      <c r="C615" s="128" t="s">
        <v>6245</v>
      </c>
      <c r="D615" s="128" t="s">
        <v>3593</v>
      </c>
      <c r="E615" s="128" t="s">
        <v>3621</v>
      </c>
      <c r="F615" s="128">
        <v>2012</v>
      </c>
      <c r="G615" s="128">
        <v>0</v>
      </c>
      <c r="H615" s="128">
        <v>51</v>
      </c>
      <c r="I615" s="128">
        <v>51</v>
      </c>
      <c r="J615" s="128" t="s">
        <v>3616</v>
      </c>
      <c r="K615" s="128" t="s">
        <v>3622</v>
      </c>
      <c r="L615" s="128" t="s">
        <v>3623</v>
      </c>
      <c r="M615" s="128" t="s">
        <v>3624</v>
      </c>
      <c r="N615" s="128" t="s">
        <v>3625</v>
      </c>
      <c r="O615" s="128">
        <v>510</v>
      </c>
      <c r="P615" s="128">
        <v>125</v>
      </c>
      <c r="Q615" s="128">
        <v>83</v>
      </c>
      <c r="R615" s="128">
        <v>190</v>
      </c>
      <c r="S615" s="128">
        <v>60</v>
      </c>
      <c r="T615" s="128">
        <v>65</v>
      </c>
      <c r="U615" s="128">
        <v>523</v>
      </c>
      <c r="V615" s="128" t="s">
        <v>1547</v>
      </c>
    </row>
    <row r="616" spans="1:22" x14ac:dyDescent="0.35">
      <c r="A616" s="118">
        <v>615</v>
      </c>
      <c r="B616" s="128" t="s">
        <v>168</v>
      </c>
      <c r="C616" s="128" t="s">
        <v>269</v>
      </c>
      <c r="D616" s="128" t="s">
        <v>2391</v>
      </c>
      <c r="E616" s="128" t="s">
        <v>3626</v>
      </c>
      <c r="F616" s="128">
        <v>1999</v>
      </c>
      <c r="G616" s="128">
        <v>35</v>
      </c>
      <c r="H616" s="128">
        <v>8</v>
      </c>
      <c r="I616" s="128">
        <v>43</v>
      </c>
      <c r="J616" s="128" t="s">
        <v>2751</v>
      </c>
      <c r="K616" s="128" t="s">
        <v>3627</v>
      </c>
      <c r="L616" s="128" t="s">
        <v>2771</v>
      </c>
      <c r="M616" s="128" t="s">
        <v>3628</v>
      </c>
      <c r="N616" s="128" t="s">
        <v>3629</v>
      </c>
      <c r="O616" s="128">
        <v>688</v>
      </c>
      <c r="P616" s="128">
        <v>133</v>
      </c>
      <c r="Q616" s="128">
        <v>115</v>
      </c>
      <c r="R616" s="128">
        <v>292</v>
      </c>
      <c r="S616" s="128">
        <v>76</v>
      </c>
      <c r="T616" s="128">
        <v>72</v>
      </c>
      <c r="U616" s="128">
        <v>688</v>
      </c>
      <c r="V616" s="128" t="s">
        <v>1547</v>
      </c>
    </row>
    <row r="617" spans="1:22" x14ac:dyDescent="0.35">
      <c r="A617" s="118">
        <v>616</v>
      </c>
      <c r="B617" s="128" t="s">
        <v>168</v>
      </c>
      <c r="C617" s="128" t="s">
        <v>269</v>
      </c>
      <c r="D617" s="128" t="s">
        <v>3630</v>
      </c>
      <c r="E617" s="128" t="s">
        <v>3631</v>
      </c>
      <c r="F617" s="128">
        <v>1997</v>
      </c>
      <c r="G617" s="128">
        <v>28</v>
      </c>
      <c r="H617" s="128">
        <v>10</v>
      </c>
      <c r="I617" s="128">
        <v>38</v>
      </c>
      <c r="J617" s="128" t="s">
        <v>2751</v>
      </c>
      <c r="K617" s="128" t="s">
        <v>3632</v>
      </c>
      <c r="L617" s="128" t="s">
        <v>3633</v>
      </c>
      <c r="M617" s="128" t="s">
        <v>3634</v>
      </c>
      <c r="N617" s="128" t="s">
        <v>3635</v>
      </c>
      <c r="O617" s="128">
        <v>700</v>
      </c>
      <c r="P617" s="128">
        <v>135</v>
      </c>
      <c r="Q617" s="128">
        <v>115</v>
      </c>
      <c r="R617" s="128">
        <v>295</v>
      </c>
      <c r="S617" s="128">
        <v>80</v>
      </c>
      <c r="T617" s="128">
        <v>75</v>
      </c>
      <c r="U617" s="128">
        <v>700</v>
      </c>
      <c r="V617" s="128" t="s">
        <v>1547</v>
      </c>
    </row>
    <row r="618" spans="1:22" x14ac:dyDescent="0.35">
      <c r="A618" s="118">
        <v>617</v>
      </c>
      <c r="B618" s="128" t="s">
        <v>168</v>
      </c>
      <c r="C618" s="128" t="s">
        <v>269</v>
      </c>
      <c r="D618" s="128" t="s">
        <v>3636</v>
      </c>
      <c r="E618" s="128" t="s">
        <v>3637</v>
      </c>
      <c r="F618" s="128">
        <v>2005</v>
      </c>
      <c r="G618" s="128">
        <v>26</v>
      </c>
      <c r="H618" s="128">
        <v>10</v>
      </c>
      <c r="I618" s="128">
        <v>36</v>
      </c>
      <c r="J618" s="128" t="s">
        <v>2751</v>
      </c>
      <c r="K618" s="128" t="s">
        <v>3638</v>
      </c>
      <c r="L618" s="128" t="s">
        <v>3639</v>
      </c>
      <c r="M618" s="128" t="s">
        <v>3640</v>
      </c>
      <c r="N618" s="128" t="s">
        <v>3641</v>
      </c>
      <c r="O618" s="128">
        <v>659</v>
      </c>
      <c r="P618" s="128">
        <v>122</v>
      </c>
      <c r="Q618" s="128">
        <v>115</v>
      </c>
      <c r="R618" s="128">
        <v>294</v>
      </c>
      <c r="S618" s="128">
        <v>65</v>
      </c>
      <c r="T618" s="128">
        <v>63</v>
      </c>
      <c r="U618" s="128">
        <v>659</v>
      </c>
      <c r="V618" s="128" t="s">
        <v>1547</v>
      </c>
    </row>
    <row r="619" spans="1:22" x14ac:dyDescent="0.35">
      <c r="A619" s="118">
        <v>618</v>
      </c>
      <c r="B619" s="128" t="s">
        <v>168</v>
      </c>
      <c r="C619" s="128" t="s">
        <v>269</v>
      </c>
      <c r="D619" s="128" t="s">
        <v>2828</v>
      </c>
      <c r="E619" s="128" t="s">
        <v>3642</v>
      </c>
      <c r="F619" s="128">
        <v>1997</v>
      </c>
      <c r="G619" s="128">
        <v>18</v>
      </c>
      <c r="H619" s="128">
        <v>35</v>
      </c>
      <c r="I619" s="128">
        <v>53</v>
      </c>
      <c r="J619" s="128" t="s">
        <v>2751</v>
      </c>
      <c r="K619" s="128" t="s">
        <v>3643</v>
      </c>
      <c r="L619" s="128" t="s">
        <v>3644</v>
      </c>
      <c r="M619" s="128" t="s">
        <v>3645</v>
      </c>
      <c r="N619" s="128" t="s">
        <v>3353</v>
      </c>
      <c r="O619" s="128">
        <v>647</v>
      </c>
      <c r="P619" s="128">
        <v>125</v>
      </c>
      <c r="Q619" s="128">
        <v>115</v>
      </c>
      <c r="R619" s="128">
        <v>290</v>
      </c>
      <c r="S619" s="128">
        <v>60</v>
      </c>
      <c r="T619" s="128">
        <v>58</v>
      </c>
      <c r="U619" s="128">
        <v>648</v>
      </c>
      <c r="V619" s="128" t="s">
        <v>1547</v>
      </c>
    </row>
    <row r="620" spans="1:22" x14ac:dyDescent="0.35">
      <c r="A620" s="118">
        <v>619</v>
      </c>
      <c r="B620" s="128" t="s">
        <v>168</v>
      </c>
      <c r="C620" s="128" t="s">
        <v>269</v>
      </c>
      <c r="D620" s="128" t="s">
        <v>2526</v>
      </c>
      <c r="E620" s="128" t="s">
        <v>3646</v>
      </c>
      <c r="F620" s="128">
        <v>1996</v>
      </c>
      <c r="G620" s="128">
        <v>11</v>
      </c>
      <c r="H620" s="128">
        <v>14</v>
      </c>
      <c r="I620" s="128">
        <v>25</v>
      </c>
      <c r="J620" s="128" t="s">
        <v>2751</v>
      </c>
      <c r="K620" s="128" t="s">
        <v>3647</v>
      </c>
      <c r="L620" s="128" t="s">
        <v>2461</v>
      </c>
      <c r="M620" s="128" t="s">
        <v>2456</v>
      </c>
      <c r="N620" s="128" t="s">
        <v>3648</v>
      </c>
      <c r="O620" s="128">
        <v>671</v>
      </c>
      <c r="P620" s="128">
        <v>130</v>
      </c>
      <c r="Q620" s="128">
        <v>115</v>
      </c>
      <c r="R620" s="128">
        <v>295</v>
      </c>
      <c r="S620" s="128">
        <v>66</v>
      </c>
      <c r="T620" s="128">
        <v>66</v>
      </c>
      <c r="U620" s="128">
        <v>672</v>
      </c>
      <c r="V620" s="128" t="s">
        <v>1547</v>
      </c>
    </row>
    <row r="621" spans="1:22" x14ac:dyDescent="0.35">
      <c r="A621" s="118">
        <v>620</v>
      </c>
      <c r="B621" s="128" t="s">
        <v>168</v>
      </c>
      <c r="C621" s="128" t="s">
        <v>269</v>
      </c>
      <c r="D621" s="128" t="s">
        <v>3649</v>
      </c>
      <c r="E621" s="128" t="s">
        <v>3650</v>
      </c>
      <c r="F621" s="128">
        <v>2007</v>
      </c>
      <c r="G621" s="128">
        <v>37</v>
      </c>
      <c r="H621" s="128">
        <v>8</v>
      </c>
      <c r="I621" s="128">
        <v>45</v>
      </c>
      <c r="J621" s="128" t="s">
        <v>2751</v>
      </c>
      <c r="K621" s="128">
        <v>7</v>
      </c>
      <c r="L621" s="128" t="s">
        <v>3651</v>
      </c>
      <c r="M621" s="128" t="s">
        <v>3652</v>
      </c>
      <c r="N621" s="128" t="s">
        <v>3653</v>
      </c>
      <c r="O621" s="128">
        <v>732</v>
      </c>
      <c r="P621" s="128">
        <v>141</v>
      </c>
      <c r="Q621" s="128">
        <v>126</v>
      </c>
      <c r="R621" s="128">
        <v>307</v>
      </c>
      <c r="S621" s="128">
        <v>81</v>
      </c>
      <c r="T621" s="128">
        <v>81</v>
      </c>
      <c r="U621" s="128">
        <v>736</v>
      </c>
      <c r="V621" s="128" t="s">
        <v>2702</v>
      </c>
    </row>
    <row r="622" spans="1:22" x14ac:dyDescent="0.35">
      <c r="A622" s="118">
        <v>621</v>
      </c>
      <c r="B622" s="128" t="s">
        <v>168</v>
      </c>
      <c r="C622" s="128" t="s">
        <v>268</v>
      </c>
      <c r="D622" s="128" t="s">
        <v>3654</v>
      </c>
      <c r="E622" s="128" t="s">
        <v>3655</v>
      </c>
      <c r="F622" s="128">
        <v>2007</v>
      </c>
      <c r="G622" s="128">
        <v>35</v>
      </c>
      <c r="H622" s="128">
        <v>5</v>
      </c>
      <c r="I622" s="128">
        <v>40</v>
      </c>
      <c r="J622" s="128" t="s">
        <v>2751</v>
      </c>
      <c r="K622" s="128" t="s">
        <v>3656</v>
      </c>
      <c r="L622" s="128" t="s">
        <v>3657</v>
      </c>
      <c r="M622" s="128" t="s">
        <v>3658</v>
      </c>
      <c r="N622" s="128" t="s">
        <v>3438</v>
      </c>
      <c r="O622" s="128">
        <v>635</v>
      </c>
      <c r="P622" s="128">
        <v>135</v>
      </c>
      <c r="Q622" s="128">
        <v>105</v>
      </c>
      <c r="R622" s="128">
        <v>245</v>
      </c>
      <c r="S622" s="128">
        <v>80</v>
      </c>
      <c r="T622" s="128">
        <v>80</v>
      </c>
      <c r="U622" s="128">
        <v>645</v>
      </c>
      <c r="V622" s="128" t="s">
        <v>1547</v>
      </c>
    </row>
    <row r="623" spans="1:22" x14ac:dyDescent="0.35">
      <c r="A623" s="118">
        <v>622</v>
      </c>
      <c r="B623" s="128" t="s">
        <v>168</v>
      </c>
      <c r="C623" s="128" t="s">
        <v>268</v>
      </c>
      <c r="D623" s="128" t="s">
        <v>2828</v>
      </c>
      <c r="E623" s="128" t="s">
        <v>3659</v>
      </c>
      <c r="F623" s="128">
        <v>2007</v>
      </c>
      <c r="G623" s="128">
        <v>33</v>
      </c>
      <c r="H623" s="128">
        <v>8</v>
      </c>
      <c r="I623" s="128">
        <v>41</v>
      </c>
      <c r="J623" s="128" t="s">
        <v>2751</v>
      </c>
      <c r="K623" s="128" t="s">
        <v>3660</v>
      </c>
      <c r="L623" s="128" t="s">
        <v>3661</v>
      </c>
      <c r="M623" s="128" t="s">
        <v>3379</v>
      </c>
      <c r="N623" s="128" t="s">
        <v>3662</v>
      </c>
      <c r="O623" s="128">
        <v>650</v>
      </c>
      <c r="P623" s="128">
        <v>135</v>
      </c>
      <c r="Q623" s="128">
        <v>115</v>
      </c>
      <c r="R623" s="128">
        <v>260</v>
      </c>
      <c r="S623" s="128">
        <v>80</v>
      </c>
      <c r="T623" s="128">
        <v>80</v>
      </c>
      <c r="U623" s="128">
        <v>670</v>
      </c>
      <c r="V623" s="128" t="s">
        <v>1547</v>
      </c>
    </row>
    <row r="624" spans="1:22" x14ac:dyDescent="0.35">
      <c r="A624" s="118">
        <v>623</v>
      </c>
      <c r="B624" s="128" t="s">
        <v>168</v>
      </c>
      <c r="C624" s="128" t="s">
        <v>268</v>
      </c>
      <c r="D624" s="128" t="s">
        <v>2721</v>
      </c>
      <c r="E624" s="128" t="s">
        <v>3663</v>
      </c>
      <c r="F624" s="128">
        <v>2007</v>
      </c>
      <c r="G624" s="128">
        <v>25</v>
      </c>
      <c r="H624" s="128">
        <v>14</v>
      </c>
      <c r="I624" s="128">
        <v>39</v>
      </c>
      <c r="J624" s="128" t="s">
        <v>2751</v>
      </c>
      <c r="K624" s="128" t="s">
        <v>3664</v>
      </c>
      <c r="L624" s="128" t="s">
        <v>3665</v>
      </c>
      <c r="M624" s="128" t="s">
        <v>3666</v>
      </c>
      <c r="N624" s="128" t="s">
        <v>3410</v>
      </c>
      <c r="O624" s="128">
        <v>771</v>
      </c>
      <c r="P624" s="128">
        <v>175</v>
      </c>
      <c r="Q624" s="128">
        <v>135</v>
      </c>
      <c r="R624" s="128">
        <v>300</v>
      </c>
      <c r="S624" s="128">
        <v>81</v>
      </c>
      <c r="T624" s="128">
        <v>85</v>
      </c>
      <c r="U624" s="128">
        <v>776</v>
      </c>
      <c r="V624" s="128" t="s">
        <v>2702</v>
      </c>
    </row>
    <row r="625" spans="1:22" x14ac:dyDescent="0.35">
      <c r="A625" s="118">
        <v>624</v>
      </c>
      <c r="B625" s="128" t="s">
        <v>168</v>
      </c>
      <c r="C625" s="128" t="s">
        <v>268</v>
      </c>
      <c r="D625" s="128" t="s">
        <v>3667</v>
      </c>
      <c r="E625" s="128" t="s">
        <v>3668</v>
      </c>
      <c r="F625" s="128">
        <v>2007</v>
      </c>
      <c r="G625" s="128">
        <v>31</v>
      </c>
      <c r="H625" s="128">
        <v>6</v>
      </c>
      <c r="I625" s="128">
        <v>37</v>
      </c>
      <c r="J625" s="128" t="s">
        <v>2751</v>
      </c>
      <c r="K625" s="128" t="s">
        <v>3669</v>
      </c>
      <c r="L625" s="128" t="s">
        <v>3670</v>
      </c>
      <c r="M625" s="128" t="s">
        <v>3671</v>
      </c>
      <c r="N625" s="128" t="s">
        <v>3672</v>
      </c>
      <c r="O625" s="128">
        <v>660</v>
      </c>
      <c r="P625" s="128">
        <v>135</v>
      </c>
      <c r="Q625" s="128">
        <v>115</v>
      </c>
      <c r="R625" s="128">
        <v>260</v>
      </c>
      <c r="S625" s="128">
        <v>80</v>
      </c>
      <c r="T625" s="128">
        <v>80</v>
      </c>
      <c r="U625" s="128">
        <v>670</v>
      </c>
      <c r="V625" s="128" t="s">
        <v>1547</v>
      </c>
    </row>
    <row r="626" spans="1:22" x14ac:dyDescent="0.35">
      <c r="A626" s="118">
        <v>625</v>
      </c>
      <c r="B626" s="128" t="s">
        <v>168</v>
      </c>
      <c r="C626" s="128" t="s">
        <v>268</v>
      </c>
      <c r="D626" s="128" t="s">
        <v>3673</v>
      </c>
      <c r="E626" s="128" t="s">
        <v>3674</v>
      </c>
      <c r="F626" s="128">
        <v>2007</v>
      </c>
      <c r="G626" s="128">
        <v>60</v>
      </c>
      <c r="H626" s="128">
        <v>21</v>
      </c>
      <c r="I626" s="128">
        <v>81</v>
      </c>
      <c r="J626" s="128" t="s">
        <v>2751</v>
      </c>
      <c r="K626" s="128" t="s">
        <v>3675</v>
      </c>
      <c r="L626" s="128" t="s">
        <v>3676</v>
      </c>
      <c r="M626" s="128" t="s">
        <v>3677</v>
      </c>
      <c r="N626" s="128" t="s">
        <v>2731</v>
      </c>
      <c r="O626" s="128">
        <v>711</v>
      </c>
      <c r="P626" s="128">
        <v>137</v>
      </c>
      <c r="Q626" s="128">
        <v>132</v>
      </c>
      <c r="R626" s="128">
        <v>295</v>
      </c>
      <c r="S626" s="128">
        <v>81</v>
      </c>
      <c r="T626" s="128">
        <v>80</v>
      </c>
      <c r="U626" s="128">
        <v>725</v>
      </c>
      <c r="V626" s="128" t="s">
        <v>2702</v>
      </c>
    </row>
    <row r="627" spans="1:22" x14ac:dyDescent="0.35">
      <c r="A627" s="118">
        <v>626</v>
      </c>
      <c r="B627" s="128" t="s">
        <v>168</v>
      </c>
      <c r="C627" s="128" t="s">
        <v>268</v>
      </c>
      <c r="D627" s="128" t="s">
        <v>3678</v>
      </c>
      <c r="E627" s="128" t="s">
        <v>3679</v>
      </c>
      <c r="F627" s="128">
        <v>2007</v>
      </c>
      <c r="G627" s="128">
        <v>24</v>
      </c>
      <c r="H627" s="128">
        <v>10</v>
      </c>
      <c r="I627" s="128">
        <v>34</v>
      </c>
      <c r="J627" s="128" t="s">
        <v>2751</v>
      </c>
      <c r="K627" s="128" t="s">
        <v>3680</v>
      </c>
      <c r="L627" s="128" t="s">
        <v>3681</v>
      </c>
      <c r="M627" s="128" t="s">
        <v>2432</v>
      </c>
      <c r="N627" s="128" t="s">
        <v>3682</v>
      </c>
      <c r="O627" s="128">
        <v>645</v>
      </c>
      <c r="P627" s="128">
        <v>135</v>
      </c>
      <c r="Q627" s="128">
        <v>115</v>
      </c>
      <c r="R627" s="128">
        <v>250</v>
      </c>
      <c r="S627" s="128">
        <v>80</v>
      </c>
      <c r="T627" s="128">
        <v>80</v>
      </c>
      <c r="U627" s="128">
        <v>660</v>
      </c>
      <c r="V627" s="128" t="s">
        <v>1547</v>
      </c>
    </row>
    <row r="628" spans="1:22" x14ac:dyDescent="0.35">
      <c r="A628" s="118">
        <v>627</v>
      </c>
      <c r="B628" s="128" t="s">
        <v>168</v>
      </c>
      <c r="C628" s="128" t="s">
        <v>268</v>
      </c>
      <c r="D628" s="128" t="s">
        <v>3683</v>
      </c>
      <c r="E628" s="128" t="s">
        <v>3684</v>
      </c>
      <c r="F628" s="128">
        <v>2007</v>
      </c>
      <c r="G628" s="128">
        <v>42</v>
      </c>
      <c r="H628" s="128">
        <v>10</v>
      </c>
      <c r="I628" s="128">
        <v>52</v>
      </c>
      <c r="J628" s="128" t="s">
        <v>2751</v>
      </c>
      <c r="K628" s="128" t="s">
        <v>3685</v>
      </c>
      <c r="L628" s="128" t="s">
        <v>3686</v>
      </c>
      <c r="M628" s="128" t="s">
        <v>2631</v>
      </c>
      <c r="N628" s="128" t="s">
        <v>3687</v>
      </c>
      <c r="O628" s="128">
        <v>745</v>
      </c>
      <c r="P628" s="128">
        <v>175</v>
      </c>
      <c r="Q628" s="128">
        <v>118</v>
      </c>
      <c r="R628" s="128">
        <v>295</v>
      </c>
      <c r="S628" s="128">
        <v>83</v>
      </c>
      <c r="T628" s="128">
        <v>84</v>
      </c>
      <c r="U628" s="128">
        <v>755</v>
      </c>
      <c r="V628" s="128" t="s">
        <v>2702</v>
      </c>
    </row>
    <row r="629" spans="1:22" x14ac:dyDescent="0.35">
      <c r="A629" s="118">
        <v>628</v>
      </c>
      <c r="B629" s="128" t="s">
        <v>168</v>
      </c>
      <c r="C629" s="128" t="s">
        <v>268</v>
      </c>
      <c r="D629" s="128" t="s">
        <v>3688</v>
      </c>
      <c r="E629" s="128" t="s">
        <v>3689</v>
      </c>
      <c r="F629" s="128">
        <v>2007</v>
      </c>
      <c r="G629" s="128">
        <v>30</v>
      </c>
      <c r="H629" s="128">
        <v>4</v>
      </c>
      <c r="I629" s="128">
        <v>34</v>
      </c>
      <c r="J629" s="128" t="s">
        <v>2751</v>
      </c>
      <c r="K629" s="128" t="s">
        <v>3690</v>
      </c>
      <c r="L629" s="128" t="s">
        <v>3691</v>
      </c>
      <c r="M629" s="128" t="s">
        <v>3692</v>
      </c>
      <c r="N629" s="128" t="s">
        <v>3455</v>
      </c>
      <c r="O629" s="128">
        <v>655</v>
      </c>
      <c r="P629" s="128">
        <v>135</v>
      </c>
      <c r="Q629" s="128">
        <v>115</v>
      </c>
      <c r="R629" s="128">
        <v>260</v>
      </c>
      <c r="S629" s="128">
        <v>80</v>
      </c>
      <c r="T629" s="128">
        <v>80</v>
      </c>
      <c r="U629" s="128">
        <v>670</v>
      </c>
      <c r="V629" s="128" t="s">
        <v>1547</v>
      </c>
    </row>
    <row r="630" spans="1:22" x14ac:dyDescent="0.35">
      <c r="A630" s="118">
        <v>629</v>
      </c>
      <c r="B630" s="128" t="s">
        <v>168</v>
      </c>
      <c r="C630" s="128" t="s">
        <v>268</v>
      </c>
      <c r="D630" s="128" t="s">
        <v>3693</v>
      </c>
      <c r="E630" s="128" t="s">
        <v>3694</v>
      </c>
      <c r="F630" s="128">
        <v>2007</v>
      </c>
      <c r="G630" s="128">
        <v>28</v>
      </c>
      <c r="H630" s="128">
        <v>21</v>
      </c>
      <c r="I630" s="128">
        <v>49</v>
      </c>
      <c r="J630" s="128" t="s">
        <v>2751</v>
      </c>
      <c r="K630" s="128" t="s">
        <v>3695</v>
      </c>
      <c r="L630" s="128" t="s">
        <v>2837</v>
      </c>
      <c r="M630" s="128" t="s">
        <v>3696</v>
      </c>
      <c r="N630" s="128" t="s">
        <v>3368</v>
      </c>
      <c r="O630" s="128">
        <v>712</v>
      </c>
      <c r="P630" s="128">
        <v>137</v>
      </c>
      <c r="Q630" s="128">
        <v>131</v>
      </c>
      <c r="R630" s="128">
        <v>295</v>
      </c>
      <c r="S630" s="128">
        <v>81</v>
      </c>
      <c r="T630" s="128">
        <v>81</v>
      </c>
      <c r="U630" s="128">
        <v>725</v>
      </c>
      <c r="V630" s="128" t="s">
        <v>2702</v>
      </c>
    </row>
    <row r="631" spans="1:22" x14ac:dyDescent="0.35">
      <c r="A631" s="118">
        <v>630</v>
      </c>
      <c r="B631" s="128" t="s">
        <v>168</v>
      </c>
      <c r="C631" s="128" t="s">
        <v>268</v>
      </c>
      <c r="D631" s="128" t="s">
        <v>2391</v>
      </c>
      <c r="E631" s="128" t="s">
        <v>3697</v>
      </c>
      <c r="F631" s="128">
        <v>2007</v>
      </c>
      <c r="G631" s="128">
        <v>43</v>
      </c>
      <c r="H631" s="128">
        <v>7</v>
      </c>
      <c r="I631" s="128">
        <v>50</v>
      </c>
      <c r="J631" s="128" t="s">
        <v>2751</v>
      </c>
      <c r="K631" s="128" t="s">
        <v>3698</v>
      </c>
      <c r="L631" s="128" t="s">
        <v>3388</v>
      </c>
      <c r="M631" s="128" t="s">
        <v>2575</v>
      </c>
      <c r="N631" s="128" t="s">
        <v>2485</v>
      </c>
      <c r="O631" s="128">
        <v>620</v>
      </c>
      <c r="P631" s="128">
        <v>135</v>
      </c>
      <c r="Q631" s="128">
        <v>115</v>
      </c>
      <c r="R631" s="128">
        <v>225</v>
      </c>
      <c r="S631" s="128">
        <v>80</v>
      </c>
      <c r="T631" s="128">
        <v>80</v>
      </c>
      <c r="U631" s="128">
        <v>635</v>
      </c>
      <c r="V631" s="128" t="s">
        <v>1547</v>
      </c>
    </row>
    <row r="632" spans="1:22" x14ac:dyDescent="0.35">
      <c r="A632" s="118">
        <v>631</v>
      </c>
      <c r="B632" s="128" t="s">
        <v>168</v>
      </c>
      <c r="C632" s="128" t="s">
        <v>268</v>
      </c>
      <c r="D632" s="128" t="s">
        <v>3667</v>
      </c>
      <c r="E632" s="128" t="s">
        <v>3699</v>
      </c>
      <c r="F632" s="128">
        <v>2007</v>
      </c>
      <c r="G632" s="128">
        <v>34</v>
      </c>
      <c r="H632" s="128">
        <v>9</v>
      </c>
      <c r="I632" s="128">
        <v>43</v>
      </c>
      <c r="J632" s="128" t="s">
        <v>2751</v>
      </c>
      <c r="K632" s="128" t="s">
        <v>3700</v>
      </c>
      <c r="L632" s="128" t="s">
        <v>2857</v>
      </c>
      <c r="M632" s="128" t="s">
        <v>3701</v>
      </c>
      <c r="N632" s="128" t="s">
        <v>2742</v>
      </c>
      <c r="O632" s="128">
        <v>635</v>
      </c>
      <c r="P632" s="128">
        <v>135</v>
      </c>
      <c r="Q632" s="128">
        <v>115</v>
      </c>
      <c r="R632" s="128">
        <v>240</v>
      </c>
      <c r="S632" s="128">
        <v>80</v>
      </c>
      <c r="T632" s="128">
        <v>80</v>
      </c>
      <c r="U632" s="128">
        <v>650</v>
      </c>
      <c r="V632" s="128" t="s">
        <v>1547</v>
      </c>
    </row>
    <row r="633" spans="1:22" x14ac:dyDescent="0.35">
      <c r="A633" s="118">
        <v>632</v>
      </c>
      <c r="B633" s="128" t="s">
        <v>168</v>
      </c>
      <c r="C633" s="128" t="s">
        <v>268</v>
      </c>
      <c r="D633" s="128" t="s">
        <v>3688</v>
      </c>
      <c r="E633" s="128" t="s">
        <v>3702</v>
      </c>
      <c r="F633" s="128">
        <v>2007</v>
      </c>
      <c r="G633" s="128">
        <v>51</v>
      </c>
      <c r="H633" s="128">
        <v>19</v>
      </c>
      <c r="I633" s="128">
        <v>70</v>
      </c>
      <c r="J633" s="128" t="s">
        <v>2751</v>
      </c>
      <c r="K633" s="128" t="s">
        <v>3703</v>
      </c>
      <c r="L633" s="128" t="s">
        <v>3691</v>
      </c>
      <c r="M633" s="128" t="s">
        <v>3455</v>
      </c>
      <c r="N633" s="128" t="s">
        <v>3606</v>
      </c>
      <c r="O633" s="128">
        <v>665</v>
      </c>
      <c r="P633" s="128">
        <v>137</v>
      </c>
      <c r="Q633" s="128">
        <v>118</v>
      </c>
      <c r="R633" s="128">
        <v>295</v>
      </c>
      <c r="S633" s="128">
        <v>81</v>
      </c>
      <c r="T633" s="128">
        <v>81</v>
      </c>
      <c r="U633" s="128">
        <v>712</v>
      </c>
      <c r="V633" s="128" t="s">
        <v>2702</v>
      </c>
    </row>
    <row r="634" spans="1:22" x14ac:dyDescent="0.35">
      <c r="A634" s="118">
        <v>633</v>
      </c>
      <c r="B634" s="128" t="s">
        <v>168</v>
      </c>
      <c r="C634" s="128" t="s">
        <v>268</v>
      </c>
      <c r="D634" s="128" t="s">
        <v>3704</v>
      </c>
      <c r="E634" s="128" t="s">
        <v>3705</v>
      </c>
      <c r="F634" s="128">
        <v>2007</v>
      </c>
      <c r="G634" s="128">
        <v>26</v>
      </c>
      <c r="H634" s="128">
        <v>27</v>
      </c>
      <c r="I634" s="128">
        <v>53</v>
      </c>
      <c r="J634" s="128" t="s">
        <v>2751</v>
      </c>
      <c r="K634" s="128" t="s">
        <v>3706</v>
      </c>
      <c r="L634" s="128" t="s">
        <v>3707</v>
      </c>
      <c r="M634" s="128" t="s">
        <v>3708</v>
      </c>
      <c r="N634" s="128" t="s">
        <v>3709</v>
      </c>
      <c r="O634" s="128">
        <v>630</v>
      </c>
      <c r="P634" s="128">
        <v>137</v>
      </c>
      <c r="Q634" s="128">
        <v>118</v>
      </c>
      <c r="R634" s="128">
        <v>295</v>
      </c>
      <c r="S634" s="128">
        <v>81</v>
      </c>
      <c r="T634" s="128">
        <v>81</v>
      </c>
      <c r="U634" s="128">
        <v>712</v>
      </c>
      <c r="V634" s="128" t="s">
        <v>2702</v>
      </c>
    </row>
    <row r="635" spans="1:22" x14ac:dyDescent="0.35">
      <c r="A635" s="118">
        <v>634</v>
      </c>
      <c r="B635" s="128" t="s">
        <v>168</v>
      </c>
      <c r="C635" s="128" t="s">
        <v>268</v>
      </c>
      <c r="D635" s="128" t="s">
        <v>2391</v>
      </c>
      <c r="E635" s="128" t="s">
        <v>3710</v>
      </c>
      <c r="F635" s="128">
        <v>2007</v>
      </c>
      <c r="G635" s="128">
        <v>33</v>
      </c>
      <c r="H635" s="128">
        <v>4</v>
      </c>
      <c r="I635" s="128">
        <v>37</v>
      </c>
      <c r="J635" s="128" t="s">
        <v>2751</v>
      </c>
      <c r="K635" s="128" t="s">
        <v>3711</v>
      </c>
      <c r="L635" s="128" t="s">
        <v>3712</v>
      </c>
      <c r="M635" s="128" t="s">
        <v>3713</v>
      </c>
      <c r="N635" s="128" t="s">
        <v>2505</v>
      </c>
      <c r="O635" s="128">
        <v>660</v>
      </c>
      <c r="P635" s="128">
        <v>135</v>
      </c>
      <c r="Q635" s="128">
        <v>110</v>
      </c>
      <c r="R635" s="128">
        <v>260</v>
      </c>
      <c r="S635" s="128">
        <v>80</v>
      </c>
      <c r="T635" s="128">
        <v>80</v>
      </c>
      <c r="U635" s="128">
        <v>665</v>
      </c>
      <c r="V635" s="128" t="s">
        <v>1547</v>
      </c>
    </row>
    <row r="636" spans="1:22" x14ac:dyDescent="0.35">
      <c r="A636" s="118">
        <v>635</v>
      </c>
      <c r="B636" s="128" t="s">
        <v>168</v>
      </c>
      <c r="C636" s="128" t="s">
        <v>268</v>
      </c>
      <c r="D636" s="128" t="s">
        <v>3714</v>
      </c>
      <c r="E636" s="128" t="s">
        <v>3715</v>
      </c>
      <c r="F636" s="128">
        <v>2007</v>
      </c>
      <c r="G636" s="128">
        <v>49</v>
      </c>
      <c r="H636" s="128">
        <v>17</v>
      </c>
      <c r="I636" s="128">
        <v>66</v>
      </c>
      <c r="J636" s="128" t="s">
        <v>2751</v>
      </c>
      <c r="K636" s="128" t="s">
        <v>3716</v>
      </c>
      <c r="L636" s="128" t="s">
        <v>3717</v>
      </c>
      <c r="M636" s="128" t="s">
        <v>3718</v>
      </c>
      <c r="N636" s="128" t="s">
        <v>2508</v>
      </c>
      <c r="O636" s="128">
        <v>635</v>
      </c>
      <c r="P636" s="128">
        <v>135</v>
      </c>
      <c r="Q636" s="128">
        <v>110</v>
      </c>
      <c r="R636" s="128">
        <v>245</v>
      </c>
      <c r="S636" s="128">
        <v>80</v>
      </c>
      <c r="T636" s="128">
        <v>80</v>
      </c>
      <c r="U636" s="128">
        <v>650</v>
      </c>
      <c r="V636" s="128" t="s">
        <v>1547</v>
      </c>
    </row>
    <row r="637" spans="1:22" x14ac:dyDescent="0.35">
      <c r="A637" s="118">
        <v>636</v>
      </c>
      <c r="B637" s="128" t="s">
        <v>168</v>
      </c>
      <c r="C637" s="128" t="s">
        <v>268</v>
      </c>
      <c r="D637" s="128" t="s">
        <v>3719</v>
      </c>
      <c r="E637" s="128" t="s">
        <v>3720</v>
      </c>
      <c r="F637" s="128">
        <v>2007</v>
      </c>
      <c r="G637" s="128">
        <v>30</v>
      </c>
      <c r="H637" s="128">
        <v>34</v>
      </c>
      <c r="I637" s="128">
        <v>64</v>
      </c>
      <c r="J637" s="128" t="s">
        <v>2751</v>
      </c>
      <c r="K637" s="128" t="s">
        <v>3721</v>
      </c>
      <c r="L637" s="128" t="s">
        <v>3722</v>
      </c>
      <c r="M637" s="128" t="s">
        <v>3681</v>
      </c>
      <c r="N637" s="128" t="s">
        <v>3723</v>
      </c>
      <c r="O637" s="128">
        <v>755</v>
      </c>
      <c r="P637" s="128">
        <v>165</v>
      </c>
      <c r="Q637" s="128">
        <v>130</v>
      </c>
      <c r="R637" s="128">
        <v>295</v>
      </c>
      <c r="S637" s="128">
        <v>85</v>
      </c>
      <c r="T637" s="128">
        <v>85</v>
      </c>
      <c r="U637" s="128">
        <v>760</v>
      </c>
      <c r="V637" s="128" t="s">
        <v>2702</v>
      </c>
    </row>
    <row r="638" spans="1:22" x14ac:dyDescent="0.35">
      <c r="A638" s="118">
        <v>637</v>
      </c>
      <c r="B638" s="128" t="s">
        <v>168</v>
      </c>
      <c r="C638" s="128" t="s">
        <v>268</v>
      </c>
      <c r="D638" s="128" t="s">
        <v>3724</v>
      </c>
      <c r="E638" s="128" t="s">
        <v>3725</v>
      </c>
      <c r="F638" s="128">
        <v>2007</v>
      </c>
      <c r="G638" s="128">
        <v>43</v>
      </c>
      <c r="H638" s="128">
        <v>15</v>
      </c>
      <c r="I638" s="128">
        <v>58</v>
      </c>
      <c r="J638" s="128" t="s">
        <v>2751</v>
      </c>
      <c r="K638" s="128" t="s">
        <v>3726</v>
      </c>
      <c r="L638" s="128" t="s">
        <v>3727</v>
      </c>
      <c r="M638" s="128" t="s">
        <v>3728</v>
      </c>
      <c r="N638" s="128" t="s">
        <v>3729</v>
      </c>
      <c r="O638" s="128">
        <v>745</v>
      </c>
      <c r="P638" s="128">
        <v>160</v>
      </c>
      <c r="Q638" s="128">
        <v>125</v>
      </c>
      <c r="R638" s="128">
        <v>295</v>
      </c>
      <c r="S638" s="128">
        <v>85</v>
      </c>
      <c r="T638" s="128">
        <v>90</v>
      </c>
      <c r="U638" s="128">
        <v>755</v>
      </c>
      <c r="V638" s="128" t="s">
        <v>2702</v>
      </c>
    </row>
    <row r="639" spans="1:22" x14ac:dyDescent="0.35">
      <c r="A639" s="118">
        <v>638</v>
      </c>
      <c r="B639" s="128" t="s">
        <v>168</v>
      </c>
      <c r="C639" s="128" t="s">
        <v>272</v>
      </c>
      <c r="D639" s="128" t="s">
        <v>3730</v>
      </c>
      <c r="E639" s="128" t="s">
        <v>3731</v>
      </c>
      <c r="F639" s="128">
        <v>1987</v>
      </c>
      <c r="G639" s="128">
        <v>22</v>
      </c>
      <c r="H639" s="128">
        <v>9</v>
      </c>
      <c r="I639" s="128">
        <v>31</v>
      </c>
      <c r="J639" s="128" t="s">
        <v>2751</v>
      </c>
      <c r="K639" s="128" t="s">
        <v>3732</v>
      </c>
      <c r="L639" s="128" t="s">
        <v>3733</v>
      </c>
      <c r="M639" s="128" t="s">
        <v>3140</v>
      </c>
      <c r="N639" s="128" t="s">
        <v>3734</v>
      </c>
      <c r="O639" s="128">
        <v>545</v>
      </c>
      <c r="P639" s="128">
        <v>130</v>
      </c>
      <c r="Q639" s="128">
        <v>105</v>
      </c>
      <c r="R639" s="128">
        <v>195</v>
      </c>
      <c r="S639" s="128">
        <v>55</v>
      </c>
      <c r="T639" s="128">
        <v>75</v>
      </c>
      <c r="U639" s="128">
        <v>560</v>
      </c>
      <c r="V639" s="128" t="s">
        <v>1547</v>
      </c>
    </row>
    <row r="640" spans="1:22" x14ac:dyDescent="0.35">
      <c r="A640" s="118">
        <v>639</v>
      </c>
      <c r="B640" s="128" t="s">
        <v>168</v>
      </c>
      <c r="C640" s="128" t="s">
        <v>272</v>
      </c>
      <c r="D640" s="128" t="s">
        <v>3735</v>
      </c>
      <c r="E640" s="128" t="s">
        <v>3736</v>
      </c>
      <c r="F640" s="128">
        <v>2006</v>
      </c>
      <c r="G640" s="128">
        <v>25</v>
      </c>
      <c r="H640" s="128">
        <v>11</v>
      </c>
      <c r="I640" s="128">
        <v>36</v>
      </c>
      <c r="J640" s="128" t="s">
        <v>2751</v>
      </c>
      <c r="K640" s="128" t="s">
        <v>3737</v>
      </c>
      <c r="L640" s="128" t="s">
        <v>3738</v>
      </c>
      <c r="M640" s="128" t="s">
        <v>3739</v>
      </c>
      <c r="N640" s="128" t="s">
        <v>3740</v>
      </c>
      <c r="O640" s="128">
        <v>555</v>
      </c>
      <c r="P640" s="128">
        <v>115</v>
      </c>
      <c r="Q640" s="128">
        <v>115</v>
      </c>
      <c r="R640" s="128">
        <v>195</v>
      </c>
      <c r="S640" s="128">
        <v>60</v>
      </c>
      <c r="T640" s="128">
        <v>75</v>
      </c>
      <c r="U640" s="128">
        <v>560</v>
      </c>
      <c r="V640" s="128" t="s">
        <v>1547</v>
      </c>
    </row>
    <row r="641" spans="1:22" x14ac:dyDescent="0.35">
      <c r="A641" s="118">
        <v>640</v>
      </c>
      <c r="B641" s="128" t="s">
        <v>168</v>
      </c>
      <c r="C641" s="128" t="s">
        <v>272</v>
      </c>
      <c r="D641" s="128" t="s">
        <v>3741</v>
      </c>
      <c r="E641" s="128" t="s">
        <v>3742</v>
      </c>
      <c r="F641" s="128">
        <v>2006</v>
      </c>
      <c r="G641" s="128">
        <v>27</v>
      </c>
      <c r="H641" s="128">
        <v>3</v>
      </c>
      <c r="I641" s="128">
        <v>30</v>
      </c>
      <c r="J641" s="128" t="s">
        <v>2751</v>
      </c>
      <c r="K641" s="128" t="s">
        <v>3743</v>
      </c>
      <c r="L641" s="128" t="s">
        <v>2501</v>
      </c>
      <c r="M641" s="128" t="s">
        <v>3744</v>
      </c>
      <c r="N641" s="128" t="s">
        <v>3745</v>
      </c>
      <c r="O641" s="128">
        <v>535</v>
      </c>
      <c r="P641" s="128">
        <v>115</v>
      </c>
      <c r="Q641" s="128">
        <v>110</v>
      </c>
      <c r="R641" s="128">
        <v>195</v>
      </c>
      <c r="S641" s="128">
        <v>55</v>
      </c>
      <c r="T641" s="128">
        <v>75</v>
      </c>
      <c r="U641" s="128">
        <v>550</v>
      </c>
      <c r="V641" s="128" t="s">
        <v>1547</v>
      </c>
    </row>
    <row r="642" spans="1:22" x14ac:dyDescent="0.35">
      <c r="A642" s="118">
        <v>641</v>
      </c>
      <c r="B642" s="128" t="s">
        <v>168</v>
      </c>
      <c r="C642" s="128" t="s">
        <v>272</v>
      </c>
      <c r="D642" s="128" t="s">
        <v>3746</v>
      </c>
      <c r="E642" s="128" t="s">
        <v>3747</v>
      </c>
      <c r="F642" s="128">
        <v>2007</v>
      </c>
      <c r="G642" s="128">
        <v>32</v>
      </c>
      <c r="H642" s="128">
        <v>7</v>
      </c>
      <c r="I642" s="128">
        <v>39</v>
      </c>
      <c r="J642" s="128" t="s">
        <v>2751</v>
      </c>
      <c r="K642" s="128" t="s">
        <v>3748</v>
      </c>
      <c r="L642" s="128" t="s">
        <v>3749</v>
      </c>
      <c r="M642" s="128" t="s">
        <v>3750</v>
      </c>
      <c r="N642" s="128" t="s">
        <v>3751</v>
      </c>
      <c r="O642" s="128">
        <v>735</v>
      </c>
      <c r="P642" s="128">
        <v>137</v>
      </c>
      <c r="Q642" s="128">
        <v>120</v>
      </c>
      <c r="R642" s="128">
        <v>310</v>
      </c>
      <c r="S642" s="128">
        <v>85</v>
      </c>
      <c r="T642" s="128">
        <v>85</v>
      </c>
      <c r="U642" s="128">
        <v>737</v>
      </c>
      <c r="V642" s="128" t="s">
        <v>2702</v>
      </c>
    </row>
    <row r="643" spans="1:22" x14ac:dyDescent="0.35">
      <c r="A643" s="118">
        <v>642</v>
      </c>
      <c r="B643" s="128" t="s">
        <v>168</v>
      </c>
      <c r="C643" s="128" t="s">
        <v>272</v>
      </c>
      <c r="D643" s="128" t="s">
        <v>3411</v>
      </c>
      <c r="E643" s="128" t="s">
        <v>3752</v>
      </c>
      <c r="F643" s="128">
        <v>2007</v>
      </c>
      <c r="G643" s="128">
        <v>58</v>
      </c>
      <c r="H643" s="128">
        <v>34</v>
      </c>
      <c r="I643" s="128">
        <v>92</v>
      </c>
      <c r="J643" s="128" t="s">
        <v>2751</v>
      </c>
      <c r="K643" s="128" t="s">
        <v>3753</v>
      </c>
      <c r="L643" s="128" t="s">
        <v>3754</v>
      </c>
      <c r="M643" s="128" t="s">
        <v>3755</v>
      </c>
      <c r="N643" s="128" t="s">
        <v>2742</v>
      </c>
      <c r="O643" s="128">
        <v>735</v>
      </c>
      <c r="P643" s="128">
        <v>267</v>
      </c>
      <c r="Q643" s="128">
        <v>125</v>
      </c>
      <c r="R643" s="128">
        <v>310</v>
      </c>
      <c r="S643" s="128">
        <v>85</v>
      </c>
      <c r="T643" s="128">
        <v>85</v>
      </c>
      <c r="U643" s="128">
        <v>872</v>
      </c>
      <c r="V643" s="128" t="s">
        <v>2702</v>
      </c>
    </row>
    <row r="644" spans="1:22" x14ac:dyDescent="0.35">
      <c r="A644" s="118">
        <v>643</v>
      </c>
      <c r="B644" s="128" t="s">
        <v>168</v>
      </c>
      <c r="C644" s="128" t="s">
        <v>272</v>
      </c>
      <c r="D644" s="128" t="s">
        <v>3756</v>
      </c>
      <c r="E644" s="128" t="s">
        <v>3757</v>
      </c>
      <c r="F644" s="128">
        <v>2007</v>
      </c>
      <c r="G644" s="128">
        <v>29</v>
      </c>
      <c r="H644" s="128">
        <v>6</v>
      </c>
      <c r="I644" s="128">
        <v>35</v>
      </c>
      <c r="J644" s="128" t="s">
        <v>2751</v>
      </c>
      <c r="K644" s="128" t="s">
        <v>3758</v>
      </c>
      <c r="L644" s="128" t="s">
        <v>3759</v>
      </c>
      <c r="M644" s="128" t="s">
        <v>3600</v>
      </c>
      <c r="N644" s="128" t="s">
        <v>3707</v>
      </c>
      <c r="O644" s="128">
        <v>515</v>
      </c>
      <c r="P644" s="128">
        <v>110</v>
      </c>
      <c r="Q644" s="128">
        <v>110</v>
      </c>
      <c r="R644" s="128">
        <v>200</v>
      </c>
      <c r="S644" s="128">
        <v>60</v>
      </c>
      <c r="T644" s="128">
        <v>55</v>
      </c>
      <c r="U644" s="128">
        <v>535</v>
      </c>
      <c r="V644" s="128" t="s">
        <v>1547</v>
      </c>
    </row>
    <row r="645" spans="1:22" x14ac:dyDescent="0.35">
      <c r="A645" s="118">
        <v>644</v>
      </c>
      <c r="B645" s="128" t="s">
        <v>168</v>
      </c>
      <c r="C645" s="128" t="s">
        <v>272</v>
      </c>
      <c r="D645" s="128" t="s">
        <v>3760</v>
      </c>
      <c r="E645" s="128" t="s">
        <v>3761</v>
      </c>
      <c r="F645" s="128">
        <v>2007</v>
      </c>
      <c r="G645" s="128">
        <v>79</v>
      </c>
      <c r="H645" s="128">
        <v>17</v>
      </c>
      <c r="I645" s="128">
        <v>96</v>
      </c>
      <c r="J645" s="128" t="s">
        <v>2751</v>
      </c>
      <c r="K645" s="128" t="s">
        <v>3762</v>
      </c>
      <c r="L645" s="128" t="s">
        <v>3763</v>
      </c>
      <c r="M645" s="128" t="s">
        <v>3671</v>
      </c>
      <c r="N645" s="128" t="s">
        <v>3764</v>
      </c>
      <c r="O645" s="128">
        <v>523</v>
      </c>
      <c r="P645" s="128">
        <v>110</v>
      </c>
      <c r="Q645" s="128">
        <v>105</v>
      </c>
      <c r="R645" s="128">
        <v>200</v>
      </c>
      <c r="S645" s="128">
        <v>55</v>
      </c>
      <c r="T645" s="128">
        <v>78</v>
      </c>
      <c r="U645" s="128">
        <v>548</v>
      </c>
      <c r="V645" s="128" t="s">
        <v>1547</v>
      </c>
    </row>
    <row r="646" spans="1:22" x14ac:dyDescent="0.35">
      <c r="A646" s="118">
        <v>645</v>
      </c>
      <c r="B646" s="128" t="s">
        <v>168</v>
      </c>
      <c r="C646" s="128" t="s">
        <v>272</v>
      </c>
      <c r="D646" s="128" t="s">
        <v>3390</v>
      </c>
      <c r="E646" s="128" t="s">
        <v>3765</v>
      </c>
      <c r="F646" s="128">
        <v>2007</v>
      </c>
      <c r="G646" s="128">
        <v>56</v>
      </c>
      <c r="H646" s="128">
        <v>12</v>
      </c>
      <c r="I646" s="128">
        <v>68</v>
      </c>
      <c r="J646" s="128" t="s">
        <v>2751</v>
      </c>
      <c r="K646" s="128" t="s">
        <v>3766</v>
      </c>
      <c r="L646" s="128" t="s">
        <v>3767</v>
      </c>
      <c r="M646" s="128" t="s">
        <v>3768</v>
      </c>
      <c r="N646" s="128" t="s">
        <v>3692</v>
      </c>
      <c r="O646" s="128">
        <v>532</v>
      </c>
      <c r="P646" s="128">
        <v>110</v>
      </c>
      <c r="Q646" s="128">
        <v>115</v>
      </c>
      <c r="R646" s="128">
        <v>195</v>
      </c>
      <c r="S646" s="128">
        <v>60</v>
      </c>
      <c r="T646" s="128">
        <v>70</v>
      </c>
      <c r="U646" s="128">
        <v>550</v>
      </c>
      <c r="V646" s="128" t="s">
        <v>1547</v>
      </c>
    </row>
    <row r="647" spans="1:22" x14ac:dyDescent="0.35">
      <c r="A647" s="118">
        <v>646</v>
      </c>
      <c r="B647" s="128" t="s">
        <v>168</v>
      </c>
      <c r="C647" s="128" t="s">
        <v>272</v>
      </c>
      <c r="D647" s="128" t="s">
        <v>3769</v>
      </c>
      <c r="E647" s="128" t="s">
        <v>3770</v>
      </c>
      <c r="F647" s="128">
        <v>2007</v>
      </c>
      <c r="G647" s="128">
        <v>26</v>
      </c>
      <c r="H647" s="128">
        <v>3</v>
      </c>
      <c r="I647" s="128">
        <v>29</v>
      </c>
      <c r="J647" s="128" t="s">
        <v>2751</v>
      </c>
      <c r="K647" s="128" t="s">
        <v>3771</v>
      </c>
      <c r="L647" s="128" t="s">
        <v>3772</v>
      </c>
      <c r="M647" s="128" t="s">
        <v>2406</v>
      </c>
      <c r="N647" s="128" t="s">
        <v>3773</v>
      </c>
      <c r="O647" s="128">
        <v>512</v>
      </c>
      <c r="P647" s="128">
        <v>110</v>
      </c>
      <c r="Q647" s="128">
        <v>110</v>
      </c>
      <c r="R647" s="128">
        <v>195</v>
      </c>
      <c r="S647" s="128">
        <v>60</v>
      </c>
      <c r="T647" s="128">
        <v>70</v>
      </c>
      <c r="U647" s="128">
        <v>545</v>
      </c>
      <c r="V647" s="128" t="s">
        <v>1547</v>
      </c>
    </row>
    <row r="648" spans="1:22" x14ac:dyDescent="0.35">
      <c r="A648" s="118">
        <v>647</v>
      </c>
      <c r="B648" s="128" t="s">
        <v>168</v>
      </c>
      <c r="C648" s="128" t="s">
        <v>272</v>
      </c>
      <c r="D648" s="128" t="s">
        <v>3774</v>
      </c>
      <c r="E648" s="128" t="s">
        <v>3775</v>
      </c>
      <c r="F648" s="128">
        <v>2006</v>
      </c>
      <c r="G648" s="128">
        <v>42</v>
      </c>
      <c r="H648" s="128">
        <v>1</v>
      </c>
      <c r="I648" s="128">
        <v>43</v>
      </c>
      <c r="J648" s="128" t="s">
        <v>2751</v>
      </c>
      <c r="K648" s="128" t="s">
        <v>3776</v>
      </c>
      <c r="L648" s="128" t="s">
        <v>3777</v>
      </c>
      <c r="M648" s="128" t="s">
        <v>2575</v>
      </c>
      <c r="N648" s="128" t="s">
        <v>3426</v>
      </c>
      <c r="O648" s="128">
        <v>522</v>
      </c>
      <c r="P648" s="128">
        <v>110</v>
      </c>
      <c r="Q648" s="128">
        <v>100</v>
      </c>
      <c r="R648" s="128">
        <v>190</v>
      </c>
      <c r="S648" s="128">
        <v>65</v>
      </c>
      <c r="T648" s="128">
        <v>80</v>
      </c>
      <c r="U648" s="128">
        <v>545</v>
      </c>
      <c r="V648" s="128" t="s">
        <v>1547</v>
      </c>
    </row>
    <row r="649" spans="1:22" x14ac:dyDescent="0.35">
      <c r="A649" s="118">
        <v>648</v>
      </c>
      <c r="B649" s="128" t="s">
        <v>168</v>
      </c>
      <c r="C649" s="128" t="s">
        <v>275</v>
      </c>
      <c r="D649" s="128" t="s">
        <v>3730</v>
      </c>
      <c r="E649" s="128" t="s">
        <v>3778</v>
      </c>
      <c r="F649" s="128">
        <v>2000</v>
      </c>
      <c r="G649" s="128">
        <v>21</v>
      </c>
      <c r="H649" s="128">
        <v>30</v>
      </c>
      <c r="I649" s="128">
        <v>51</v>
      </c>
      <c r="J649" s="128" t="s">
        <v>2751</v>
      </c>
      <c r="K649" s="128" t="s">
        <v>3779</v>
      </c>
      <c r="L649" s="128" t="s">
        <v>2509</v>
      </c>
      <c r="M649" s="128" t="s">
        <v>3780</v>
      </c>
      <c r="N649" s="128" t="s">
        <v>3781</v>
      </c>
      <c r="O649" s="128">
        <v>657</v>
      </c>
      <c r="P649" s="128">
        <v>132</v>
      </c>
      <c r="Q649" s="128">
        <v>115</v>
      </c>
      <c r="R649" s="128">
        <v>295</v>
      </c>
      <c r="S649" s="128">
        <v>55</v>
      </c>
      <c r="T649" s="128">
        <v>70</v>
      </c>
      <c r="U649" s="128">
        <v>667</v>
      </c>
      <c r="V649" s="128" t="s">
        <v>1547</v>
      </c>
    </row>
    <row r="650" spans="1:22" x14ac:dyDescent="0.35">
      <c r="A650" s="118">
        <v>649</v>
      </c>
      <c r="B650" s="128" t="s">
        <v>168</v>
      </c>
      <c r="C650" s="128" t="s">
        <v>275</v>
      </c>
      <c r="D650" s="128" t="s">
        <v>3573</v>
      </c>
      <c r="E650" s="128" t="s">
        <v>3782</v>
      </c>
      <c r="F650" s="128">
        <v>2006</v>
      </c>
      <c r="G650" s="128">
        <v>31</v>
      </c>
      <c r="H650" s="128">
        <v>42</v>
      </c>
      <c r="I650" s="128">
        <v>73</v>
      </c>
      <c r="J650" s="128" t="s">
        <v>2751</v>
      </c>
      <c r="K650" s="128" t="s">
        <v>3783</v>
      </c>
      <c r="L650" s="128" t="s">
        <v>3784</v>
      </c>
      <c r="M650" s="128" t="s">
        <v>3785</v>
      </c>
      <c r="N650" s="128" t="s">
        <v>3786</v>
      </c>
      <c r="O650" s="128">
        <v>712</v>
      </c>
      <c r="P650" s="128">
        <v>137</v>
      </c>
      <c r="Q650" s="128">
        <v>130</v>
      </c>
      <c r="R650" s="128">
        <v>299</v>
      </c>
      <c r="S650" s="128">
        <v>81</v>
      </c>
      <c r="T650" s="128">
        <v>81</v>
      </c>
      <c r="U650" s="128">
        <v>728</v>
      </c>
      <c r="V650" s="128" t="s">
        <v>2702</v>
      </c>
    </row>
    <row r="651" spans="1:22" x14ac:dyDescent="0.35">
      <c r="A651" s="118">
        <v>650</v>
      </c>
      <c r="B651" s="128" t="s">
        <v>168</v>
      </c>
      <c r="C651" s="128" t="s">
        <v>275</v>
      </c>
      <c r="D651" s="128" t="s">
        <v>2391</v>
      </c>
      <c r="E651" s="128" t="s">
        <v>3787</v>
      </c>
      <c r="F651" s="128">
        <v>2006</v>
      </c>
      <c r="G651" s="128">
        <v>48</v>
      </c>
      <c r="H651" s="128">
        <v>25</v>
      </c>
      <c r="I651" s="128">
        <v>73</v>
      </c>
      <c r="J651" s="128" t="s">
        <v>2751</v>
      </c>
      <c r="K651" s="128" t="s">
        <v>3788</v>
      </c>
      <c r="L651" s="128" t="s">
        <v>3789</v>
      </c>
      <c r="M651" s="128" t="s">
        <v>3790</v>
      </c>
      <c r="N651" s="128" t="s">
        <v>3791</v>
      </c>
      <c r="O651" s="128">
        <v>636</v>
      </c>
      <c r="P651" s="128">
        <v>120</v>
      </c>
      <c r="Q651" s="128">
        <v>112</v>
      </c>
      <c r="R651" s="128">
        <v>287</v>
      </c>
      <c r="S651" s="128">
        <v>65</v>
      </c>
      <c r="T651" s="128">
        <v>70</v>
      </c>
      <c r="U651" s="128">
        <v>654</v>
      </c>
      <c r="V651" s="128" t="s">
        <v>1547</v>
      </c>
    </row>
    <row r="652" spans="1:22" x14ac:dyDescent="0.35">
      <c r="A652" s="118">
        <v>651</v>
      </c>
      <c r="B652" s="128" t="s">
        <v>168</v>
      </c>
      <c r="C652" s="128" t="s">
        <v>275</v>
      </c>
      <c r="D652" s="128" t="s">
        <v>3792</v>
      </c>
      <c r="E652" s="128" t="s">
        <v>3793</v>
      </c>
      <c r="F652" s="128">
        <v>2006</v>
      </c>
      <c r="G652" s="128">
        <v>21</v>
      </c>
      <c r="H652" s="128">
        <v>16</v>
      </c>
      <c r="I652" s="128">
        <v>37</v>
      </c>
      <c r="J652" s="128" t="s">
        <v>2751</v>
      </c>
      <c r="K652" s="128" t="s">
        <v>3794</v>
      </c>
      <c r="L652" s="128" t="s">
        <v>3795</v>
      </c>
      <c r="M652" s="128" t="s">
        <v>3796</v>
      </c>
      <c r="N652" s="128" t="s">
        <v>2497</v>
      </c>
      <c r="O652" s="128">
        <v>700</v>
      </c>
      <c r="P652" s="128">
        <v>135</v>
      </c>
      <c r="Q652" s="128">
        <v>115</v>
      </c>
      <c r="R652" s="128">
        <v>294</v>
      </c>
      <c r="S652" s="128">
        <v>76</v>
      </c>
      <c r="T652" s="128">
        <v>80</v>
      </c>
      <c r="U652" s="128">
        <v>700</v>
      </c>
      <c r="V652" s="128" t="s">
        <v>1547</v>
      </c>
    </row>
    <row r="653" spans="1:22" x14ac:dyDescent="0.35">
      <c r="A653" s="118">
        <v>652</v>
      </c>
      <c r="B653" s="128" t="s">
        <v>168</v>
      </c>
      <c r="C653" s="128" t="s">
        <v>275</v>
      </c>
      <c r="D653" s="128" t="s">
        <v>3797</v>
      </c>
      <c r="E653" s="128" t="s">
        <v>3798</v>
      </c>
      <c r="F653" s="128">
        <v>2000</v>
      </c>
      <c r="G653" s="128">
        <v>30</v>
      </c>
      <c r="H653" s="128">
        <v>25</v>
      </c>
      <c r="I653" s="128">
        <v>55</v>
      </c>
      <c r="J653" s="128" t="s">
        <v>2751</v>
      </c>
      <c r="K653" s="128" t="s">
        <v>3799</v>
      </c>
      <c r="L653" s="128" t="s">
        <v>3800</v>
      </c>
      <c r="M653" s="128" t="s">
        <v>2740</v>
      </c>
      <c r="N653" s="128" t="s">
        <v>3801</v>
      </c>
      <c r="O653" s="128">
        <v>702</v>
      </c>
      <c r="P653" s="128">
        <v>133</v>
      </c>
      <c r="Q653" s="128">
        <v>115</v>
      </c>
      <c r="R653" s="128">
        <v>295</v>
      </c>
      <c r="S653" s="128">
        <v>80</v>
      </c>
      <c r="T653" s="128">
        <v>80</v>
      </c>
      <c r="U653" s="128">
        <v>703</v>
      </c>
      <c r="V653" s="128" t="s">
        <v>2702</v>
      </c>
    </row>
    <row r="654" spans="1:22" x14ac:dyDescent="0.35">
      <c r="A654" s="118">
        <v>653</v>
      </c>
      <c r="B654" s="128" t="s">
        <v>168</v>
      </c>
      <c r="C654" s="128" t="s">
        <v>275</v>
      </c>
      <c r="D654" s="128" t="s">
        <v>3802</v>
      </c>
      <c r="E654" s="128" t="s">
        <v>3803</v>
      </c>
      <c r="F654" s="128">
        <v>2007</v>
      </c>
      <c r="G654" s="128">
        <v>28</v>
      </c>
      <c r="H654" s="128">
        <v>25</v>
      </c>
      <c r="I654" s="128">
        <v>53</v>
      </c>
      <c r="J654" s="128" t="s">
        <v>2751</v>
      </c>
      <c r="K654" s="128" t="s">
        <v>3804</v>
      </c>
      <c r="L654" s="128" t="s">
        <v>2430</v>
      </c>
      <c r="M654" s="128" t="s">
        <v>3805</v>
      </c>
      <c r="N654" s="128" t="s">
        <v>2741</v>
      </c>
      <c r="O654" s="128">
        <v>669</v>
      </c>
      <c r="P654" s="128">
        <v>132</v>
      </c>
      <c r="Q654" s="128">
        <v>115</v>
      </c>
      <c r="R654" s="128">
        <v>285</v>
      </c>
      <c r="S654" s="128">
        <v>75</v>
      </c>
      <c r="T654" s="128">
        <v>70</v>
      </c>
      <c r="U654" s="128">
        <v>677</v>
      </c>
      <c r="V654" s="128" t="s">
        <v>1547</v>
      </c>
    </row>
    <row r="655" spans="1:22" x14ac:dyDescent="0.35">
      <c r="A655" s="118">
        <v>654</v>
      </c>
      <c r="B655" s="128" t="s">
        <v>168</v>
      </c>
      <c r="C655" s="128" t="s">
        <v>275</v>
      </c>
      <c r="D655" s="128" t="s">
        <v>3806</v>
      </c>
      <c r="E655" s="128" t="s">
        <v>3807</v>
      </c>
      <c r="F655" s="128">
        <v>2007</v>
      </c>
      <c r="G655" s="128">
        <v>42</v>
      </c>
      <c r="H655" s="128">
        <v>51</v>
      </c>
      <c r="I655" s="128">
        <v>93</v>
      </c>
      <c r="J655" s="128" t="s">
        <v>2751</v>
      </c>
      <c r="K655" s="128" t="s">
        <v>3808</v>
      </c>
      <c r="L655" s="128" t="s">
        <v>2661</v>
      </c>
      <c r="M655" s="128" t="s">
        <v>3809</v>
      </c>
      <c r="N655" s="128" t="s">
        <v>3810</v>
      </c>
      <c r="O655" s="128">
        <v>610</v>
      </c>
      <c r="P655" s="128">
        <v>120</v>
      </c>
      <c r="Q655" s="128">
        <v>115</v>
      </c>
      <c r="R655" s="128">
        <v>260</v>
      </c>
      <c r="S655" s="128">
        <v>65</v>
      </c>
      <c r="T655" s="128">
        <v>65</v>
      </c>
      <c r="U655" s="128">
        <v>625</v>
      </c>
      <c r="V655" s="128" t="s">
        <v>1547</v>
      </c>
    </row>
    <row r="656" spans="1:22" x14ac:dyDescent="0.35">
      <c r="A656" s="118">
        <v>655</v>
      </c>
      <c r="B656" s="128" t="s">
        <v>168</v>
      </c>
      <c r="C656" s="128" t="s">
        <v>275</v>
      </c>
      <c r="D656" s="128" t="s">
        <v>3811</v>
      </c>
      <c r="E656" s="128" t="s">
        <v>3812</v>
      </c>
      <c r="F656" s="128">
        <v>2007</v>
      </c>
      <c r="G656" s="128">
        <v>35</v>
      </c>
      <c r="H656" s="128">
        <v>11</v>
      </c>
      <c r="I656" s="128">
        <v>46</v>
      </c>
      <c r="J656" s="128" t="s">
        <v>2751</v>
      </c>
      <c r="K656" s="128">
        <v>8.5</v>
      </c>
      <c r="L656" s="128" t="s">
        <v>3378</v>
      </c>
      <c r="M656" s="128" t="s">
        <v>3813</v>
      </c>
      <c r="N656" s="128" t="s">
        <v>3493</v>
      </c>
      <c r="O656" s="128">
        <v>652</v>
      </c>
      <c r="P656" s="128">
        <v>130</v>
      </c>
      <c r="Q656" s="128">
        <v>111</v>
      </c>
      <c r="R656" s="128">
        <v>277</v>
      </c>
      <c r="S656" s="128">
        <v>65</v>
      </c>
      <c r="T656" s="128">
        <v>75</v>
      </c>
      <c r="U656" s="128">
        <v>658</v>
      </c>
      <c r="V656" s="128" t="s">
        <v>1547</v>
      </c>
    </row>
    <row r="657" spans="1:22" x14ac:dyDescent="0.35">
      <c r="A657" s="118">
        <v>656</v>
      </c>
      <c r="B657" s="128" t="s">
        <v>168</v>
      </c>
      <c r="C657" s="128" t="s">
        <v>274</v>
      </c>
      <c r="D657" s="128" t="s">
        <v>3814</v>
      </c>
      <c r="E657" s="128" t="s">
        <v>2684</v>
      </c>
      <c r="F657" s="128">
        <v>1995</v>
      </c>
      <c r="G657" s="128">
        <v>56</v>
      </c>
      <c r="H657" s="128">
        <v>9</v>
      </c>
      <c r="I657" s="128">
        <v>65</v>
      </c>
      <c r="J657" s="128" t="s">
        <v>3815</v>
      </c>
      <c r="K657" s="128">
        <v>118.07192227342836</v>
      </c>
      <c r="L657" s="128" t="s">
        <v>3816</v>
      </c>
      <c r="M657" s="128" t="s">
        <v>2680</v>
      </c>
      <c r="N657" s="128" t="s">
        <v>3817</v>
      </c>
      <c r="O657" s="128">
        <v>711</v>
      </c>
      <c r="P657" s="128">
        <v>140</v>
      </c>
      <c r="Q657" s="128">
        <v>92</v>
      </c>
      <c r="R657" s="128">
        <v>294</v>
      </c>
      <c r="S657" s="128">
        <v>97</v>
      </c>
      <c r="T657" s="128">
        <v>103</v>
      </c>
      <c r="U657" s="128">
        <v>726</v>
      </c>
      <c r="V657" s="128" t="s">
        <v>3818</v>
      </c>
    </row>
    <row r="658" spans="1:22" x14ac:dyDescent="0.35">
      <c r="A658" s="118">
        <v>657</v>
      </c>
      <c r="B658" s="128" t="s">
        <v>168</v>
      </c>
      <c r="C658" s="128" t="s">
        <v>274</v>
      </c>
      <c r="D658" s="128" t="s">
        <v>3819</v>
      </c>
      <c r="E658" s="128" t="s">
        <v>2688</v>
      </c>
      <c r="F658" s="128">
        <v>2000</v>
      </c>
      <c r="G658" s="128">
        <v>48</v>
      </c>
      <c r="H658" s="128">
        <v>13</v>
      </c>
      <c r="I658" s="128">
        <v>61</v>
      </c>
      <c r="J658" s="128" t="s">
        <v>3815</v>
      </c>
      <c r="K658" s="128">
        <v>94</v>
      </c>
      <c r="L658" s="128" t="s">
        <v>2681</v>
      </c>
      <c r="M658" s="128" t="s">
        <v>2505</v>
      </c>
      <c r="N658" s="128" t="s">
        <v>3450</v>
      </c>
      <c r="O658" s="128">
        <v>712</v>
      </c>
      <c r="P658" s="128">
        <v>142</v>
      </c>
      <c r="Q658" s="128">
        <v>85</v>
      </c>
      <c r="R658" s="128">
        <v>293</v>
      </c>
      <c r="S658" s="128">
        <v>100</v>
      </c>
      <c r="T658" s="128">
        <v>104</v>
      </c>
      <c r="U658" s="128">
        <v>724</v>
      </c>
      <c r="V658" s="128" t="s">
        <v>3818</v>
      </c>
    </row>
    <row r="659" spans="1:22" x14ac:dyDescent="0.35">
      <c r="A659" s="118">
        <v>658</v>
      </c>
      <c r="B659" s="128" t="s">
        <v>168</v>
      </c>
      <c r="C659" s="128" t="s">
        <v>274</v>
      </c>
      <c r="D659" s="128" t="s">
        <v>2867</v>
      </c>
      <c r="E659" s="128" t="s">
        <v>2692</v>
      </c>
      <c r="F659" s="128">
        <v>1995</v>
      </c>
      <c r="G659" s="128">
        <v>22</v>
      </c>
      <c r="H659" s="128">
        <v>2</v>
      </c>
      <c r="I659" s="128">
        <v>24</v>
      </c>
      <c r="J659" s="128" t="s">
        <v>3815</v>
      </c>
      <c r="K659" s="128">
        <v>79</v>
      </c>
      <c r="L659" s="128" t="s">
        <v>3439</v>
      </c>
      <c r="M659" s="128" t="s">
        <v>3132</v>
      </c>
      <c r="N659" s="128" t="s">
        <v>3577</v>
      </c>
      <c r="O659" s="128">
        <v>418</v>
      </c>
      <c r="P659" s="128">
        <v>92</v>
      </c>
      <c r="Q659" s="128">
        <v>55</v>
      </c>
      <c r="R659" s="128">
        <v>168</v>
      </c>
      <c r="S659" s="128">
        <v>69</v>
      </c>
      <c r="T659" s="128">
        <v>47</v>
      </c>
      <c r="U659" s="128">
        <v>431</v>
      </c>
      <c r="V659" s="128" t="s">
        <v>1416</v>
      </c>
    </row>
    <row r="660" spans="1:22" x14ac:dyDescent="0.35">
      <c r="A660" s="118">
        <v>659</v>
      </c>
      <c r="B660" s="128" t="s">
        <v>168</v>
      </c>
      <c r="C660" s="128" t="s">
        <v>274</v>
      </c>
      <c r="D660" s="128" t="s">
        <v>3820</v>
      </c>
      <c r="E660" s="128" t="s">
        <v>2695</v>
      </c>
      <c r="F660" s="128">
        <v>2005</v>
      </c>
      <c r="G660" s="128">
        <v>62</v>
      </c>
      <c r="H660" s="128">
        <v>3</v>
      </c>
      <c r="I660" s="128">
        <v>65</v>
      </c>
      <c r="J660" s="128" t="s">
        <v>1929</v>
      </c>
      <c r="K660" s="128">
        <v>110</v>
      </c>
      <c r="L660" s="128" t="s">
        <v>2426</v>
      </c>
      <c r="M660" s="128" t="s">
        <v>2871</v>
      </c>
      <c r="N660" s="128" t="s">
        <v>2575</v>
      </c>
      <c r="O660" s="128">
        <v>462</v>
      </c>
      <c r="P660" s="128">
        <v>107</v>
      </c>
      <c r="Q660" s="128">
        <v>60</v>
      </c>
      <c r="R660" s="128">
        <v>181</v>
      </c>
      <c r="S660" s="128">
        <v>71</v>
      </c>
      <c r="T660" s="128">
        <v>53</v>
      </c>
      <c r="U660" s="128">
        <v>472</v>
      </c>
      <c r="V660" s="128" t="s">
        <v>1547</v>
      </c>
    </row>
    <row r="661" spans="1:22" x14ac:dyDescent="0.35">
      <c r="A661" s="118">
        <v>660</v>
      </c>
      <c r="B661" s="128" t="s">
        <v>168</v>
      </c>
      <c r="C661" s="128" t="s">
        <v>274</v>
      </c>
      <c r="D661" s="128" t="s">
        <v>3291</v>
      </c>
      <c r="E661" s="128" t="s">
        <v>3821</v>
      </c>
      <c r="F661" s="128">
        <v>2001</v>
      </c>
      <c r="G661" s="128">
        <v>79</v>
      </c>
      <c r="H661" s="128">
        <v>11</v>
      </c>
      <c r="I661" s="128">
        <v>90</v>
      </c>
      <c r="J661" s="128" t="s">
        <v>1929</v>
      </c>
      <c r="K661" s="128">
        <v>133.09971144260766</v>
      </c>
      <c r="L661" s="128" t="s">
        <v>2544</v>
      </c>
      <c r="M661" s="128" t="s">
        <v>3796</v>
      </c>
      <c r="N661" s="128" t="s">
        <v>2493</v>
      </c>
      <c r="O661" s="128">
        <v>717</v>
      </c>
      <c r="P661" s="128">
        <v>142</v>
      </c>
      <c r="Q661" s="128">
        <v>83</v>
      </c>
      <c r="R661" s="128">
        <v>295</v>
      </c>
      <c r="S661" s="128">
        <v>100</v>
      </c>
      <c r="T661" s="128">
        <v>102</v>
      </c>
      <c r="U661" s="128">
        <v>722</v>
      </c>
      <c r="V661" s="128" t="s">
        <v>3818</v>
      </c>
    </row>
    <row r="662" spans="1:22" x14ac:dyDescent="0.35">
      <c r="A662" s="118">
        <v>661</v>
      </c>
      <c r="B662" s="128" t="s">
        <v>168</v>
      </c>
      <c r="C662" s="128" t="s">
        <v>274</v>
      </c>
      <c r="D662" s="128" t="s">
        <v>3822</v>
      </c>
      <c r="E662" s="128" t="s">
        <v>3823</v>
      </c>
      <c r="F662" s="128">
        <v>2008</v>
      </c>
      <c r="G662" s="128">
        <v>75</v>
      </c>
      <c r="H662" s="128">
        <v>3</v>
      </c>
      <c r="I662" s="128">
        <v>78</v>
      </c>
      <c r="J662" s="128" t="s">
        <v>3815</v>
      </c>
      <c r="K662" s="128">
        <v>106.54689664995118</v>
      </c>
      <c r="L662" s="128" t="s">
        <v>3576</v>
      </c>
      <c r="M662" s="128" t="s">
        <v>3438</v>
      </c>
      <c r="N662" s="128" t="s">
        <v>3824</v>
      </c>
      <c r="O662" s="128">
        <v>461</v>
      </c>
      <c r="P662" s="128">
        <v>105</v>
      </c>
      <c r="Q662" s="128">
        <v>60</v>
      </c>
      <c r="R662" s="128">
        <v>182</v>
      </c>
      <c r="S662" s="128">
        <v>74</v>
      </c>
      <c r="T662" s="128">
        <v>53</v>
      </c>
      <c r="U662" s="128">
        <v>474</v>
      </c>
      <c r="V662" s="128" t="s">
        <v>1547</v>
      </c>
    </row>
    <row r="663" spans="1:22" x14ac:dyDescent="0.35">
      <c r="A663" s="118">
        <v>662</v>
      </c>
      <c r="B663" s="128" t="s">
        <v>168</v>
      </c>
      <c r="C663" s="128" t="s">
        <v>274</v>
      </c>
      <c r="D663" s="128" t="s">
        <v>3825</v>
      </c>
      <c r="E663" s="128" t="s">
        <v>3826</v>
      </c>
      <c r="F663" s="128">
        <v>2005</v>
      </c>
      <c r="G663" s="128">
        <v>47</v>
      </c>
      <c r="H663" s="128">
        <v>6</v>
      </c>
      <c r="I663" s="128">
        <v>53</v>
      </c>
      <c r="J663" s="128" t="s">
        <v>3815</v>
      </c>
      <c r="K663" s="128">
        <v>80</v>
      </c>
      <c r="L663" s="128" t="s">
        <v>3827</v>
      </c>
      <c r="M663" s="128" t="s">
        <v>3828</v>
      </c>
      <c r="N663" s="128" t="s">
        <v>3829</v>
      </c>
      <c r="O663" s="128">
        <v>430</v>
      </c>
      <c r="P663" s="128">
        <v>94</v>
      </c>
      <c r="Q663" s="128">
        <v>55</v>
      </c>
      <c r="R663" s="128">
        <v>168</v>
      </c>
      <c r="S663" s="128">
        <v>73</v>
      </c>
      <c r="T663" s="128">
        <v>52</v>
      </c>
      <c r="U663" s="128">
        <v>442</v>
      </c>
      <c r="V663" s="128" t="s">
        <v>1416</v>
      </c>
    </row>
    <row r="664" spans="1:22" x14ac:dyDescent="0.35">
      <c r="A664" s="118">
        <v>663</v>
      </c>
      <c r="B664" s="128" t="s">
        <v>168</v>
      </c>
      <c r="C664" s="128" t="s">
        <v>274</v>
      </c>
      <c r="D664" s="128" t="s">
        <v>2789</v>
      </c>
      <c r="E664" s="128" t="s">
        <v>3830</v>
      </c>
      <c r="F664" s="128">
        <v>2004</v>
      </c>
      <c r="G664" s="128">
        <v>74</v>
      </c>
      <c r="H664" s="128">
        <v>7</v>
      </c>
      <c r="I664" s="128">
        <v>81</v>
      </c>
      <c r="J664" s="128" t="s">
        <v>3815</v>
      </c>
      <c r="K664" s="128">
        <v>80.436604715635767</v>
      </c>
      <c r="L664" s="128" t="s">
        <v>3831</v>
      </c>
      <c r="M664" s="128" t="s">
        <v>2493</v>
      </c>
      <c r="N664" s="128" t="s">
        <v>3378</v>
      </c>
      <c r="O664" s="128">
        <v>417</v>
      </c>
      <c r="P664" s="128">
        <v>89</v>
      </c>
      <c r="Q664" s="128">
        <v>54</v>
      </c>
      <c r="R664" s="128">
        <v>172</v>
      </c>
      <c r="S664" s="128">
        <v>68</v>
      </c>
      <c r="T664" s="128">
        <v>45</v>
      </c>
      <c r="U664" s="128">
        <v>428</v>
      </c>
      <c r="V664" s="128" t="s">
        <v>1416</v>
      </c>
    </row>
    <row r="665" spans="1:22" x14ac:dyDescent="0.35">
      <c r="A665" s="118">
        <v>664</v>
      </c>
      <c r="B665" s="128" t="s">
        <v>168</v>
      </c>
      <c r="C665" s="128" t="s">
        <v>274</v>
      </c>
      <c r="D665" s="128" t="s">
        <v>3832</v>
      </c>
      <c r="E665" s="128" t="s">
        <v>3833</v>
      </c>
      <c r="F665" s="128">
        <v>2008</v>
      </c>
      <c r="G665" s="128">
        <v>53</v>
      </c>
      <c r="H665" s="128">
        <v>1</v>
      </c>
      <c r="I665" s="128">
        <v>54</v>
      </c>
      <c r="J665" s="128" t="s">
        <v>3815</v>
      </c>
      <c r="K665" s="128">
        <v>54.75476645474086</v>
      </c>
      <c r="L665" s="128" t="s">
        <v>2717</v>
      </c>
      <c r="M665" s="128" t="s">
        <v>3379</v>
      </c>
      <c r="N665" s="128" t="s">
        <v>3410</v>
      </c>
      <c r="O665" s="128">
        <v>409</v>
      </c>
      <c r="P665" s="128">
        <v>86</v>
      </c>
      <c r="Q665" s="128">
        <v>52</v>
      </c>
      <c r="R665" s="128">
        <v>169</v>
      </c>
      <c r="S665" s="128">
        <v>68</v>
      </c>
      <c r="T665" s="128">
        <v>45</v>
      </c>
      <c r="U665" s="128">
        <v>420</v>
      </c>
      <c r="V665" s="128" t="s">
        <v>1416</v>
      </c>
    </row>
    <row r="666" spans="1:22" x14ac:dyDescent="0.35">
      <c r="A666" s="118">
        <v>665</v>
      </c>
      <c r="B666" s="128" t="s">
        <v>168</v>
      </c>
      <c r="C666" s="128" t="s">
        <v>274</v>
      </c>
      <c r="D666" s="128" t="s">
        <v>3834</v>
      </c>
      <c r="E666" s="128" t="s">
        <v>3835</v>
      </c>
      <c r="F666" s="128">
        <v>2001</v>
      </c>
      <c r="G666" s="128">
        <v>57</v>
      </c>
      <c r="H666" s="128">
        <v>10</v>
      </c>
      <c r="I666" s="128">
        <v>67</v>
      </c>
      <c r="J666" s="128" t="s">
        <v>3815</v>
      </c>
      <c r="K666" s="128">
        <v>59.056525471396981</v>
      </c>
      <c r="L666" s="128" t="s">
        <v>3836</v>
      </c>
      <c r="M666" s="128" t="s">
        <v>3837</v>
      </c>
      <c r="N666" s="128" t="s">
        <v>3838</v>
      </c>
      <c r="O666" s="128">
        <v>422</v>
      </c>
      <c r="P666" s="128">
        <v>89</v>
      </c>
      <c r="Q666" s="128">
        <v>54</v>
      </c>
      <c r="R666" s="128">
        <v>175</v>
      </c>
      <c r="S666" s="128">
        <v>70</v>
      </c>
      <c r="T666" s="128">
        <v>46</v>
      </c>
      <c r="U666" s="128">
        <v>434</v>
      </c>
      <c r="V666" s="128" t="s">
        <v>1416</v>
      </c>
    </row>
    <row r="667" spans="1:22" x14ac:dyDescent="0.35">
      <c r="A667" s="118">
        <v>666</v>
      </c>
      <c r="B667" s="128" t="s">
        <v>168</v>
      </c>
      <c r="C667" s="128" t="s">
        <v>274</v>
      </c>
      <c r="D667" s="128" t="s">
        <v>3819</v>
      </c>
      <c r="E667" s="128" t="s">
        <v>3839</v>
      </c>
      <c r="F667" s="128">
        <v>2009</v>
      </c>
      <c r="G667" s="128">
        <v>63</v>
      </c>
      <c r="H667" s="128">
        <v>9</v>
      </c>
      <c r="I667" s="128">
        <v>72</v>
      </c>
      <c r="J667" s="128" t="s">
        <v>3815</v>
      </c>
      <c r="K667" s="128">
        <v>67</v>
      </c>
      <c r="L667" s="128" t="s">
        <v>3840</v>
      </c>
      <c r="M667" s="128" t="s">
        <v>3841</v>
      </c>
      <c r="N667" s="128" t="s">
        <v>3379</v>
      </c>
      <c r="O667" s="128">
        <v>419</v>
      </c>
      <c r="P667" s="128">
        <v>93</v>
      </c>
      <c r="Q667" s="128">
        <v>54</v>
      </c>
      <c r="R667" s="128">
        <v>169</v>
      </c>
      <c r="S667" s="128">
        <v>69</v>
      </c>
      <c r="T667" s="128">
        <v>46</v>
      </c>
      <c r="U667" s="128">
        <v>431</v>
      </c>
      <c r="V667" s="128" t="s">
        <v>1416</v>
      </c>
    </row>
    <row r="668" spans="1:22" x14ac:dyDescent="0.35">
      <c r="A668" s="118">
        <v>667</v>
      </c>
      <c r="B668" s="128" t="s">
        <v>168</v>
      </c>
      <c r="C668" s="128" t="s">
        <v>274</v>
      </c>
      <c r="D668" s="128" t="s">
        <v>2867</v>
      </c>
      <c r="E668" s="128" t="s">
        <v>3842</v>
      </c>
      <c r="F668" s="128">
        <v>2008</v>
      </c>
      <c r="G668" s="128">
        <v>31</v>
      </c>
      <c r="H668" s="128">
        <v>12</v>
      </c>
      <c r="I668" s="128">
        <v>43</v>
      </c>
      <c r="J668" s="128" t="s">
        <v>3815</v>
      </c>
      <c r="K668" s="128">
        <v>66</v>
      </c>
      <c r="L668" s="128" t="s">
        <v>3493</v>
      </c>
      <c r="M668" s="128" t="s">
        <v>3843</v>
      </c>
      <c r="N668" s="128" t="s">
        <v>3844</v>
      </c>
      <c r="O668" s="128">
        <v>435</v>
      </c>
      <c r="P668" s="128">
        <v>95</v>
      </c>
      <c r="Q668" s="128">
        <v>55</v>
      </c>
      <c r="R668" s="128">
        <v>172</v>
      </c>
      <c r="S668" s="128">
        <v>74</v>
      </c>
      <c r="T668" s="128">
        <v>50</v>
      </c>
      <c r="U668" s="128">
        <v>446</v>
      </c>
      <c r="V668" s="128" t="s">
        <v>1416</v>
      </c>
    </row>
    <row r="669" spans="1:22" x14ac:dyDescent="0.35">
      <c r="A669" s="118">
        <v>668</v>
      </c>
      <c r="B669" s="128" t="s">
        <v>168</v>
      </c>
      <c r="C669" s="128" t="s">
        <v>274</v>
      </c>
      <c r="D669" s="128" t="s">
        <v>3820</v>
      </c>
      <c r="E669" s="128" t="s">
        <v>3845</v>
      </c>
      <c r="F669" s="128">
        <v>2009</v>
      </c>
      <c r="G669" s="128">
        <v>26</v>
      </c>
      <c r="H669" s="128">
        <v>9</v>
      </c>
      <c r="I669" s="128">
        <v>35</v>
      </c>
      <c r="J669" s="128" t="s">
        <v>3815</v>
      </c>
      <c r="K669" s="128">
        <v>47</v>
      </c>
      <c r="L669" s="128" t="s">
        <v>3846</v>
      </c>
      <c r="M669" s="128" t="s">
        <v>3156</v>
      </c>
      <c r="N669" s="128" t="s">
        <v>3847</v>
      </c>
      <c r="O669" s="128">
        <v>422</v>
      </c>
      <c r="P669" s="128">
        <v>95</v>
      </c>
      <c r="Q669" s="128">
        <v>51</v>
      </c>
      <c r="R669" s="128">
        <v>174</v>
      </c>
      <c r="S669" s="128">
        <v>71</v>
      </c>
      <c r="T669" s="128">
        <v>44</v>
      </c>
      <c r="U669" s="128">
        <v>435</v>
      </c>
      <c r="V669" s="128" t="s">
        <v>1416</v>
      </c>
    </row>
    <row r="670" spans="1:22" x14ac:dyDescent="0.35">
      <c r="A670" s="118">
        <v>669</v>
      </c>
      <c r="B670" s="128" t="s">
        <v>168</v>
      </c>
      <c r="C670" s="128" t="s">
        <v>274</v>
      </c>
      <c r="D670" s="128" t="s">
        <v>3825</v>
      </c>
      <c r="E670" s="128" t="s">
        <v>3848</v>
      </c>
      <c r="F670" s="128">
        <v>2007</v>
      </c>
      <c r="G670" s="128">
        <v>53</v>
      </c>
      <c r="H670" s="128">
        <v>0</v>
      </c>
      <c r="I670" s="128">
        <v>53</v>
      </c>
      <c r="J670" s="128" t="s">
        <v>3815</v>
      </c>
      <c r="K670" s="128">
        <v>108</v>
      </c>
      <c r="L670" s="128" t="s">
        <v>3849</v>
      </c>
      <c r="M670" s="128" t="s">
        <v>3106</v>
      </c>
      <c r="N670" s="128" t="s">
        <v>3850</v>
      </c>
      <c r="O670" s="128">
        <v>417</v>
      </c>
      <c r="P670" s="128">
        <v>95</v>
      </c>
      <c r="Q670" s="128">
        <v>53</v>
      </c>
      <c r="R670" s="128">
        <v>167</v>
      </c>
      <c r="S670" s="128">
        <v>68</v>
      </c>
      <c r="T670" s="128">
        <v>44</v>
      </c>
      <c r="U670" s="128">
        <v>427</v>
      </c>
      <c r="V670" s="128" t="s">
        <v>1416</v>
      </c>
    </row>
    <row r="671" spans="1:22" x14ac:dyDescent="0.35">
      <c r="A671" s="118">
        <v>670</v>
      </c>
      <c r="B671" s="128" t="s">
        <v>168</v>
      </c>
      <c r="C671" s="128" t="s">
        <v>279</v>
      </c>
      <c r="D671" s="128" t="s">
        <v>2391</v>
      </c>
      <c r="E671" s="128" t="s">
        <v>3210</v>
      </c>
      <c r="F671" s="128">
        <v>1998</v>
      </c>
      <c r="G671" s="128">
        <v>100</v>
      </c>
      <c r="H671" s="128">
        <v>15</v>
      </c>
      <c r="I671" s="128">
        <v>115</v>
      </c>
      <c r="J671" s="128" t="s">
        <v>1929</v>
      </c>
      <c r="K671" s="128">
        <v>174</v>
      </c>
      <c r="L671" s="128" t="s">
        <v>3851</v>
      </c>
      <c r="M671" s="128" t="s">
        <v>2680</v>
      </c>
      <c r="N671" s="128" t="s">
        <v>2771</v>
      </c>
      <c r="O671" s="128">
        <v>712</v>
      </c>
      <c r="P671" s="128">
        <v>142</v>
      </c>
      <c r="Q671" s="128">
        <v>87</v>
      </c>
      <c r="R671" s="128">
        <v>288</v>
      </c>
      <c r="S671" s="128">
        <v>100</v>
      </c>
      <c r="T671" s="128">
        <v>104</v>
      </c>
      <c r="U671" s="128">
        <v>721</v>
      </c>
      <c r="V671" s="128" t="s">
        <v>1417</v>
      </c>
    </row>
    <row r="672" spans="1:22" x14ac:dyDescent="0.35">
      <c r="A672" s="118">
        <v>671</v>
      </c>
      <c r="B672" s="128" t="s">
        <v>168</v>
      </c>
      <c r="C672" s="128" t="s">
        <v>279</v>
      </c>
      <c r="D672" s="128" t="s">
        <v>3852</v>
      </c>
      <c r="E672" s="128" t="s">
        <v>3481</v>
      </c>
      <c r="F672" s="128">
        <v>1998</v>
      </c>
      <c r="G672" s="128">
        <v>37</v>
      </c>
      <c r="H672" s="128">
        <v>8</v>
      </c>
      <c r="I672" s="128">
        <v>45</v>
      </c>
      <c r="J672" s="128" t="s">
        <v>3815</v>
      </c>
      <c r="K672" s="128">
        <v>72</v>
      </c>
      <c r="L672" s="128" t="s">
        <v>3853</v>
      </c>
      <c r="M672" s="128" t="s">
        <v>3854</v>
      </c>
      <c r="N672" s="128" t="s">
        <v>2791</v>
      </c>
      <c r="O672" s="128">
        <v>718</v>
      </c>
      <c r="P672" s="128">
        <v>142</v>
      </c>
      <c r="Q672" s="128">
        <v>92</v>
      </c>
      <c r="R672" s="128">
        <v>293</v>
      </c>
      <c r="S672" s="128">
        <v>99</v>
      </c>
      <c r="T672" s="128">
        <v>105</v>
      </c>
      <c r="U672" s="128">
        <v>731</v>
      </c>
      <c r="V672" s="128" t="s">
        <v>1417</v>
      </c>
    </row>
    <row r="673" spans="1:22" x14ac:dyDescent="0.35">
      <c r="A673" s="118">
        <v>672</v>
      </c>
      <c r="B673" s="128" t="s">
        <v>168</v>
      </c>
      <c r="C673" s="128" t="s">
        <v>279</v>
      </c>
      <c r="D673" s="128" t="s">
        <v>3855</v>
      </c>
      <c r="E673" s="128" t="s">
        <v>3485</v>
      </c>
      <c r="F673" s="128">
        <v>1998</v>
      </c>
      <c r="G673" s="128">
        <v>73</v>
      </c>
      <c r="H673" s="128">
        <v>14</v>
      </c>
      <c r="I673" s="128">
        <v>87</v>
      </c>
      <c r="J673" s="128" t="s">
        <v>3815</v>
      </c>
      <c r="K673" s="128">
        <v>104</v>
      </c>
      <c r="L673" s="128" t="s">
        <v>3856</v>
      </c>
      <c r="M673" s="128" t="s">
        <v>2704</v>
      </c>
      <c r="N673" s="128" t="s">
        <v>2653</v>
      </c>
      <c r="O673" s="128">
        <v>438</v>
      </c>
      <c r="P673" s="128">
        <v>92</v>
      </c>
      <c r="Q673" s="128">
        <v>61</v>
      </c>
      <c r="R673" s="128">
        <v>176</v>
      </c>
      <c r="S673" s="128">
        <v>68</v>
      </c>
      <c r="T673" s="128">
        <v>54</v>
      </c>
      <c r="U673" s="128">
        <v>451</v>
      </c>
      <c r="V673" s="128" t="s">
        <v>1416</v>
      </c>
    </row>
    <row r="674" spans="1:22" x14ac:dyDescent="0.35">
      <c r="A674" s="118">
        <v>673</v>
      </c>
      <c r="B674" s="128" t="s">
        <v>168</v>
      </c>
      <c r="C674" s="128" t="s">
        <v>279</v>
      </c>
      <c r="D674" s="128" t="s">
        <v>3588</v>
      </c>
      <c r="E674" s="128" t="s">
        <v>3487</v>
      </c>
      <c r="F674" s="128">
        <v>1999</v>
      </c>
      <c r="G674" s="128">
        <v>72</v>
      </c>
      <c r="H674" s="128">
        <v>6</v>
      </c>
      <c r="I674" s="128">
        <v>78</v>
      </c>
      <c r="J674" s="128" t="s">
        <v>1929</v>
      </c>
      <c r="K674" s="128">
        <v>116</v>
      </c>
      <c r="L674" s="128" t="s">
        <v>3857</v>
      </c>
      <c r="M674" s="128" t="s">
        <v>3858</v>
      </c>
      <c r="N674" s="128" t="s">
        <v>2425</v>
      </c>
      <c r="O674" s="128">
        <v>456</v>
      </c>
      <c r="P674" s="128">
        <v>98</v>
      </c>
      <c r="Q674" s="128">
        <v>60</v>
      </c>
      <c r="R674" s="128">
        <v>185</v>
      </c>
      <c r="S674" s="128">
        <v>71</v>
      </c>
      <c r="T674" s="128">
        <v>55</v>
      </c>
      <c r="U674" s="128">
        <v>469</v>
      </c>
      <c r="V674" s="128" t="s">
        <v>1547</v>
      </c>
    </row>
    <row r="675" spans="1:22" x14ac:dyDescent="0.35">
      <c r="A675" s="118">
        <v>674</v>
      </c>
      <c r="B675" s="128" t="s">
        <v>168</v>
      </c>
      <c r="C675" s="128" t="s">
        <v>279</v>
      </c>
      <c r="D675" s="128" t="s">
        <v>3859</v>
      </c>
      <c r="E675" s="128" t="s">
        <v>3490</v>
      </c>
      <c r="F675" s="128">
        <v>2002</v>
      </c>
      <c r="G675" s="128">
        <v>57</v>
      </c>
      <c r="H675" s="128">
        <v>12</v>
      </c>
      <c r="I675" s="128">
        <v>69</v>
      </c>
      <c r="J675" s="128" t="s">
        <v>3815</v>
      </c>
      <c r="K675" s="128">
        <v>78</v>
      </c>
      <c r="L675" s="128" t="s">
        <v>2601</v>
      </c>
      <c r="M675" s="128" t="s">
        <v>3860</v>
      </c>
      <c r="N675" s="128" t="s">
        <v>3861</v>
      </c>
      <c r="O675" s="128">
        <v>439</v>
      </c>
      <c r="P675" s="128">
        <v>97</v>
      </c>
      <c r="Q675" s="128">
        <v>59</v>
      </c>
      <c r="R675" s="128">
        <v>175</v>
      </c>
      <c r="S675" s="128">
        <v>71</v>
      </c>
      <c r="T675" s="128">
        <v>60</v>
      </c>
      <c r="U675" s="128">
        <v>462</v>
      </c>
      <c r="V675" s="128" t="s">
        <v>3862</v>
      </c>
    </row>
    <row r="676" spans="1:22" x14ac:dyDescent="0.35">
      <c r="A676" s="118">
        <v>675</v>
      </c>
      <c r="B676" s="128" t="s">
        <v>168</v>
      </c>
      <c r="C676" s="128" t="s">
        <v>279</v>
      </c>
      <c r="D676" s="128" t="s">
        <v>2869</v>
      </c>
      <c r="E676" s="128" t="s">
        <v>3495</v>
      </c>
      <c r="F676" s="128">
        <v>2003</v>
      </c>
      <c r="G676" s="128">
        <v>39</v>
      </c>
      <c r="H676" s="128">
        <v>13</v>
      </c>
      <c r="I676" s="128">
        <v>52</v>
      </c>
      <c r="J676" s="128" t="s">
        <v>3815</v>
      </c>
      <c r="K676" s="128">
        <v>97</v>
      </c>
      <c r="L676" s="128" t="s">
        <v>2494</v>
      </c>
      <c r="M676" s="128" t="s">
        <v>3863</v>
      </c>
      <c r="N676" s="128" t="s">
        <v>3864</v>
      </c>
      <c r="O676" s="128">
        <v>413</v>
      </c>
      <c r="P676" s="128">
        <v>91</v>
      </c>
      <c r="Q676" s="128">
        <v>52</v>
      </c>
      <c r="R676" s="128">
        <v>167</v>
      </c>
      <c r="S676" s="128">
        <v>70</v>
      </c>
      <c r="T676" s="128">
        <v>44</v>
      </c>
      <c r="U676" s="128">
        <v>424</v>
      </c>
      <c r="V676" s="128" t="s">
        <v>1416</v>
      </c>
    </row>
    <row r="677" spans="1:22" x14ac:dyDescent="0.35">
      <c r="A677" s="118">
        <v>676</v>
      </c>
      <c r="B677" s="128" t="s">
        <v>168</v>
      </c>
      <c r="C677" s="128" t="s">
        <v>279</v>
      </c>
      <c r="D677" s="128" t="s">
        <v>3865</v>
      </c>
      <c r="E677" s="128" t="s">
        <v>3866</v>
      </c>
      <c r="F677" s="128">
        <v>2003</v>
      </c>
      <c r="G677" s="128">
        <v>54</v>
      </c>
      <c r="H677" s="128">
        <v>9</v>
      </c>
      <c r="I677" s="128">
        <v>63</v>
      </c>
      <c r="J677" s="128" t="s">
        <v>3815</v>
      </c>
      <c r="K677" s="128">
        <v>136</v>
      </c>
      <c r="L677" s="128" t="s">
        <v>2501</v>
      </c>
      <c r="M677" s="128" t="s">
        <v>3867</v>
      </c>
      <c r="N677" s="128" t="s">
        <v>3333</v>
      </c>
      <c r="O677" s="128">
        <v>416</v>
      </c>
      <c r="P677" s="128">
        <v>94</v>
      </c>
      <c r="Q677" s="128">
        <v>54</v>
      </c>
      <c r="R677" s="128">
        <v>166</v>
      </c>
      <c r="S677" s="128">
        <v>68</v>
      </c>
      <c r="T677" s="128">
        <v>45</v>
      </c>
      <c r="U677" s="128">
        <v>427</v>
      </c>
      <c r="V677" s="128" t="s">
        <v>1416</v>
      </c>
    </row>
    <row r="678" spans="1:22" x14ac:dyDescent="0.35">
      <c r="A678" s="118">
        <v>677</v>
      </c>
      <c r="B678" s="128" t="s">
        <v>168</v>
      </c>
      <c r="C678" s="128" t="s">
        <v>279</v>
      </c>
      <c r="D678" s="128" t="s">
        <v>3868</v>
      </c>
      <c r="E678" s="128" t="s">
        <v>3869</v>
      </c>
      <c r="F678" s="128">
        <v>2005</v>
      </c>
      <c r="G678" s="128">
        <v>65</v>
      </c>
      <c r="H678" s="128">
        <v>9</v>
      </c>
      <c r="I678" s="128">
        <v>74</v>
      </c>
      <c r="J678" s="128" t="s">
        <v>3815</v>
      </c>
      <c r="K678" s="128">
        <v>106</v>
      </c>
      <c r="L678" s="128" t="s">
        <v>3870</v>
      </c>
      <c r="M678" s="128" t="s">
        <v>3142</v>
      </c>
      <c r="N678" s="128" t="s">
        <v>3871</v>
      </c>
      <c r="O678" s="128">
        <v>415</v>
      </c>
      <c r="P678" s="128">
        <v>91</v>
      </c>
      <c r="Q678" s="128">
        <v>51</v>
      </c>
      <c r="R678" s="128">
        <v>170</v>
      </c>
      <c r="S678" s="128">
        <v>71</v>
      </c>
      <c r="T678" s="128">
        <v>45</v>
      </c>
      <c r="U678" s="128">
        <v>428</v>
      </c>
      <c r="V678" s="128" t="s">
        <v>1416</v>
      </c>
    </row>
    <row r="679" spans="1:22" x14ac:dyDescent="0.35">
      <c r="A679" s="118">
        <v>678</v>
      </c>
      <c r="B679" s="128" t="s">
        <v>168</v>
      </c>
      <c r="C679" s="128" t="s">
        <v>279</v>
      </c>
      <c r="D679" s="128" t="s">
        <v>3852</v>
      </c>
      <c r="E679" s="128" t="s">
        <v>3872</v>
      </c>
      <c r="F679" s="128">
        <v>2007</v>
      </c>
      <c r="G679" s="128">
        <v>49</v>
      </c>
      <c r="H679" s="128">
        <v>2</v>
      </c>
      <c r="I679" s="128">
        <v>51</v>
      </c>
      <c r="J679" s="128" t="s">
        <v>3815</v>
      </c>
      <c r="K679" s="128">
        <v>70</v>
      </c>
      <c r="L679" s="128" t="s">
        <v>3873</v>
      </c>
      <c r="M679" s="128" t="s">
        <v>2680</v>
      </c>
      <c r="N679" s="128" t="s">
        <v>3838</v>
      </c>
      <c r="O679" s="128">
        <v>458</v>
      </c>
      <c r="P679" s="128">
        <v>98</v>
      </c>
      <c r="Q679" s="128">
        <v>58</v>
      </c>
      <c r="R679" s="128">
        <v>185</v>
      </c>
      <c r="S679" s="128">
        <v>70</v>
      </c>
      <c r="T679" s="128">
        <v>57</v>
      </c>
      <c r="U679" s="128">
        <v>468</v>
      </c>
      <c r="V679" s="128" t="s">
        <v>1547</v>
      </c>
    </row>
    <row r="680" spans="1:22" x14ac:dyDescent="0.35">
      <c r="A680" s="118">
        <v>679</v>
      </c>
      <c r="B680" s="128" t="s">
        <v>168</v>
      </c>
      <c r="C680" s="128" t="s">
        <v>279</v>
      </c>
      <c r="D680" s="128" t="s">
        <v>3859</v>
      </c>
      <c r="E680" s="128" t="s">
        <v>1033</v>
      </c>
      <c r="F680" s="128">
        <v>2020</v>
      </c>
      <c r="G680" s="128">
        <v>39</v>
      </c>
      <c r="H680" s="128">
        <v>9</v>
      </c>
      <c r="I680" s="128">
        <v>48</v>
      </c>
      <c r="J680" s="128" t="s">
        <v>3815</v>
      </c>
      <c r="K680" s="128">
        <v>70</v>
      </c>
      <c r="L680" s="128" t="s">
        <v>3874</v>
      </c>
      <c r="M680" s="128" t="s">
        <v>3875</v>
      </c>
      <c r="N680" s="128" t="s">
        <v>3876</v>
      </c>
      <c r="O680" s="128">
        <v>132</v>
      </c>
      <c r="P680" s="128">
        <v>75</v>
      </c>
      <c r="Q680" s="128">
        <v>80</v>
      </c>
      <c r="R680" s="128">
        <v>68</v>
      </c>
      <c r="S680" s="128">
        <v>7</v>
      </c>
      <c r="T680" s="128">
        <v>25</v>
      </c>
      <c r="U680" s="128">
        <v>255</v>
      </c>
      <c r="V680" s="128" t="s">
        <v>1416</v>
      </c>
    </row>
    <row r="681" spans="1:22" x14ac:dyDescent="0.35">
      <c r="A681" s="118">
        <v>680</v>
      </c>
      <c r="B681" s="128" t="s">
        <v>168</v>
      </c>
      <c r="C681" s="128" t="s">
        <v>279</v>
      </c>
      <c r="D681" s="128" t="s">
        <v>3852</v>
      </c>
      <c r="E681" s="128" t="s">
        <v>2443</v>
      </c>
      <c r="F681" s="128">
        <v>2007</v>
      </c>
      <c r="G681" s="128">
        <v>0</v>
      </c>
      <c r="H681" s="128">
        <v>45</v>
      </c>
      <c r="I681" s="128">
        <v>45</v>
      </c>
      <c r="J681" s="128" t="s">
        <v>2136</v>
      </c>
      <c r="K681" s="128">
        <v>15</v>
      </c>
      <c r="L681" s="128" t="s">
        <v>3877</v>
      </c>
      <c r="M681" s="128"/>
      <c r="N681" s="128" t="s">
        <v>3878</v>
      </c>
      <c r="O681" s="128">
        <v>431</v>
      </c>
      <c r="P681" s="128">
        <v>96</v>
      </c>
      <c r="Q681" s="128">
        <v>55</v>
      </c>
      <c r="R681" s="128">
        <v>172</v>
      </c>
      <c r="S681" s="128">
        <v>67</v>
      </c>
      <c r="T681" s="128">
        <v>52</v>
      </c>
      <c r="U681" s="128">
        <v>442</v>
      </c>
      <c r="V681" s="128" t="s">
        <v>1416</v>
      </c>
    </row>
    <row r="682" spans="1:22" x14ac:dyDescent="0.35">
      <c r="A682" s="118">
        <v>681</v>
      </c>
      <c r="B682" s="128" t="s">
        <v>168</v>
      </c>
      <c r="C682" s="128" t="s">
        <v>271</v>
      </c>
      <c r="D682" s="128" t="s">
        <v>1517</v>
      </c>
      <c r="E682" s="128" t="s">
        <v>980</v>
      </c>
      <c r="F682" s="128">
        <v>1995</v>
      </c>
      <c r="G682" s="128">
        <v>112</v>
      </c>
      <c r="H682" s="128">
        <v>19</v>
      </c>
      <c r="I682" s="128">
        <v>131</v>
      </c>
      <c r="J682" s="128" t="s">
        <v>3879</v>
      </c>
      <c r="K682" s="128">
        <v>159.4</v>
      </c>
      <c r="L682" s="128" t="s">
        <v>2243</v>
      </c>
      <c r="M682" s="128" t="s">
        <v>3226</v>
      </c>
      <c r="N682" s="128" t="s">
        <v>3880</v>
      </c>
      <c r="O682" s="128">
        <v>579</v>
      </c>
      <c r="P682" s="128">
        <v>131</v>
      </c>
      <c r="Q682" s="128">
        <v>85</v>
      </c>
      <c r="R682" s="128">
        <v>208</v>
      </c>
      <c r="S682" s="128">
        <v>80</v>
      </c>
      <c r="T682" s="128">
        <v>77</v>
      </c>
      <c r="U682" s="128">
        <v>581</v>
      </c>
      <c r="V682" s="128" t="s">
        <v>1397</v>
      </c>
    </row>
    <row r="683" spans="1:22" x14ac:dyDescent="0.35">
      <c r="A683" s="118">
        <v>682</v>
      </c>
      <c r="B683" s="128" t="s">
        <v>168</v>
      </c>
      <c r="C683" s="128" t="s">
        <v>271</v>
      </c>
      <c r="D683" s="128" t="s">
        <v>3881</v>
      </c>
      <c r="E683" s="128" t="s">
        <v>869</v>
      </c>
      <c r="F683" s="128">
        <v>1995</v>
      </c>
      <c r="G683" s="128">
        <v>73</v>
      </c>
      <c r="H683" s="128">
        <v>19</v>
      </c>
      <c r="I683" s="128">
        <v>92</v>
      </c>
      <c r="J683" s="128" t="s">
        <v>3879</v>
      </c>
      <c r="K683" s="128">
        <v>165</v>
      </c>
      <c r="L683" s="128" t="s">
        <v>1611</v>
      </c>
      <c r="M683" s="128" t="s">
        <v>1550</v>
      </c>
      <c r="N683" s="128" t="s">
        <v>2125</v>
      </c>
      <c r="O683" s="128">
        <v>756</v>
      </c>
      <c r="P683" s="128">
        <v>148</v>
      </c>
      <c r="Q683" s="128">
        <v>122</v>
      </c>
      <c r="R683" s="128">
        <v>311</v>
      </c>
      <c r="S683" s="128">
        <v>100</v>
      </c>
      <c r="T683" s="128">
        <v>93</v>
      </c>
      <c r="U683" s="128">
        <v>774</v>
      </c>
      <c r="V683" s="128" t="s">
        <v>1417</v>
      </c>
    </row>
    <row r="684" spans="1:22" x14ac:dyDescent="0.35">
      <c r="A684" s="118">
        <v>683</v>
      </c>
      <c r="B684" s="128" t="s">
        <v>168</v>
      </c>
      <c r="C684" s="128" t="s">
        <v>271</v>
      </c>
      <c r="D684" s="128" t="s">
        <v>3882</v>
      </c>
      <c r="E684" s="128" t="s">
        <v>868</v>
      </c>
      <c r="F684" s="128">
        <v>1995</v>
      </c>
      <c r="G684" s="128">
        <v>82</v>
      </c>
      <c r="H684" s="128">
        <v>22</v>
      </c>
      <c r="I684" s="128">
        <v>104</v>
      </c>
      <c r="J684" s="128" t="s">
        <v>3879</v>
      </c>
      <c r="K684" s="128">
        <v>121.65</v>
      </c>
      <c r="L684" s="128" t="s">
        <v>1530</v>
      </c>
      <c r="M684" s="128" t="s">
        <v>2047</v>
      </c>
      <c r="N684" s="128" t="s">
        <v>3233</v>
      </c>
      <c r="O684" s="128">
        <v>840</v>
      </c>
      <c r="P684" s="128">
        <v>169</v>
      </c>
      <c r="Q684" s="128">
        <v>132</v>
      </c>
      <c r="R684" s="128">
        <v>325</v>
      </c>
      <c r="S684" s="128">
        <v>100</v>
      </c>
      <c r="T684" s="128">
        <v>125</v>
      </c>
      <c r="U684" s="128">
        <v>851</v>
      </c>
      <c r="V684" s="128" t="s">
        <v>1417</v>
      </c>
    </row>
    <row r="685" spans="1:22" x14ac:dyDescent="0.35">
      <c r="A685" s="118">
        <v>684</v>
      </c>
      <c r="B685" s="128" t="s">
        <v>168</v>
      </c>
      <c r="C685" s="128" t="s">
        <v>271</v>
      </c>
      <c r="D685" s="128" t="s">
        <v>3883</v>
      </c>
      <c r="E685" s="128" t="s">
        <v>979</v>
      </c>
      <c r="F685" s="128">
        <v>1995</v>
      </c>
      <c r="G685" s="128">
        <v>57</v>
      </c>
      <c r="H685" s="128">
        <v>19</v>
      </c>
      <c r="I685" s="128">
        <v>76</v>
      </c>
      <c r="J685" s="128" t="s">
        <v>3879</v>
      </c>
      <c r="K685" s="128">
        <v>142.35</v>
      </c>
      <c r="L685" s="128" t="s">
        <v>3884</v>
      </c>
      <c r="M685" s="128" t="s">
        <v>1911</v>
      </c>
      <c r="N685" s="128" t="s">
        <v>2235</v>
      </c>
      <c r="O685" s="128">
        <v>636</v>
      </c>
      <c r="P685" s="128">
        <v>130</v>
      </c>
      <c r="Q685" s="128">
        <v>106</v>
      </c>
      <c r="R685" s="128">
        <v>244</v>
      </c>
      <c r="S685" s="128">
        <v>80</v>
      </c>
      <c r="T685" s="128">
        <v>80</v>
      </c>
      <c r="U685" s="128">
        <v>640</v>
      </c>
      <c r="V685" s="128" t="s">
        <v>1397</v>
      </c>
    </row>
    <row r="686" spans="1:22" x14ac:dyDescent="0.35">
      <c r="A686" s="118">
        <v>685</v>
      </c>
      <c r="B686" s="128" t="s">
        <v>168</v>
      </c>
      <c r="C686" s="128" t="s">
        <v>271</v>
      </c>
      <c r="D686" s="128" t="s">
        <v>3885</v>
      </c>
      <c r="E686" s="128" t="s">
        <v>978</v>
      </c>
      <c r="F686" s="128">
        <v>1995</v>
      </c>
      <c r="G686" s="128">
        <v>59</v>
      </c>
      <c r="H686" s="128">
        <v>19</v>
      </c>
      <c r="I686" s="128">
        <v>78</v>
      </c>
      <c r="J686" s="128" t="s">
        <v>3879</v>
      </c>
      <c r="K686" s="128">
        <v>85.89</v>
      </c>
      <c r="L686" s="128" t="s">
        <v>3886</v>
      </c>
      <c r="M686" s="128" t="s">
        <v>3887</v>
      </c>
      <c r="N686" s="128" t="s">
        <v>3888</v>
      </c>
      <c r="O686" s="128">
        <v>500</v>
      </c>
      <c r="P686" s="128">
        <v>105</v>
      </c>
      <c r="Q686" s="128">
        <v>88</v>
      </c>
      <c r="R686" s="128">
        <v>201</v>
      </c>
      <c r="S686" s="128">
        <v>67</v>
      </c>
      <c r="T686" s="128">
        <v>58</v>
      </c>
      <c r="U686" s="128">
        <v>519</v>
      </c>
      <c r="V686" s="128" t="s">
        <v>1397</v>
      </c>
    </row>
    <row r="687" spans="1:22" x14ac:dyDescent="0.35">
      <c r="A687" s="118">
        <v>686</v>
      </c>
      <c r="B687" s="128" t="s">
        <v>168</v>
      </c>
      <c r="C687" s="128" t="s">
        <v>271</v>
      </c>
      <c r="D687" s="128" t="s">
        <v>3889</v>
      </c>
      <c r="E687" s="128" t="s">
        <v>977</v>
      </c>
      <c r="F687" s="128">
        <v>1995</v>
      </c>
      <c r="G687" s="128">
        <v>54</v>
      </c>
      <c r="H687" s="128">
        <v>19</v>
      </c>
      <c r="I687" s="128">
        <v>73</v>
      </c>
      <c r="J687" s="128" t="s">
        <v>3879</v>
      </c>
      <c r="K687" s="128">
        <v>90.6</v>
      </c>
      <c r="L687" s="128" t="s">
        <v>3890</v>
      </c>
      <c r="M687" s="128" t="s">
        <v>3891</v>
      </c>
      <c r="N687" s="128" t="s">
        <v>3892</v>
      </c>
      <c r="O687" s="128">
        <v>691</v>
      </c>
      <c r="P687" s="128">
        <v>134</v>
      </c>
      <c r="Q687" s="128">
        <v>112</v>
      </c>
      <c r="R687" s="128">
        <v>287</v>
      </c>
      <c r="S687" s="128">
        <v>80</v>
      </c>
      <c r="T687" s="128">
        <v>80</v>
      </c>
      <c r="U687" s="128">
        <v>693</v>
      </c>
      <c r="V687" s="128" t="s">
        <v>1397</v>
      </c>
    </row>
    <row r="688" spans="1:22" x14ac:dyDescent="0.35">
      <c r="A688" s="118">
        <v>687</v>
      </c>
      <c r="B688" s="128" t="s">
        <v>168</v>
      </c>
      <c r="C688" s="128" t="s">
        <v>271</v>
      </c>
      <c r="D688" s="128" t="s">
        <v>1748</v>
      </c>
      <c r="E688" s="128" t="s">
        <v>976</v>
      </c>
      <c r="F688" s="128">
        <v>2006</v>
      </c>
      <c r="G688" s="128">
        <v>131</v>
      </c>
      <c r="H688" s="128">
        <v>38</v>
      </c>
      <c r="I688" s="128">
        <v>169</v>
      </c>
      <c r="J688" s="128" t="s">
        <v>3879</v>
      </c>
      <c r="K688" s="128">
        <v>153.52000000000001</v>
      </c>
      <c r="L688" s="128" t="s">
        <v>1732</v>
      </c>
      <c r="M688" s="128" t="s">
        <v>3103</v>
      </c>
      <c r="N688" s="128" t="s">
        <v>1550</v>
      </c>
      <c r="O688" s="128">
        <v>622</v>
      </c>
      <c r="P688" s="128">
        <v>135</v>
      </c>
      <c r="Q688" s="128">
        <v>97</v>
      </c>
      <c r="R688" s="128">
        <v>244</v>
      </c>
      <c r="S688" s="128">
        <v>80</v>
      </c>
      <c r="T688" s="128">
        <v>80</v>
      </c>
      <c r="U688" s="128">
        <v>636</v>
      </c>
      <c r="V688" s="128" t="s">
        <v>1397</v>
      </c>
    </row>
    <row r="689" spans="1:22" x14ac:dyDescent="0.35">
      <c r="A689" s="118">
        <v>688</v>
      </c>
      <c r="B689" s="128" t="s">
        <v>168</v>
      </c>
      <c r="C689" s="128" t="s">
        <v>271</v>
      </c>
      <c r="D689" s="128" t="s">
        <v>3893</v>
      </c>
      <c r="E689" s="128" t="s">
        <v>975</v>
      </c>
      <c r="F689" s="128">
        <v>1995</v>
      </c>
      <c r="G689" s="128">
        <v>72</v>
      </c>
      <c r="H689" s="128">
        <v>18</v>
      </c>
      <c r="I689" s="128">
        <v>90</v>
      </c>
      <c r="J689" s="128" t="s">
        <v>3879</v>
      </c>
      <c r="K689" s="128">
        <v>46.26</v>
      </c>
      <c r="L689" s="128" t="s">
        <v>3894</v>
      </c>
      <c r="M689" s="128" t="s">
        <v>3895</v>
      </c>
      <c r="N689" s="128" t="s">
        <v>3896</v>
      </c>
      <c r="O689" s="128">
        <v>618</v>
      </c>
      <c r="P689" s="128">
        <v>135</v>
      </c>
      <c r="Q689" s="128">
        <v>107</v>
      </c>
      <c r="R689" s="128">
        <v>223</v>
      </c>
      <c r="S689" s="128">
        <v>80</v>
      </c>
      <c r="T689" s="128">
        <v>80</v>
      </c>
      <c r="U689" s="128">
        <v>625</v>
      </c>
      <c r="V689" s="128" t="s">
        <v>1397</v>
      </c>
    </row>
    <row r="690" spans="1:22" x14ac:dyDescent="0.35">
      <c r="A690" s="118">
        <v>689</v>
      </c>
      <c r="B690" s="128" t="s">
        <v>169</v>
      </c>
      <c r="C690" s="128" t="s">
        <v>287</v>
      </c>
      <c r="D690" s="128" t="s">
        <v>2087</v>
      </c>
      <c r="E690" s="128" t="s">
        <v>432</v>
      </c>
      <c r="F690" s="128">
        <v>1984</v>
      </c>
      <c r="G690" s="128">
        <v>43</v>
      </c>
      <c r="H690" s="128">
        <v>10</v>
      </c>
      <c r="I690" s="128">
        <v>53</v>
      </c>
      <c r="J690" s="128" t="s">
        <v>1509</v>
      </c>
      <c r="K690" s="128">
        <v>60.9</v>
      </c>
      <c r="L690" s="128" t="s">
        <v>1620</v>
      </c>
      <c r="M690" s="128" t="s">
        <v>2067</v>
      </c>
      <c r="N690" s="128" t="s">
        <v>2590</v>
      </c>
      <c r="O690" s="128">
        <v>655</v>
      </c>
      <c r="P690" s="128">
        <v>135</v>
      </c>
      <c r="Q690" s="128">
        <v>110</v>
      </c>
      <c r="R690" s="128">
        <v>255</v>
      </c>
      <c r="S690" s="128">
        <v>80</v>
      </c>
      <c r="T690" s="128">
        <v>80</v>
      </c>
      <c r="U690" s="128">
        <v>660</v>
      </c>
      <c r="V690" s="128" t="s">
        <v>1547</v>
      </c>
    </row>
    <row r="691" spans="1:22" x14ac:dyDescent="0.35">
      <c r="A691" s="118">
        <v>690</v>
      </c>
      <c r="B691" s="128" t="s">
        <v>169</v>
      </c>
      <c r="C691" s="128" t="s">
        <v>287</v>
      </c>
      <c r="D691" s="128" t="s">
        <v>3897</v>
      </c>
      <c r="E691" s="128" t="s">
        <v>498</v>
      </c>
      <c r="F691" s="128">
        <v>1989</v>
      </c>
      <c r="G691" s="128">
        <v>38</v>
      </c>
      <c r="H691" s="128">
        <v>7</v>
      </c>
      <c r="I691" s="128">
        <v>45</v>
      </c>
      <c r="J691" s="128" t="s">
        <v>1509</v>
      </c>
      <c r="K691" s="128">
        <v>37.799999999999997</v>
      </c>
      <c r="L691" s="128" t="s">
        <v>3898</v>
      </c>
      <c r="M691" s="128" t="s">
        <v>3899</v>
      </c>
      <c r="N691" s="128" t="s">
        <v>1732</v>
      </c>
      <c r="O691" s="128">
        <v>653</v>
      </c>
      <c r="P691" s="128">
        <v>135</v>
      </c>
      <c r="Q691" s="128">
        <v>110</v>
      </c>
      <c r="R691" s="128">
        <v>251</v>
      </c>
      <c r="S691" s="128">
        <v>80</v>
      </c>
      <c r="T691" s="128">
        <v>80</v>
      </c>
      <c r="U691" s="128">
        <v>656</v>
      </c>
      <c r="V691" s="128" t="s">
        <v>1547</v>
      </c>
    </row>
    <row r="692" spans="1:22" x14ac:dyDescent="0.35">
      <c r="A692" s="118">
        <v>691</v>
      </c>
      <c r="B692" s="128" t="s">
        <v>169</v>
      </c>
      <c r="C692" s="128" t="s">
        <v>287</v>
      </c>
      <c r="D692" s="128" t="s">
        <v>3900</v>
      </c>
      <c r="E692" s="128" t="s">
        <v>1079</v>
      </c>
      <c r="F692" s="128">
        <v>1990</v>
      </c>
      <c r="G692" s="128">
        <v>61</v>
      </c>
      <c r="H692" s="128">
        <v>12</v>
      </c>
      <c r="I692" s="128">
        <v>73</v>
      </c>
      <c r="J692" s="128" t="s">
        <v>1509</v>
      </c>
      <c r="K692" s="128">
        <v>80.45</v>
      </c>
      <c r="L692" s="128" t="s">
        <v>3901</v>
      </c>
      <c r="M692" s="128" t="s">
        <v>2282</v>
      </c>
      <c r="N692" s="128" t="s">
        <v>1770</v>
      </c>
      <c r="O692" s="128">
        <v>733</v>
      </c>
      <c r="P692" s="128">
        <v>137</v>
      </c>
      <c r="Q692" s="128">
        <v>119</v>
      </c>
      <c r="R692" s="128">
        <v>295</v>
      </c>
      <c r="S692" s="128">
        <v>90</v>
      </c>
      <c r="T692" s="128">
        <v>95</v>
      </c>
      <c r="U692" s="128">
        <v>736</v>
      </c>
      <c r="V692" s="128" t="s">
        <v>2702</v>
      </c>
    </row>
    <row r="693" spans="1:22" x14ac:dyDescent="0.35">
      <c r="A693" s="118">
        <v>692</v>
      </c>
      <c r="B693" s="128" t="s">
        <v>169</v>
      </c>
      <c r="C693" s="128" t="s">
        <v>287</v>
      </c>
      <c r="D693" s="128" t="s">
        <v>2076</v>
      </c>
      <c r="E693" s="128" t="s">
        <v>1078</v>
      </c>
      <c r="F693" s="128">
        <v>1989</v>
      </c>
      <c r="G693" s="128">
        <v>42</v>
      </c>
      <c r="H693" s="128">
        <v>11</v>
      </c>
      <c r="I693" s="128">
        <v>53</v>
      </c>
      <c r="J693" s="128" t="s">
        <v>1509</v>
      </c>
      <c r="K693" s="128">
        <v>53.91</v>
      </c>
      <c r="L693" s="128" t="s">
        <v>3902</v>
      </c>
      <c r="M693" s="128" t="s">
        <v>3903</v>
      </c>
      <c r="N693" s="128" t="s">
        <v>1856</v>
      </c>
      <c r="O693" s="128">
        <v>666</v>
      </c>
      <c r="P693" s="128">
        <v>135</v>
      </c>
      <c r="Q693" s="128">
        <v>110</v>
      </c>
      <c r="R693" s="128">
        <v>261</v>
      </c>
      <c r="S693" s="128">
        <v>80</v>
      </c>
      <c r="T693" s="128">
        <v>80</v>
      </c>
      <c r="U693" s="128">
        <v>666</v>
      </c>
      <c r="V693" s="128" t="s">
        <v>1547</v>
      </c>
    </row>
    <row r="694" spans="1:22" x14ac:dyDescent="0.35">
      <c r="A694" s="118">
        <v>693</v>
      </c>
      <c r="B694" s="128" t="s">
        <v>169</v>
      </c>
      <c r="C694" s="128" t="s">
        <v>287</v>
      </c>
      <c r="D694" s="128" t="s">
        <v>3904</v>
      </c>
      <c r="E694" s="128" t="s">
        <v>485</v>
      </c>
      <c r="F694" s="128">
        <v>1990</v>
      </c>
      <c r="G694" s="128">
        <v>25</v>
      </c>
      <c r="H694" s="128">
        <v>2</v>
      </c>
      <c r="I694" s="128">
        <v>27</v>
      </c>
      <c r="J694" s="128" t="s">
        <v>1509</v>
      </c>
      <c r="K694" s="128">
        <v>40.700000000000003</v>
      </c>
      <c r="L694" s="128" t="s">
        <v>3905</v>
      </c>
      <c r="M694" s="128" t="s">
        <v>3906</v>
      </c>
      <c r="N694" s="128" t="s">
        <v>1611</v>
      </c>
      <c r="O694" s="128">
        <v>636</v>
      </c>
      <c r="P694" s="128">
        <v>135</v>
      </c>
      <c r="Q694" s="128">
        <v>102</v>
      </c>
      <c r="R694" s="128">
        <v>239</v>
      </c>
      <c r="S694" s="128">
        <v>80</v>
      </c>
      <c r="T694" s="128">
        <v>80</v>
      </c>
      <c r="U694" s="128">
        <v>636</v>
      </c>
      <c r="V694" s="128" t="s">
        <v>1547</v>
      </c>
    </row>
    <row r="695" spans="1:22" x14ac:dyDescent="0.35">
      <c r="A695" s="118">
        <v>694</v>
      </c>
      <c r="B695" s="128" t="s">
        <v>169</v>
      </c>
      <c r="C695" s="128" t="s">
        <v>287</v>
      </c>
      <c r="D695" s="128" t="s">
        <v>1820</v>
      </c>
      <c r="E695" s="128" t="s">
        <v>42</v>
      </c>
      <c r="F695" s="128">
        <v>1998</v>
      </c>
      <c r="G695" s="128">
        <v>30</v>
      </c>
      <c r="H695" s="128">
        <v>8</v>
      </c>
      <c r="I695" s="128">
        <v>38</v>
      </c>
      <c r="J695" s="128" t="s">
        <v>1509</v>
      </c>
      <c r="K695" s="128">
        <v>48.65</v>
      </c>
      <c r="L695" s="128" t="s">
        <v>2270</v>
      </c>
      <c r="M695" s="128" t="s">
        <v>3907</v>
      </c>
      <c r="N695" s="128" t="s">
        <v>3906</v>
      </c>
      <c r="O695" s="128">
        <v>647</v>
      </c>
      <c r="P695" s="128">
        <v>135</v>
      </c>
      <c r="Q695" s="128">
        <v>102</v>
      </c>
      <c r="R695" s="128">
        <v>253</v>
      </c>
      <c r="S695" s="128">
        <v>80</v>
      </c>
      <c r="T695" s="128">
        <v>80</v>
      </c>
      <c r="U695" s="128">
        <v>650</v>
      </c>
      <c r="V695" s="128" t="s">
        <v>1547</v>
      </c>
    </row>
    <row r="696" spans="1:22" x14ac:dyDescent="0.35">
      <c r="A696" s="118">
        <v>695</v>
      </c>
      <c r="B696" s="128" t="s">
        <v>169</v>
      </c>
      <c r="C696" s="128" t="s">
        <v>287</v>
      </c>
      <c r="D696" s="128" t="s">
        <v>1537</v>
      </c>
      <c r="E696" s="128" t="s">
        <v>1081</v>
      </c>
      <c r="F696" s="128">
        <v>1990</v>
      </c>
      <c r="G696" s="128">
        <v>15</v>
      </c>
      <c r="H696" s="128">
        <v>3</v>
      </c>
      <c r="I696" s="128">
        <v>18</v>
      </c>
      <c r="J696" s="128" t="s">
        <v>1509</v>
      </c>
      <c r="K696" s="128">
        <v>43.31</v>
      </c>
      <c r="L696" s="128" t="s">
        <v>1536</v>
      </c>
      <c r="M696" s="128" t="s">
        <v>3908</v>
      </c>
      <c r="N696" s="128" t="s">
        <v>3909</v>
      </c>
      <c r="O696" s="128">
        <v>651</v>
      </c>
      <c r="P696" s="128">
        <v>130</v>
      </c>
      <c r="Q696" s="128">
        <v>110</v>
      </c>
      <c r="R696" s="128">
        <v>251</v>
      </c>
      <c r="S696" s="128">
        <v>80</v>
      </c>
      <c r="T696" s="128">
        <v>80</v>
      </c>
      <c r="U696" s="128">
        <v>651</v>
      </c>
      <c r="V696" s="128" t="s">
        <v>1547</v>
      </c>
    </row>
    <row r="697" spans="1:22" x14ac:dyDescent="0.35">
      <c r="A697" s="118">
        <v>696</v>
      </c>
      <c r="B697" s="128" t="s">
        <v>169</v>
      </c>
      <c r="C697" s="128" t="s">
        <v>287</v>
      </c>
      <c r="D697" s="128" t="s">
        <v>2205</v>
      </c>
      <c r="E697" s="128" t="s">
        <v>1077</v>
      </c>
      <c r="F697" s="128">
        <v>1990</v>
      </c>
      <c r="G697" s="128">
        <v>26</v>
      </c>
      <c r="H697" s="128">
        <v>8</v>
      </c>
      <c r="I697" s="128">
        <v>34</v>
      </c>
      <c r="J697" s="128" t="s">
        <v>1509</v>
      </c>
      <c r="K697" s="128">
        <v>44.05</v>
      </c>
      <c r="L697" s="128" t="s">
        <v>3910</v>
      </c>
      <c r="M697" s="128" t="s">
        <v>1670</v>
      </c>
      <c r="N697" s="128" t="s">
        <v>2282</v>
      </c>
      <c r="O697" s="128">
        <v>642</v>
      </c>
      <c r="P697" s="128">
        <v>135</v>
      </c>
      <c r="Q697" s="128">
        <v>100</v>
      </c>
      <c r="R697" s="128">
        <v>249</v>
      </c>
      <c r="S697" s="128">
        <v>80</v>
      </c>
      <c r="T697" s="128">
        <v>80</v>
      </c>
      <c r="U697" s="128">
        <v>644</v>
      </c>
      <c r="V697" s="128" t="s">
        <v>1547</v>
      </c>
    </row>
    <row r="698" spans="1:22" x14ac:dyDescent="0.35">
      <c r="A698" s="118">
        <v>697</v>
      </c>
      <c r="B698" s="128" t="s">
        <v>169</v>
      </c>
      <c r="C698" s="128" t="s">
        <v>287</v>
      </c>
      <c r="D698" s="128" t="s">
        <v>3911</v>
      </c>
      <c r="E698" s="128" t="s">
        <v>419</v>
      </c>
      <c r="F698" s="128">
        <v>1990</v>
      </c>
      <c r="G698" s="128">
        <v>33</v>
      </c>
      <c r="H698" s="128">
        <v>3</v>
      </c>
      <c r="I698" s="128">
        <v>36</v>
      </c>
      <c r="J698" s="128" t="s">
        <v>1509</v>
      </c>
      <c r="K698" s="128">
        <v>42.04</v>
      </c>
      <c r="L698" s="128" t="s">
        <v>1576</v>
      </c>
      <c r="M698" s="128" t="s">
        <v>1634</v>
      </c>
      <c r="N698" s="128" t="s">
        <v>2590</v>
      </c>
      <c r="O698" s="128">
        <v>655</v>
      </c>
      <c r="P698" s="128">
        <v>135</v>
      </c>
      <c r="Q698" s="128">
        <v>110</v>
      </c>
      <c r="R698" s="128">
        <v>250</v>
      </c>
      <c r="S698" s="128">
        <v>80</v>
      </c>
      <c r="T698" s="128">
        <v>80</v>
      </c>
      <c r="U698" s="128">
        <v>655</v>
      </c>
      <c r="V698" s="128" t="s">
        <v>1547</v>
      </c>
    </row>
    <row r="699" spans="1:22" x14ac:dyDescent="0.35">
      <c r="A699" s="118">
        <v>698</v>
      </c>
      <c r="B699" s="128" t="s">
        <v>169</v>
      </c>
      <c r="C699" s="128" t="s">
        <v>287</v>
      </c>
      <c r="D699" s="128" t="s">
        <v>2463</v>
      </c>
      <c r="E699" s="128" t="s">
        <v>1080</v>
      </c>
      <c r="F699" s="128">
        <v>2007</v>
      </c>
      <c r="G699" s="128">
        <v>48</v>
      </c>
      <c r="H699" s="128">
        <v>8</v>
      </c>
      <c r="I699" s="128">
        <v>56</v>
      </c>
      <c r="J699" s="128" t="s">
        <v>1509</v>
      </c>
      <c r="K699" s="128">
        <v>65.67</v>
      </c>
      <c r="L699" s="128" t="s">
        <v>3912</v>
      </c>
      <c r="M699" s="128" t="s">
        <v>2006</v>
      </c>
      <c r="N699" s="128" t="s">
        <v>3046</v>
      </c>
      <c r="O699" s="128">
        <v>643</v>
      </c>
      <c r="P699" s="128">
        <v>135</v>
      </c>
      <c r="Q699" s="128">
        <v>105</v>
      </c>
      <c r="R699" s="128">
        <v>243</v>
      </c>
      <c r="S699" s="128">
        <v>80</v>
      </c>
      <c r="T699" s="128">
        <v>80</v>
      </c>
      <c r="U699" s="128">
        <v>643</v>
      </c>
      <c r="V699" s="128" t="s">
        <v>1547</v>
      </c>
    </row>
    <row r="700" spans="1:22" x14ac:dyDescent="0.35">
      <c r="A700" s="118">
        <v>699</v>
      </c>
      <c r="B700" s="128" t="s">
        <v>169</v>
      </c>
      <c r="C700" s="128" t="s">
        <v>287</v>
      </c>
      <c r="D700" s="128" t="s">
        <v>3913</v>
      </c>
      <c r="E700" s="128" t="s">
        <v>1082</v>
      </c>
      <c r="F700" s="128">
        <v>2007</v>
      </c>
      <c r="G700" s="128">
        <v>38</v>
      </c>
      <c r="H700" s="128">
        <v>5</v>
      </c>
      <c r="I700" s="128">
        <v>43</v>
      </c>
      <c r="J700" s="128" t="s">
        <v>1509</v>
      </c>
      <c r="K700" s="128">
        <v>100.1</v>
      </c>
      <c r="L700" s="128" t="s">
        <v>3044</v>
      </c>
      <c r="M700" s="128" t="s">
        <v>1979</v>
      </c>
      <c r="N700" s="128" t="s">
        <v>1649</v>
      </c>
      <c r="O700" s="128">
        <v>641</v>
      </c>
      <c r="P700" s="128">
        <v>135</v>
      </c>
      <c r="Q700" s="128">
        <v>105</v>
      </c>
      <c r="R700" s="128">
        <v>245</v>
      </c>
      <c r="S700" s="128">
        <v>80</v>
      </c>
      <c r="T700" s="128">
        <v>80</v>
      </c>
      <c r="U700" s="128">
        <v>645</v>
      </c>
      <c r="V700" s="128" t="s">
        <v>1547</v>
      </c>
    </row>
    <row r="701" spans="1:22" x14ac:dyDescent="0.35">
      <c r="A701" s="118">
        <v>700</v>
      </c>
      <c r="B701" s="128" t="s">
        <v>169</v>
      </c>
      <c r="C701" s="128" t="s">
        <v>281</v>
      </c>
      <c r="D701" s="128" t="s">
        <v>3915</v>
      </c>
      <c r="E701" s="128" t="s">
        <v>707</v>
      </c>
      <c r="F701" s="128">
        <v>1990</v>
      </c>
      <c r="G701" s="128">
        <v>52</v>
      </c>
      <c r="H701" s="128">
        <v>7</v>
      </c>
      <c r="I701" s="128">
        <v>59</v>
      </c>
      <c r="J701" s="128" t="s">
        <v>3916</v>
      </c>
      <c r="K701" s="128">
        <v>66.12</v>
      </c>
      <c r="L701" s="128" t="s">
        <v>3917</v>
      </c>
      <c r="M701" s="128" t="s">
        <v>3918</v>
      </c>
      <c r="N701" s="128" t="s">
        <v>1911</v>
      </c>
      <c r="O701" s="128">
        <v>617</v>
      </c>
      <c r="P701" s="128">
        <v>135</v>
      </c>
      <c r="Q701" s="128">
        <v>84</v>
      </c>
      <c r="R701" s="128">
        <v>244</v>
      </c>
      <c r="S701" s="128">
        <v>80</v>
      </c>
      <c r="T701" s="128">
        <v>75</v>
      </c>
      <c r="U701" s="128">
        <v>618</v>
      </c>
      <c r="V701" s="128" t="s">
        <v>1547</v>
      </c>
    </row>
    <row r="702" spans="1:22" x14ac:dyDescent="0.35">
      <c r="A702" s="118">
        <v>701</v>
      </c>
      <c r="B702" s="128" t="s">
        <v>169</v>
      </c>
      <c r="C702" s="128" t="s">
        <v>281</v>
      </c>
      <c r="D702" s="128" t="s">
        <v>1685</v>
      </c>
      <c r="E702" s="128" t="s">
        <v>1052</v>
      </c>
      <c r="F702" s="128">
        <v>1989</v>
      </c>
      <c r="G702" s="128">
        <v>83</v>
      </c>
      <c r="H702" s="128">
        <v>19</v>
      </c>
      <c r="I702" s="128">
        <v>102</v>
      </c>
      <c r="J702" s="128" t="s">
        <v>3916</v>
      </c>
      <c r="K702" s="128">
        <v>72.02</v>
      </c>
      <c r="L702" s="128" t="s">
        <v>3046</v>
      </c>
      <c r="M702" s="128" t="s">
        <v>1689</v>
      </c>
      <c r="N702" s="128" t="s">
        <v>2295</v>
      </c>
      <c r="O702" s="128">
        <v>645</v>
      </c>
      <c r="P702" s="128">
        <v>135</v>
      </c>
      <c r="Q702" s="128">
        <v>111</v>
      </c>
      <c r="R702" s="128">
        <v>242</v>
      </c>
      <c r="S702" s="128">
        <v>80</v>
      </c>
      <c r="T702" s="128">
        <v>80</v>
      </c>
      <c r="U702" s="128">
        <v>648</v>
      </c>
      <c r="V702" s="128" t="s">
        <v>1547</v>
      </c>
    </row>
    <row r="703" spans="1:22" x14ac:dyDescent="0.35">
      <c r="A703" s="118">
        <v>702</v>
      </c>
      <c r="B703" s="128" t="s">
        <v>169</v>
      </c>
      <c r="C703" s="128" t="s">
        <v>281</v>
      </c>
      <c r="D703" s="128" t="s">
        <v>3914</v>
      </c>
      <c r="E703" s="128" t="s">
        <v>1053</v>
      </c>
      <c r="F703" s="128">
        <v>1978</v>
      </c>
      <c r="G703" s="128">
        <v>108</v>
      </c>
      <c r="H703" s="128">
        <v>15</v>
      </c>
      <c r="I703" s="128">
        <v>123</v>
      </c>
      <c r="J703" s="128" t="s">
        <v>3916</v>
      </c>
      <c r="K703" s="128">
        <v>100.52</v>
      </c>
      <c r="L703" s="128" t="s">
        <v>1969</v>
      </c>
      <c r="M703" s="128" t="s">
        <v>3919</v>
      </c>
      <c r="N703" s="128" t="s">
        <v>1643</v>
      </c>
      <c r="O703" s="128">
        <v>653</v>
      </c>
      <c r="P703" s="128">
        <v>135</v>
      </c>
      <c r="Q703" s="128">
        <v>107</v>
      </c>
      <c r="R703" s="128">
        <v>255</v>
      </c>
      <c r="S703" s="128">
        <v>80</v>
      </c>
      <c r="T703" s="128">
        <v>76</v>
      </c>
      <c r="U703" s="128">
        <v>653</v>
      </c>
      <c r="V703" s="128" t="s">
        <v>1547</v>
      </c>
    </row>
    <row r="704" spans="1:22" x14ac:dyDescent="0.35">
      <c r="A704" s="118">
        <v>703</v>
      </c>
      <c r="B704" s="128" t="s">
        <v>169</v>
      </c>
      <c r="C704" s="128" t="s">
        <v>281</v>
      </c>
      <c r="D704" s="128" t="s">
        <v>3920</v>
      </c>
      <c r="E704" s="128" t="s">
        <v>3921</v>
      </c>
      <c r="F704" s="128">
        <v>1989</v>
      </c>
      <c r="G704" s="128">
        <v>18</v>
      </c>
      <c r="H704" s="128">
        <v>7</v>
      </c>
      <c r="I704" s="128">
        <v>25</v>
      </c>
      <c r="J704" s="128" t="s">
        <v>3916</v>
      </c>
      <c r="K704" s="128">
        <v>36.119999999999997</v>
      </c>
      <c r="L704" s="128" t="s">
        <v>3095</v>
      </c>
      <c r="M704" s="128" t="s">
        <v>2243</v>
      </c>
      <c r="N704" s="128" t="s">
        <v>3922</v>
      </c>
      <c r="O704" s="128">
        <v>627</v>
      </c>
      <c r="P704" s="128">
        <v>135</v>
      </c>
      <c r="Q704" s="128">
        <v>100</v>
      </c>
      <c r="R704" s="128">
        <v>239</v>
      </c>
      <c r="S704" s="128">
        <v>80</v>
      </c>
      <c r="T704" s="128">
        <v>75</v>
      </c>
      <c r="U704" s="128">
        <v>629</v>
      </c>
      <c r="V704" s="128" t="s">
        <v>1547</v>
      </c>
    </row>
    <row r="705" spans="1:22" x14ac:dyDescent="0.35">
      <c r="A705" s="118">
        <v>704</v>
      </c>
      <c r="B705" s="128" t="s">
        <v>169</v>
      </c>
      <c r="C705" s="128" t="s">
        <v>281</v>
      </c>
      <c r="D705" s="128" t="s">
        <v>1805</v>
      </c>
      <c r="E705" s="128" t="s">
        <v>445</v>
      </c>
      <c r="F705" s="128">
        <v>2000</v>
      </c>
      <c r="G705" s="128">
        <v>39</v>
      </c>
      <c r="H705" s="128">
        <v>14</v>
      </c>
      <c r="I705" s="128">
        <v>53</v>
      </c>
      <c r="J705" s="128" t="s">
        <v>3916</v>
      </c>
      <c r="K705" s="128">
        <v>43.120000000000005</v>
      </c>
      <c r="L705" s="128" t="s">
        <v>1580</v>
      </c>
      <c r="M705" s="128" t="s">
        <v>3095</v>
      </c>
      <c r="N705" s="128" t="s">
        <v>3923</v>
      </c>
      <c r="O705" s="128">
        <v>643</v>
      </c>
      <c r="P705" s="128">
        <v>135</v>
      </c>
      <c r="Q705" s="128">
        <v>103</v>
      </c>
      <c r="R705" s="128">
        <v>247</v>
      </c>
      <c r="S705" s="128">
        <v>80</v>
      </c>
      <c r="T705" s="128">
        <v>80</v>
      </c>
      <c r="U705" s="128">
        <v>645</v>
      </c>
      <c r="V705" s="128" t="s">
        <v>1547</v>
      </c>
    </row>
    <row r="706" spans="1:22" x14ac:dyDescent="0.35">
      <c r="A706" s="118">
        <v>705</v>
      </c>
      <c r="B706" s="128" t="s">
        <v>169</v>
      </c>
      <c r="C706" s="128" t="s">
        <v>281</v>
      </c>
      <c r="D706" s="128" t="s">
        <v>3924</v>
      </c>
      <c r="E706" s="128" t="s">
        <v>472</v>
      </c>
      <c r="F706" s="128">
        <v>1991</v>
      </c>
      <c r="G706" s="128">
        <v>26</v>
      </c>
      <c r="H706" s="128">
        <v>8</v>
      </c>
      <c r="I706" s="128">
        <v>34</v>
      </c>
      <c r="J706" s="128" t="s">
        <v>3916</v>
      </c>
      <c r="K706" s="128">
        <v>35.72</v>
      </c>
      <c r="L706" s="128" t="s">
        <v>3925</v>
      </c>
      <c r="M706" s="128" t="s">
        <v>3926</v>
      </c>
      <c r="N706" s="128" t="s">
        <v>3927</v>
      </c>
      <c r="O706" s="128">
        <v>635</v>
      </c>
      <c r="P706" s="128">
        <v>135</v>
      </c>
      <c r="Q706" s="128">
        <v>102</v>
      </c>
      <c r="R706" s="128">
        <v>247</v>
      </c>
      <c r="S706" s="128">
        <v>80</v>
      </c>
      <c r="T706" s="128">
        <v>73</v>
      </c>
      <c r="U706" s="128">
        <v>637</v>
      </c>
      <c r="V706" s="128" t="s">
        <v>1547</v>
      </c>
    </row>
    <row r="707" spans="1:22" x14ac:dyDescent="0.35">
      <c r="A707" s="118">
        <v>706</v>
      </c>
      <c r="B707" s="128" t="s">
        <v>169</v>
      </c>
      <c r="C707" s="128" t="s">
        <v>281</v>
      </c>
      <c r="D707" s="128" t="s">
        <v>3928</v>
      </c>
      <c r="E707" s="128" t="s">
        <v>42</v>
      </c>
      <c r="F707" s="128">
        <v>2005</v>
      </c>
      <c r="G707" s="128">
        <v>86</v>
      </c>
      <c r="H707" s="128">
        <v>16</v>
      </c>
      <c r="I707" s="128">
        <v>102</v>
      </c>
      <c r="J707" s="128" t="s">
        <v>3916</v>
      </c>
      <c r="K707" s="128">
        <v>62.819999999999993</v>
      </c>
      <c r="L707" s="128" t="s">
        <v>3929</v>
      </c>
      <c r="M707" s="128" t="s">
        <v>3930</v>
      </c>
      <c r="N707" s="128" t="s">
        <v>1979</v>
      </c>
      <c r="O707" s="128">
        <v>505</v>
      </c>
      <c r="P707" s="128">
        <v>102</v>
      </c>
      <c r="Q707" s="128">
        <v>86</v>
      </c>
      <c r="R707" s="128">
        <v>194</v>
      </c>
      <c r="S707" s="128">
        <v>60</v>
      </c>
      <c r="T707" s="128">
        <v>67</v>
      </c>
      <c r="U707" s="128">
        <v>509</v>
      </c>
      <c r="V707" s="128" t="s">
        <v>1547</v>
      </c>
    </row>
    <row r="708" spans="1:22" x14ac:dyDescent="0.35">
      <c r="A708" s="118">
        <v>707</v>
      </c>
      <c r="B708" s="128" t="s">
        <v>169</v>
      </c>
      <c r="C708" s="128" t="s">
        <v>281</v>
      </c>
      <c r="D708" s="128" t="s">
        <v>1933</v>
      </c>
      <c r="E708" s="128" t="s">
        <v>473</v>
      </c>
      <c r="F708" s="128">
        <v>1996</v>
      </c>
      <c r="G708" s="128">
        <v>43</v>
      </c>
      <c r="H708" s="128">
        <v>14</v>
      </c>
      <c r="I708" s="128">
        <v>57</v>
      </c>
      <c r="J708" s="128" t="s">
        <v>3916</v>
      </c>
      <c r="K708" s="128">
        <v>38.019999999999996</v>
      </c>
      <c r="L708" s="128" t="s">
        <v>3931</v>
      </c>
      <c r="M708" s="128" t="s">
        <v>3932</v>
      </c>
      <c r="N708" s="128" t="s">
        <v>3933</v>
      </c>
      <c r="O708" s="128">
        <v>497</v>
      </c>
      <c r="P708" s="128">
        <v>102</v>
      </c>
      <c r="Q708" s="128">
        <v>83</v>
      </c>
      <c r="R708" s="128">
        <v>195</v>
      </c>
      <c r="S708" s="128">
        <v>70</v>
      </c>
      <c r="T708" s="128">
        <v>52</v>
      </c>
      <c r="U708" s="128">
        <v>502</v>
      </c>
      <c r="V708" s="128" t="s">
        <v>1547</v>
      </c>
    </row>
    <row r="709" spans="1:22" x14ac:dyDescent="0.35">
      <c r="A709" s="118">
        <v>708</v>
      </c>
      <c r="B709" s="128" t="s">
        <v>169</v>
      </c>
      <c r="C709" s="128" t="s">
        <v>281</v>
      </c>
      <c r="D709" s="128" t="s">
        <v>3934</v>
      </c>
      <c r="E709" s="128" t="s">
        <v>1050</v>
      </c>
      <c r="F709" s="128">
        <v>1999</v>
      </c>
      <c r="G709" s="128">
        <v>45</v>
      </c>
      <c r="H709" s="128">
        <v>24</v>
      </c>
      <c r="I709" s="128">
        <v>69</v>
      </c>
      <c r="J709" s="128" t="s">
        <v>3916</v>
      </c>
      <c r="K709" s="128">
        <v>49.620000000000005</v>
      </c>
      <c r="L709" s="128" t="s">
        <v>1757</v>
      </c>
      <c r="M709" s="128" t="s">
        <v>3935</v>
      </c>
      <c r="N709" s="128" t="s">
        <v>3923</v>
      </c>
      <c r="O709" s="128">
        <v>615</v>
      </c>
      <c r="P709" s="128">
        <v>129</v>
      </c>
      <c r="Q709" s="128">
        <v>102</v>
      </c>
      <c r="R709" s="128">
        <v>224</v>
      </c>
      <c r="S709" s="128">
        <v>80</v>
      </c>
      <c r="T709" s="128">
        <v>85</v>
      </c>
      <c r="U709" s="128">
        <v>620</v>
      </c>
      <c r="V709" s="128" t="s">
        <v>1547</v>
      </c>
    </row>
    <row r="710" spans="1:22" x14ac:dyDescent="0.35">
      <c r="A710" s="118">
        <v>709</v>
      </c>
      <c r="B710" s="128" t="s">
        <v>169</v>
      </c>
      <c r="C710" s="128" t="s">
        <v>281</v>
      </c>
      <c r="D710" s="128" t="s">
        <v>3936</v>
      </c>
      <c r="E710" s="128" t="s">
        <v>1051</v>
      </c>
      <c r="F710" s="128">
        <v>1994</v>
      </c>
      <c r="G710" s="128">
        <v>56</v>
      </c>
      <c r="H710" s="128">
        <v>23</v>
      </c>
      <c r="I710" s="128">
        <v>79</v>
      </c>
      <c r="J710" s="128" t="s">
        <v>3916</v>
      </c>
      <c r="K710" s="128">
        <v>63.819999999999993</v>
      </c>
      <c r="L710" s="128" t="s">
        <v>3030</v>
      </c>
      <c r="M710" s="128" t="s">
        <v>1580</v>
      </c>
      <c r="N710" s="128" t="s">
        <v>1979</v>
      </c>
      <c r="O710" s="128">
        <v>498</v>
      </c>
      <c r="P710" s="128">
        <v>102</v>
      </c>
      <c r="Q710" s="128">
        <v>83</v>
      </c>
      <c r="R710" s="128">
        <v>190</v>
      </c>
      <c r="S710" s="128">
        <v>62</v>
      </c>
      <c r="T710" s="128">
        <v>63</v>
      </c>
      <c r="U710" s="128">
        <v>500</v>
      </c>
      <c r="V710" s="128" t="s">
        <v>1547</v>
      </c>
    </row>
    <row r="711" spans="1:22" x14ac:dyDescent="0.35">
      <c r="A711" s="118">
        <v>710</v>
      </c>
      <c r="B711" s="128" t="s">
        <v>169</v>
      </c>
      <c r="C711" s="128" t="s">
        <v>281</v>
      </c>
      <c r="D711" s="128" t="s">
        <v>1537</v>
      </c>
      <c r="E711" s="128" t="s">
        <v>1049</v>
      </c>
      <c r="F711" s="128">
        <v>1995</v>
      </c>
      <c r="G711" s="128">
        <v>29</v>
      </c>
      <c r="H711" s="128">
        <v>15</v>
      </c>
      <c r="I711" s="128">
        <v>44</v>
      </c>
      <c r="J711" s="128" t="s">
        <v>3916</v>
      </c>
      <c r="K711" s="128">
        <v>83.22</v>
      </c>
      <c r="L711" s="128" t="s">
        <v>3937</v>
      </c>
      <c r="M711" s="128" t="s">
        <v>3938</v>
      </c>
      <c r="N711" s="128" t="s">
        <v>3939</v>
      </c>
      <c r="O711" s="128">
        <v>494</v>
      </c>
      <c r="P711" s="128">
        <v>101</v>
      </c>
      <c r="Q711" s="128">
        <v>83</v>
      </c>
      <c r="R711" s="128">
        <v>200</v>
      </c>
      <c r="S711" s="128">
        <v>53</v>
      </c>
      <c r="T711" s="128">
        <v>63</v>
      </c>
      <c r="U711" s="128">
        <v>500</v>
      </c>
      <c r="V711" s="128" t="s">
        <v>1547</v>
      </c>
    </row>
    <row r="712" spans="1:22" x14ac:dyDescent="0.35">
      <c r="A712" s="118">
        <v>711</v>
      </c>
      <c r="B712" s="128" t="s">
        <v>169</v>
      </c>
      <c r="C712" s="128" t="s">
        <v>281</v>
      </c>
      <c r="D712" s="128" t="s">
        <v>3914</v>
      </c>
      <c r="E712" s="128" t="s">
        <v>1048</v>
      </c>
      <c r="F712" s="128">
        <v>2016</v>
      </c>
      <c r="G712" s="128">
        <v>0</v>
      </c>
      <c r="H712" s="128">
        <v>25</v>
      </c>
      <c r="I712" s="128">
        <v>25</v>
      </c>
      <c r="J712" s="128" t="s">
        <v>3916</v>
      </c>
      <c r="K712" s="128">
        <v>0</v>
      </c>
      <c r="L712" s="128" t="s">
        <v>3940</v>
      </c>
      <c r="M712" s="128" t="s">
        <v>3941</v>
      </c>
      <c r="N712" s="128" t="s">
        <v>2258</v>
      </c>
      <c r="O712" s="128">
        <v>348</v>
      </c>
      <c r="P712" s="128">
        <v>85</v>
      </c>
      <c r="Q712" s="128">
        <v>65</v>
      </c>
      <c r="R712" s="128">
        <v>116</v>
      </c>
      <c r="S712" s="128">
        <v>37</v>
      </c>
      <c r="T712" s="128">
        <v>45</v>
      </c>
      <c r="U712" s="128">
        <v>348</v>
      </c>
      <c r="V712" s="128" t="s">
        <v>2643</v>
      </c>
    </row>
    <row r="713" spans="1:22" x14ac:dyDescent="0.35">
      <c r="A713" s="118">
        <v>712</v>
      </c>
      <c r="B713" s="128" t="s">
        <v>169</v>
      </c>
      <c r="C713" s="128" t="s">
        <v>283</v>
      </c>
      <c r="D713" s="128" t="s">
        <v>3942</v>
      </c>
      <c r="E713" s="128" t="s">
        <v>370</v>
      </c>
      <c r="F713" s="128">
        <v>1989</v>
      </c>
      <c r="G713" s="128">
        <v>42</v>
      </c>
      <c r="H713" s="128">
        <v>9</v>
      </c>
      <c r="I713" s="128">
        <v>51</v>
      </c>
      <c r="J713" s="128" t="s">
        <v>2751</v>
      </c>
      <c r="K713" s="128">
        <v>40.25</v>
      </c>
      <c r="L713" s="128" t="s">
        <v>3943</v>
      </c>
      <c r="M713" s="128" t="s">
        <v>2769</v>
      </c>
      <c r="N713" s="128" t="s">
        <v>3358</v>
      </c>
      <c r="O713" s="128">
        <v>630</v>
      </c>
      <c r="P713" s="128">
        <v>127</v>
      </c>
      <c r="Q713" s="128">
        <v>103</v>
      </c>
      <c r="R713" s="128">
        <v>257</v>
      </c>
      <c r="S713" s="128">
        <v>77</v>
      </c>
      <c r="T713" s="128">
        <v>77</v>
      </c>
      <c r="U713" s="128">
        <v>641</v>
      </c>
      <c r="V713" s="128" t="s">
        <v>1547</v>
      </c>
    </row>
    <row r="714" spans="1:22" x14ac:dyDescent="0.35">
      <c r="A714" s="118">
        <v>713</v>
      </c>
      <c r="B714" s="128" t="s">
        <v>169</v>
      </c>
      <c r="C714" s="128" t="s">
        <v>283</v>
      </c>
      <c r="D714" s="128" t="s">
        <v>2391</v>
      </c>
      <c r="E714" s="128" t="s">
        <v>3944</v>
      </c>
      <c r="F714" s="128">
        <v>1989</v>
      </c>
      <c r="G714" s="128">
        <v>57</v>
      </c>
      <c r="H714" s="128">
        <v>18</v>
      </c>
      <c r="I714" s="128">
        <v>75</v>
      </c>
      <c r="J714" s="128" t="s">
        <v>2751</v>
      </c>
      <c r="K714" s="128">
        <v>123.07</v>
      </c>
      <c r="L714" s="128" t="s">
        <v>2740</v>
      </c>
      <c r="M714" s="128" t="s">
        <v>3687</v>
      </c>
      <c r="N714" s="128" t="s">
        <v>3945</v>
      </c>
      <c r="O714" s="128">
        <v>615</v>
      </c>
      <c r="P714" s="128">
        <v>127</v>
      </c>
      <c r="Q714" s="128">
        <v>98</v>
      </c>
      <c r="R714" s="128">
        <v>248</v>
      </c>
      <c r="S714" s="128">
        <v>77</v>
      </c>
      <c r="T714" s="128">
        <v>77</v>
      </c>
      <c r="U714" s="128">
        <v>627</v>
      </c>
      <c r="V714" s="128" t="s">
        <v>1547</v>
      </c>
    </row>
    <row r="715" spans="1:22" x14ac:dyDescent="0.35">
      <c r="A715" s="118">
        <v>714</v>
      </c>
      <c r="B715" s="128" t="s">
        <v>169</v>
      </c>
      <c r="C715" s="128" t="s">
        <v>283</v>
      </c>
      <c r="D715" s="128" t="s">
        <v>3946</v>
      </c>
      <c r="E715" s="128" t="s">
        <v>133</v>
      </c>
      <c r="F715" s="128">
        <v>1989</v>
      </c>
      <c r="G715" s="128">
        <v>75</v>
      </c>
      <c r="H715" s="128">
        <v>15</v>
      </c>
      <c r="I715" s="128">
        <v>90</v>
      </c>
      <c r="J715" s="128" t="s">
        <v>2751</v>
      </c>
      <c r="K715" s="128">
        <v>120.8</v>
      </c>
      <c r="L715" s="128" t="s">
        <v>2614</v>
      </c>
      <c r="M715" s="128" t="s">
        <v>2494</v>
      </c>
      <c r="N715" s="128" t="s">
        <v>3947</v>
      </c>
      <c r="O715" s="128">
        <v>515</v>
      </c>
      <c r="P715" s="128">
        <v>102</v>
      </c>
      <c r="Q715" s="128">
        <v>83</v>
      </c>
      <c r="R715" s="128">
        <v>199</v>
      </c>
      <c r="S715" s="128">
        <v>70</v>
      </c>
      <c r="T715" s="128">
        <v>70</v>
      </c>
      <c r="U715" s="128">
        <v>524</v>
      </c>
      <c r="V715" s="128" t="s">
        <v>1547</v>
      </c>
    </row>
    <row r="716" spans="1:22" x14ac:dyDescent="0.35">
      <c r="A716" s="118">
        <v>715</v>
      </c>
      <c r="B716" s="128" t="s">
        <v>169</v>
      </c>
      <c r="C716" s="128" t="s">
        <v>283</v>
      </c>
      <c r="D716" s="128" t="s">
        <v>3354</v>
      </c>
      <c r="E716" s="128" t="s">
        <v>382</v>
      </c>
      <c r="F716" s="128">
        <v>1990</v>
      </c>
      <c r="G716" s="128">
        <v>74</v>
      </c>
      <c r="H716" s="128">
        <v>30</v>
      </c>
      <c r="I716" s="128">
        <v>104</v>
      </c>
      <c r="J716" s="128" t="s">
        <v>2751</v>
      </c>
      <c r="K716" s="128">
        <v>62.5</v>
      </c>
      <c r="L716" s="128" t="s">
        <v>3948</v>
      </c>
      <c r="M716" s="128" t="s">
        <v>3949</v>
      </c>
      <c r="N716" s="128" t="s">
        <v>2446</v>
      </c>
      <c r="O716" s="128">
        <v>545</v>
      </c>
      <c r="P716" s="128">
        <v>104</v>
      </c>
      <c r="Q716" s="128">
        <v>85</v>
      </c>
      <c r="R716" s="128">
        <v>220</v>
      </c>
      <c r="S716" s="128">
        <v>72</v>
      </c>
      <c r="T716" s="128">
        <v>72</v>
      </c>
      <c r="U716" s="128">
        <v>553</v>
      </c>
      <c r="V716" s="128" t="s">
        <v>1547</v>
      </c>
    </row>
    <row r="717" spans="1:22" x14ac:dyDescent="0.35">
      <c r="A717" s="118">
        <v>716</v>
      </c>
      <c r="B717" s="128" t="s">
        <v>169</v>
      </c>
      <c r="C717" s="128" t="s">
        <v>283</v>
      </c>
      <c r="D717" s="128" t="s">
        <v>3950</v>
      </c>
      <c r="E717" s="128" t="s">
        <v>144</v>
      </c>
      <c r="F717" s="128">
        <v>1989</v>
      </c>
      <c r="G717" s="128">
        <v>56</v>
      </c>
      <c r="H717" s="128">
        <v>5</v>
      </c>
      <c r="I717" s="128">
        <v>61</v>
      </c>
      <c r="J717" s="128" t="s">
        <v>2751</v>
      </c>
      <c r="K717" s="128">
        <v>66.75</v>
      </c>
      <c r="L717" s="128" t="s">
        <v>3951</v>
      </c>
      <c r="M717" s="128" t="s">
        <v>2498</v>
      </c>
      <c r="N717" s="128" t="s">
        <v>3952</v>
      </c>
      <c r="O717" s="128">
        <v>590</v>
      </c>
      <c r="P717" s="128">
        <v>109</v>
      </c>
      <c r="Q717" s="128">
        <v>101</v>
      </c>
      <c r="R717" s="128">
        <v>243</v>
      </c>
      <c r="S717" s="128">
        <v>72</v>
      </c>
      <c r="T717" s="128">
        <v>75</v>
      </c>
      <c r="U717" s="128">
        <v>600</v>
      </c>
      <c r="V717" s="128" t="s">
        <v>1547</v>
      </c>
    </row>
    <row r="718" spans="1:22" x14ac:dyDescent="0.35">
      <c r="A718" s="118">
        <v>717</v>
      </c>
      <c r="B718" s="128" t="s">
        <v>169</v>
      </c>
      <c r="C718" s="128" t="s">
        <v>285</v>
      </c>
      <c r="D718" s="128" t="s">
        <v>3953</v>
      </c>
      <c r="E718" s="128" t="s">
        <v>3954</v>
      </c>
      <c r="F718" s="128">
        <v>1986</v>
      </c>
      <c r="G718" s="128">
        <v>54</v>
      </c>
      <c r="H718" s="128">
        <v>14</v>
      </c>
      <c r="I718" s="128">
        <v>68</v>
      </c>
      <c r="J718" s="128" t="s">
        <v>3955</v>
      </c>
      <c r="K718" s="128">
        <v>52.624999999999993</v>
      </c>
      <c r="L718" s="128" t="s">
        <v>3956</v>
      </c>
      <c r="M718" s="128" t="s">
        <v>3957</v>
      </c>
      <c r="N718" s="128" t="s">
        <v>3958</v>
      </c>
      <c r="O718" s="128">
        <v>497</v>
      </c>
      <c r="P718" s="128">
        <v>122</v>
      </c>
      <c r="Q718" s="128">
        <v>83</v>
      </c>
      <c r="R718" s="128">
        <v>190</v>
      </c>
      <c r="S718" s="128">
        <v>55</v>
      </c>
      <c r="T718" s="128">
        <v>55</v>
      </c>
      <c r="U718" s="128">
        <v>505</v>
      </c>
      <c r="V718" s="128" t="s">
        <v>1547</v>
      </c>
    </row>
    <row r="719" spans="1:22" x14ac:dyDescent="0.35">
      <c r="A719" s="118">
        <v>718</v>
      </c>
      <c r="B719" s="128" t="s">
        <v>169</v>
      </c>
      <c r="C719" s="128" t="s">
        <v>285</v>
      </c>
      <c r="D719" s="128" t="s">
        <v>3953</v>
      </c>
      <c r="E719" s="128" t="s">
        <v>3959</v>
      </c>
      <c r="F719" s="128">
        <v>2007</v>
      </c>
      <c r="G719" s="128">
        <v>60</v>
      </c>
      <c r="H719" s="128">
        <v>13</v>
      </c>
      <c r="I719" s="128">
        <v>73</v>
      </c>
      <c r="J719" s="128" t="s">
        <v>3955</v>
      </c>
      <c r="K719" s="128">
        <v>54.566000000000003</v>
      </c>
      <c r="L719" s="128" t="s">
        <v>3960</v>
      </c>
      <c r="M719" s="128" t="s">
        <v>3961</v>
      </c>
      <c r="N719" s="128" t="s">
        <v>3962</v>
      </c>
      <c r="O719" s="128">
        <v>475</v>
      </c>
      <c r="P719" s="128">
        <v>110</v>
      </c>
      <c r="Q719" s="128">
        <v>83</v>
      </c>
      <c r="R719" s="128">
        <v>190</v>
      </c>
      <c r="S719" s="128">
        <v>41</v>
      </c>
      <c r="T719" s="128">
        <v>55</v>
      </c>
      <c r="U719" s="128">
        <v>479</v>
      </c>
      <c r="V719" s="128" t="s">
        <v>1547</v>
      </c>
    </row>
    <row r="720" spans="1:22" x14ac:dyDescent="0.35">
      <c r="A720" s="118">
        <v>719</v>
      </c>
      <c r="B720" s="128" t="s">
        <v>169</v>
      </c>
      <c r="C720" s="128" t="s">
        <v>285</v>
      </c>
      <c r="D720" s="128" t="s">
        <v>3953</v>
      </c>
      <c r="E720" s="128" t="s">
        <v>127</v>
      </c>
      <c r="F720" s="128">
        <v>2007</v>
      </c>
      <c r="G720" s="128">
        <v>26</v>
      </c>
      <c r="H720" s="128">
        <v>4</v>
      </c>
      <c r="I720" s="128">
        <v>30</v>
      </c>
      <c r="J720" s="128" t="s">
        <v>3955</v>
      </c>
      <c r="K720" s="128">
        <v>46.416000000000004</v>
      </c>
      <c r="L720" s="128" t="s">
        <v>3963</v>
      </c>
      <c r="M720" s="128" t="s">
        <v>3964</v>
      </c>
      <c r="N720" s="128" t="s">
        <v>3965</v>
      </c>
      <c r="O720" s="128">
        <v>475</v>
      </c>
      <c r="P720" s="128">
        <v>102</v>
      </c>
      <c r="Q720" s="128">
        <v>83</v>
      </c>
      <c r="R720" s="128">
        <v>190</v>
      </c>
      <c r="S720" s="128">
        <v>54</v>
      </c>
      <c r="T720" s="128">
        <v>51</v>
      </c>
      <c r="U720" s="128">
        <v>480</v>
      </c>
      <c r="V720" s="128" t="s">
        <v>1547</v>
      </c>
    </row>
    <row r="721" spans="1:22" x14ac:dyDescent="0.35">
      <c r="A721" s="118">
        <v>720</v>
      </c>
      <c r="B721" s="128" t="s">
        <v>169</v>
      </c>
      <c r="C721" s="128" t="s">
        <v>285</v>
      </c>
      <c r="D721" s="128" t="s">
        <v>3859</v>
      </c>
      <c r="E721" s="128" t="s">
        <v>3966</v>
      </c>
      <c r="F721" s="128">
        <v>1986</v>
      </c>
      <c r="G721" s="128">
        <v>24</v>
      </c>
      <c r="H721" s="128">
        <v>11</v>
      </c>
      <c r="I721" s="128">
        <v>35</v>
      </c>
      <c r="J721" s="128" t="s">
        <v>3955</v>
      </c>
      <c r="K721" s="128">
        <v>53.685000000000002</v>
      </c>
      <c r="L721" s="128" t="s">
        <v>3967</v>
      </c>
      <c r="M721" s="128" t="s">
        <v>3968</v>
      </c>
      <c r="N721" s="128" t="s">
        <v>3161</v>
      </c>
      <c r="O721" s="128">
        <v>715</v>
      </c>
      <c r="P721" s="128">
        <v>137</v>
      </c>
      <c r="Q721" s="128">
        <v>118</v>
      </c>
      <c r="R721" s="128">
        <v>295</v>
      </c>
      <c r="S721" s="128">
        <v>81</v>
      </c>
      <c r="T721" s="128">
        <v>84</v>
      </c>
      <c r="U721" s="128">
        <v>715</v>
      </c>
      <c r="V721" s="128" t="s">
        <v>2702</v>
      </c>
    </row>
    <row r="722" spans="1:22" x14ac:dyDescent="0.35">
      <c r="A722" s="118">
        <v>721</v>
      </c>
      <c r="B722" s="128" t="s">
        <v>169</v>
      </c>
      <c r="C722" s="128" t="s">
        <v>285</v>
      </c>
      <c r="D722" s="128" t="s">
        <v>2798</v>
      </c>
      <c r="E722" s="128" t="s">
        <v>331</v>
      </c>
      <c r="F722" s="128">
        <v>1986</v>
      </c>
      <c r="G722" s="128">
        <v>57</v>
      </c>
      <c r="H722" s="128">
        <v>8</v>
      </c>
      <c r="I722" s="128">
        <v>65</v>
      </c>
      <c r="J722" s="128" t="s">
        <v>3955</v>
      </c>
      <c r="K722" s="128">
        <v>64.899000000000001</v>
      </c>
      <c r="L722" s="128" t="s">
        <v>3969</v>
      </c>
      <c r="M722" s="128" t="s">
        <v>3970</v>
      </c>
      <c r="N722" s="128" t="s">
        <v>2544</v>
      </c>
      <c r="O722" s="128">
        <v>560</v>
      </c>
      <c r="P722" s="128">
        <v>115</v>
      </c>
      <c r="Q722" s="128">
        <v>90</v>
      </c>
      <c r="R722" s="128">
        <v>217</v>
      </c>
      <c r="S722" s="128">
        <v>75</v>
      </c>
      <c r="T722" s="128">
        <v>65</v>
      </c>
      <c r="U722" s="128">
        <v>562</v>
      </c>
      <c r="V722" s="128" t="s">
        <v>1547</v>
      </c>
    </row>
    <row r="723" spans="1:22" x14ac:dyDescent="0.35">
      <c r="A723" s="118">
        <v>722</v>
      </c>
      <c r="B723" s="128" t="s">
        <v>169</v>
      </c>
      <c r="C723" s="128" t="s">
        <v>285</v>
      </c>
      <c r="D723" s="128" t="s">
        <v>3971</v>
      </c>
      <c r="E723" s="128" t="s">
        <v>3972</v>
      </c>
      <c r="F723" s="128">
        <v>1986</v>
      </c>
      <c r="G723" s="128">
        <v>30</v>
      </c>
      <c r="H723" s="128">
        <v>3</v>
      </c>
      <c r="I723" s="128">
        <v>33</v>
      </c>
      <c r="J723" s="128" t="s">
        <v>3955</v>
      </c>
      <c r="K723" s="128">
        <v>54.404000000000003</v>
      </c>
      <c r="L723" s="128" t="s">
        <v>3973</v>
      </c>
      <c r="M723" s="128" t="s">
        <v>3974</v>
      </c>
      <c r="N723" s="128" t="s">
        <v>3975</v>
      </c>
      <c r="O723" s="128">
        <v>515</v>
      </c>
      <c r="P723" s="128">
        <v>105</v>
      </c>
      <c r="Q723" s="128">
        <v>85</v>
      </c>
      <c r="R723" s="128">
        <v>219</v>
      </c>
      <c r="S723" s="128">
        <v>55</v>
      </c>
      <c r="T723" s="128">
        <v>55</v>
      </c>
      <c r="U723" s="128">
        <v>519</v>
      </c>
      <c r="V723" s="128" t="s">
        <v>1547</v>
      </c>
    </row>
    <row r="724" spans="1:22" x14ac:dyDescent="0.35">
      <c r="A724" s="118">
        <v>723</v>
      </c>
      <c r="B724" s="128" t="s">
        <v>169</v>
      </c>
      <c r="C724" s="128" t="s">
        <v>285</v>
      </c>
      <c r="D724" s="128" t="s">
        <v>3976</v>
      </c>
      <c r="E724" s="128" t="s">
        <v>3977</v>
      </c>
      <c r="F724" s="128">
        <v>1986</v>
      </c>
      <c r="G724" s="128">
        <v>86</v>
      </c>
      <c r="H724" s="128">
        <v>22</v>
      </c>
      <c r="I724" s="128">
        <v>108</v>
      </c>
      <c r="J724" s="128" t="s">
        <v>3955</v>
      </c>
      <c r="K724" s="128">
        <v>88.616</v>
      </c>
      <c r="L724" s="128" t="s">
        <v>3378</v>
      </c>
      <c r="M724" s="128" t="s">
        <v>3978</v>
      </c>
      <c r="N724" s="128" t="s">
        <v>2461</v>
      </c>
      <c r="O724" s="128">
        <v>717</v>
      </c>
      <c r="P724" s="128">
        <v>137</v>
      </c>
      <c r="Q724" s="128">
        <v>118</v>
      </c>
      <c r="R724" s="128">
        <v>299</v>
      </c>
      <c r="S724" s="128">
        <v>82</v>
      </c>
      <c r="T724" s="128">
        <v>85</v>
      </c>
      <c r="U724" s="128">
        <v>721</v>
      </c>
      <c r="V724" s="128" t="s">
        <v>2702</v>
      </c>
    </row>
    <row r="725" spans="1:22" x14ac:dyDescent="0.35">
      <c r="A725" s="118">
        <v>724</v>
      </c>
      <c r="B725" s="128" t="s">
        <v>169</v>
      </c>
      <c r="C725" s="128" t="s">
        <v>285</v>
      </c>
      <c r="D725" s="128" t="s">
        <v>3979</v>
      </c>
      <c r="E725" s="128" t="s">
        <v>3980</v>
      </c>
      <c r="F725" s="128">
        <v>1986</v>
      </c>
      <c r="G725" s="128">
        <v>85</v>
      </c>
      <c r="H725" s="128">
        <v>5</v>
      </c>
      <c r="I725" s="128">
        <v>90</v>
      </c>
      <c r="J725" s="128" t="s">
        <v>3955</v>
      </c>
      <c r="K725" s="128">
        <v>79.207999999999998</v>
      </c>
      <c r="L725" s="128" t="s">
        <v>3981</v>
      </c>
      <c r="M725" s="128" t="s">
        <v>3388</v>
      </c>
      <c r="N725" s="128" t="s">
        <v>3434</v>
      </c>
      <c r="O725" s="128">
        <v>715</v>
      </c>
      <c r="P725" s="128">
        <v>137</v>
      </c>
      <c r="Q725" s="128">
        <v>118</v>
      </c>
      <c r="R725" s="128">
        <v>295</v>
      </c>
      <c r="S725" s="128">
        <v>81</v>
      </c>
      <c r="T725" s="128">
        <v>87</v>
      </c>
      <c r="U725" s="128">
        <v>718</v>
      </c>
      <c r="V725" s="128" t="s">
        <v>2702</v>
      </c>
    </row>
    <row r="726" spans="1:22" x14ac:dyDescent="0.35">
      <c r="A726" s="118">
        <v>725</v>
      </c>
      <c r="B726" s="128" t="s">
        <v>169</v>
      </c>
      <c r="C726" s="128" t="s">
        <v>286</v>
      </c>
      <c r="D726" s="128" t="s">
        <v>3982</v>
      </c>
      <c r="E726" s="128" t="s">
        <v>3983</v>
      </c>
      <c r="F726" s="128">
        <v>1986</v>
      </c>
      <c r="G726" s="128">
        <v>115</v>
      </c>
      <c r="H726" s="128">
        <v>18</v>
      </c>
      <c r="I726" s="128">
        <v>133</v>
      </c>
      <c r="J726" s="128" t="s">
        <v>3955</v>
      </c>
      <c r="K726" s="128">
        <v>98.780999999999992</v>
      </c>
      <c r="L726" s="128" t="s">
        <v>3677</v>
      </c>
      <c r="M726" s="128" t="s">
        <v>3984</v>
      </c>
      <c r="N726" s="128" t="s">
        <v>3985</v>
      </c>
      <c r="O726" s="128">
        <v>720</v>
      </c>
      <c r="P726" s="128">
        <v>137</v>
      </c>
      <c r="Q726" s="128">
        <v>118</v>
      </c>
      <c r="R726" s="128">
        <v>297</v>
      </c>
      <c r="S726" s="128">
        <v>85</v>
      </c>
      <c r="T726" s="128">
        <v>85</v>
      </c>
      <c r="U726" s="128">
        <v>722</v>
      </c>
      <c r="V726" s="128" t="s">
        <v>2702</v>
      </c>
    </row>
    <row r="727" spans="1:22" x14ac:dyDescent="0.35">
      <c r="A727" s="118">
        <v>726</v>
      </c>
      <c r="B727" s="128" t="s">
        <v>169</v>
      </c>
      <c r="C727" s="128" t="s">
        <v>286</v>
      </c>
      <c r="D727" s="128" t="s">
        <v>3986</v>
      </c>
      <c r="E727" s="128" t="s">
        <v>330</v>
      </c>
      <c r="F727" s="128">
        <v>1986</v>
      </c>
      <c r="G727" s="128">
        <v>78</v>
      </c>
      <c r="H727" s="128">
        <v>11</v>
      </c>
      <c r="I727" s="128">
        <v>89</v>
      </c>
      <c r="J727" s="128" t="s">
        <v>3955</v>
      </c>
      <c r="K727" s="128">
        <v>78.340999999999994</v>
      </c>
      <c r="L727" s="128" t="s">
        <v>3987</v>
      </c>
      <c r="M727" s="128" t="s">
        <v>3988</v>
      </c>
      <c r="N727" s="128" t="s">
        <v>2506</v>
      </c>
      <c r="O727" s="128">
        <v>475</v>
      </c>
      <c r="P727" s="128">
        <v>102</v>
      </c>
      <c r="Q727" s="128">
        <v>83</v>
      </c>
      <c r="R727" s="128">
        <v>190</v>
      </c>
      <c r="S727" s="128">
        <v>48</v>
      </c>
      <c r="T727" s="128">
        <v>55</v>
      </c>
      <c r="U727" s="128">
        <v>478</v>
      </c>
      <c r="V727" s="128" t="s">
        <v>1547</v>
      </c>
    </row>
    <row r="728" spans="1:22" x14ac:dyDescent="0.35">
      <c r="A728" s="118">
        <v>727</v>
      </c>
      <c r="B728" s="128" t="s">
        <v>169</v>
      </c>
      <c r="C728" s="128" t="s">
        <v>286</v>
      </c>
      <c r="D728" s="128" t="s">
        <v>3989</v>
      </c>
      <c r="E728" s="128" t="s">
        <v>133</v>
      </c>
      <c r="F728" s="128">
        <v>1986</v>
      </c>
      <c r="G728" s="128">
        <v>118</v>
      </c>
      <c r="H728" s="128">
        <v>23</v>
      </c>
      <c r="I728" s="128">
        <v>141</v>
      </c>
      <c r="J728" s="128" t="s">
        <v>3955</v>
      </c>
      <c r="K728" s="128">
        <v>96.573000000000008</v>
      </c>
      <c r="L728" s="128" t="s">
        <v>3990</v>
      </c>
      <c r="M728" s="128" t="s">
        <v>3991</v>
      </c>
      <c r="N728" s="128" t="s">
        <v>3992</v>
      </c>
      <c r="O728" s="128">
        <v>481</v>
      </c>
      <c r="P728" s="128">
        <v>105</v>
      </c>
      <c r="Q728" s="128">
        <v>83</v>
      </c>
      <c r="R728" s="128">
        <v>194</v>
      </c>
      <c r="S728" s="128">
        <v>45</v>
      </c>
      <c r="T728" s="128">
        <v>54</v>
      </c>
      <c r="U728" s="128">
        <v>481</v>
      </c>
      <c r="V728" s="128" t="s">
        <v>1547</v>
      </c>
    </row>
    <row r="729" spans="1:22" x14ac:dyDescent="0.35">
      <c r="A729" s="118">
        <v>728</v>
      </c>
      <c r="B729" s="128" t="s">
        <v>169</v>
      </c>
      <c r="C729" s="128" t="s">
        <v>286</v>
      </c>
      <c r="D729" s="128" t="s">
        <v>3993</v>
      </c>
      <c r="E729" s="128" t="s">
        <v>351</v>
      </c>
      <c r="F729" s="128">
        <v>1986</v>
      </c>
      <c r="G729" s="128">
        <v>74</v>
      </c>
      <c r="H729" s="128">
        <v>18</v>
      </c>
      <c r="I729" s="128">
        <v>92</v>
      </c>
      <c r="J729" s="128" t="s">
        <v>3955</v>
      </c>
      <c r="K729" s="128">
        <v>67.266999999999996</v>
      </c>
      <c r="L729" s="128" t="s">
        <v>3994</v>
      </c>
      <c r="M729" s="128" t="s">
        <v>3828</v>
      </c>
      <c r="N729" s="128" t="s">
        <v>2506</v>
      </c>
      <c r="O729" s="128">
        <v>485</v>
      </c>
      <c r="P729" s="128">
        <v>124</v>
      </c>
      <c r="Q729" s="128">
        <v>83</v>
      </c>
      <c r="R729" s="128">
        <v>191</v>
      </c>
      <c r="S729" s="128">
        <v>41</v>
      </c>
      <c r="T729" s="128">
        <v>51</v>
      </c>
      <c r="U729" s="128">
        <v>490</v>
      </c>
      <c r="V729" s="128" t="s">
        <v>1547</v>
      </c>
    </row>
    <row r="730" spans="1:22" x14ac:dyDescent="0.35">
      <c r="A730" s="118">
        <v>729</v>
      </c>
      <c r="B730" s="128" t="s">
        <v>169</v>
      </c>
      <c r="C730" s="128" t="s">
        <v>286</v>
      </c>
      <c r="D730" s="128" t="s">
        <v>3995</v>
      </c>
      <c r="E730" s="128" t="s">
        <v>3996</v>
      </c>
      <c r="F730" s="128">
        <v>1986</v>
      </c>
      <c r="G730" s="128">
        <v>95</v>
      </c>
      <c r="H730" s="128">
        <v>15</v>
      </c>
      <c r="I730" s="128">
        <v>110</v>
      </c>
      <c r="J730" s="128" t="s">
        <v>3955</v>
      </c>
      <c r="K730" s="128">
        <v>86.603999999999999</v>
      </c>
      <c r="L730" s="128" t="s">
        <v>2506</v>
      </c>
      <c r="M730" s="128" t="s">
        <v>3997</v>
      </c>
      <c r="N730" s="128" t="s">
        <v>3998</v>
      </c>
      <c r="O730" s="128">
        <v>467</v>
      </c>
      <c r="P730" s="128">
        <v>102</v>
      </c>
      <c r="Q730" s="128">
        <v>83</v>
      </c>
      <c r="R730" s="128">
        <v>190</v>
      </c>
      <c r="S730" s="128">
        <v>41</v>
      </c>
      <c r="T730" s="128">
        <v>55</v>
      </c>
      <c r="U730" s="128">
        <v>471</v>
      </c>
      <c r="V730" s="128" t="s">
        <v>1547</v>
      </c>
    </row>
    <row r="731" spans="1:22" x14ac:dyDescent="0.35">
      <c r="A731" s="118">
        <v>730</v>
      </c>
      <c r="B731" s="128" t="s">
        <v>169</v>
      </c>
      <c r="C731" s="128" t="s">
        <v>286</v>
      </c>
      <c r="D731" s="128" t="s">
        <v>3999</v>
      </c>
      <c r="E731" s="128" t="s">
        <v>2811</v>
      </c>
      <c r="F731" s="128">
        <v>1986</v>
      </c>
      <c r="G731" s="128">
        <v>69</v>
      </c>
      <c r="H731" s="128">
        <v>11</v>
      </c>
      <c r="I731" s="128">
        <v>80</v>
      </c>
      <c r="J731" s="128" t="s">
        <v>3955</v>
      </c>
      <c r="K731" s="128">
        <v>94.563000000000002</v>
      </c>
      <c r="L731" s="128" t="s">
        <v>4000</v>
      </c>
      <c r="M731" s="128" t="s">
        <v>4001</v>
      </c>
      <c r="N731" s="128" t="s">
        <v>3994</v>
      </c>
      <c r="O731" s="128">
        <v>525</v>
      </c>
      <c r="P731" s="128">
        <v>102</v>
      </c>
      <c r="Q731" s="128">
        <v>83</v>
      </c>
      <c r="R731" s="128">
        <v>190</v>
      </c>
      <c r="S731" s="128">
        <v>70</v>
      </c>
      <c r="T731" s="128">
        <v>85</v>
      </c>
      <c r="U731" s="128">
        <v>530</v>
      </c>
      <c r="V731" s="128" t="s">
        <v>1547</v>
      </c>
    </row>
    <row r="732" spans="1:22" x14ac:dyDescent="0.35">
      <c r="A732" s="118">
        <v>731</v>
      </c>
      <c r="B732" s="128" t="s">
        <v>169</v>
      </c>
      <c r="C732" s="128" t="s">
        <v>286</v>
      </c>
      <c r="D732" s="128" t="s">
        <v>3986</v>
      </c>
      <c r="E732" s="128" t="s">
        <v>4002</v>
      </c>
      <c r="F732" s="128">
        <v>1986</v>
      </c>
      <c r="G732" s="128">
        <v>76</v>
      </c>
      <c r="H732" s="128">
        <v>9</v>
      </c>
      <c r="I732" s="128">
        <v>85</v>
      </c>
      <c r="J732" s="128" t="s">
        <v>3955</v>
      </c>
      <c r="K732" s="128">
        <v>76.356999999999999</v>
      </c>
      <c r="L732" s="128" t="s">
        <v>4003</v>
      </c>
      <c r="M732" s="128" t="s">
        <v>4004</v>
      </c>
      <c r="N732" s="128" t="s">
        <v>4005</v>
      </c>
      <c r="O732" s="128">
        <v>467</v>
      </c>
      <c r="P732" s="128">
        <v>102</v>
      </c>
      <c r="Q732" s="128">
        <v>83</v>
      </c>
      <c r="R732" s="128">
        <v>190</v>
      </c>
      <c r="S732" s="128">
        <v>41</v>
      </c>
      <c r="T732" s="128">
        <v>55</v>
      </c>
      <c r="U732" s="128">
        <v>471</v>
      </c>
      <c r="V732" s="128" t="s">
        <v>1547</v>
      </c>
    </row>
    <row r="733" spans="1:22" x14ac:dyDescent="0.35">
      <c r="A733" s="118">
        <v>732</v>
      </c>
      <c r="B733" s="128" t="s">
        <v>169</v>
      </c>
      <c r="C733" s="128" t="s">
        <v>286</v>
      </c>
      <c r="D733" s="128" t="s">
        <v>2391</v>
      </c>
      <c r="E733" s="128" t="s">
        <v>4006</v>
      </c>
      <c r="F733" s="128">
        <v>1986</v>
      </c>
      <c r="G733" s="128">
        <v>74</v>
      </c>
      <c r="H733" s="128">
        <v>20</v>
      </c>
      <c r="I733" s="128">
        <v>94</v>
      </c>
      <c r="J733" s="128" t="s">
        <v>3955</v>
      </c>
      <c r="K733" s="128">
        <v>87.604000000000013</v>
      </c>
      <c r="L733" s="128" t="s">
        <v>2516</v>
      </c>
      <c r="M733" s="128" t="s">
        <v>2614</v>
      </c>
      <c r="N733" s="128" t="s">
        <v>4007</v>
      </c>
      <c r="O733" s="128">
        <v>526</v>
      </c>
      <c r="P733" s="128">
        <v>115</v>
      </c>
      <c r="Q733" s="128">
        <v>87</v>
      </c>
      <c r="R733" s="128">
        <v>202</v>
      </c>
      <c r="S733" s="128">
        <v>50</v>
      </c>
      <c r="T733" s="128">
        <v>76</v>
      </c>
      <c r="U733" s="128">
        <v>530</v>
      </c>
      <c r="V733" s="128" t="s">
        <v>1547</v>
      </c>
    </row>
    <row r="734" spans="1:22" x14ac:dyDescent="0.35">
      <c r="A734" s="118">
        <v>733</v>
      </c>
      <c r="B734" s="128" t="s">
        <v>169</v>
      </c>
      <c r="C734" s="128" t="s">
        <v>290</v>
      </c>
      <c r="D734" s="128" t="s">
        <v>3354</v>
      </c>
      <c r="E734" s="128" t="s">
        <v>4008</v>
      </c>
      <c r="F734" s="128">
        <v>1990</v>
      </c>
      <c r="G734" s="128">
        <v>53</v>
      </c>
      <c r="H734" s="128">
        <v>13</v>
      </c>
      <c r="I734" s="128">
        <v>66</v>
      </c>
      <c r="J734" s="128" t="s">
        <v>2751</v>
      </c>
      <c r="K734" s="128">
        <v>68.5</v>
      </c>
      <c r="L734" s="128" t="s">
        <v>4009</v>
      </c>
      <c r="M734" s="128" t="s">
        <v>3486</v>
      </c>
      <c r="N734" s="128" t="s">
        <v>4010</v>
      </c>
      <c r="O734" s="128">
        <v>535</v>
      </c>
      <c r="P734" s="128">
        <v>102</v>
      </c>
      <c r="Q734" s="128">
        <v>83</v>
      </c>
      <c r="R734" s="128">
        <v>206</v>
      </c>
      <c r="S734" s="128">
        <v>73</v>
      </c>
      <c r="T734" s="128">
        <v>75</v>
      </c>
      <c r="U734" s="128">
        <v>539</v>
      </c>
      <c r="V734" s="128" t="s">
        <v>1547</v>
      </c>
    </row>
    <row r="735" spans="1:22" x14ac:dyDescent="0.35">
      <c r="A735" s="118">
        <v>734</v>
      </c>
      <c r="B735" s="128" t="s">
        <v>169</v>
      </c>
      <c r="C735" s="128" t="s">
        <v>290</v>
      </c>
      <c r="D735" s="128" t="s">
        <v>3573</v>
      </c>
      <c r="E735" s="128" t="s">
        <v>4011</v>
      </c>
      <c r="F735" s="128">
        <v>1992</v>
      </c>
      <c r="G735" s="128">
        <v>155</v>
      </c>
      <c r="H735" s="128">
        <v>60</v>
      </c>
      <c r="I735" s="128">
        <v>215</v>
      </c>
      <c r="J735" s="128" t="s">
        <v>2751</v>
      </c>
      <c r="K735" s="128">
        <v>71.25</v>
      </c>
      <c r="L735" s="128" t="s">
        <v>2525</v>
      </c>
      <c r="M735" s="128" t="s">
        <v>4012</v>
      </c>
      <c r="N735" s="128" t="s">
        <v>4013</v>
      </c>
      <c r="O735" s="128">
        <v>540</v>
      </c>
      <c r="P735" s="128">
        <v>110</v>
      </c>
      <c r="Q735" s="128">
        <v>83</v>
      </c>
      <c r="R735" s="128">
        <v>207</v>
      </c>
      <c r="S735" s="128">
        <v>73</v>
      </c>
      <c r="T735" s="128">
        <v>75</v>
      </c>
      <c r="U735" s="128">
        <v>548</v>
      </c>
      <c r="V735" s="128" t="s">
        <v>1547</v>
      </c>
    </row>
    <row r="736" spans="1:22" x14ac:dyDescent="0.35">
      <c r="A736" s="118">
        <v>735</v>
      </c>
      <c r="B736" s="128" t="s">
        <v>169</v>
      </c>
      <c r="C736" s="128" t="s">
        <v>290</v>
      </c>
      <c r="D736" s="128" t="s">
        <v>73</v>
      </c>
      <c r="E736" s="128" t="s">
        <v>2443</v>
      </c>
      <c r="F736" s="128">
        <v>1993</v>
      </c>
      <c r="G736" s="128">
        <v>101</v>
      </c>
      <c r="H736" s="128">
        <v>36</v>
      </c>
      <c r="I736" s="128">
        <v>137</v>
      </c>
      <c r="J736" s="128" t="s">
        <v>2751</v>
      </c>
      <c r="K736" s="128">
        <v>73.25</v>
      </c>
      <c r="L736" s="128" t="s">
        <v>4014</v>
      </c>
      <c r="M736" s="128" t="s">
        <v>3378</v>
      </c>
      <c r="N736" s="128" t="s">
        <v>2658</v>
      </c>
      <c r="O736" s="128">
        <v>520</v>
      </c>
      <c r="P736" s="128">
        <v>102</v>
      </c>
      <c r="Q736" s="128">
        <v>83</v>
      </c>
      <c r="R736" s="128">
        <v>199</v>
      </c>
      <c r="S736" s="128">
        <v>73</v>
      </c>
      <c r="T736" s="128">
        <v>72</v>
      </c>
      <c r="U736" s="128">
        <v>529</v>
      </c>
      <c r="V736" s="128" t="s">
        <v>1547</v>
      </c>
    </row>
    <row r="737" spans="1:22" x14ac:dyDescent="0.35">
      <c r="A737" s="118">
        <v>736</v>
      </c>
      <c r="B737" s="128" t="s">
        <v>169</v>
      </c>
      <c r="C737" s="128" t="s">
        <v>290</v>
      </c>
      <c r="D737" s="128" t="s">
        <v>2391</v>
      </c>
      <c r="E737" s="128" t="s">
        <v>2811</v>
      </c>
      <c r="F737" s="128">
        <v>1990</v>
      </c>
      <c r="G737" s="128">
        <v>65</v>
      </c>
      <c r="H737" s="128">
        <v>17</v>
      </c>
      <c r="I737" s="128">
        <v>82</v>
      </c>
      <c r="J737" s="128" t="s">
        <v>2751</v>
      </c>
      <c r="K737" s="128">
        <v>70.5</v>
      </c>
      <c r="L737" s="128" t="s">
        <v>4015</v>
      </c>
      <c r="M737" s="128" t="s">
        <v>4016</v>
      </c>
      <c r="N737" s="128" t="s">
        <v>2788</v>
      </c>
      <c r="O737" s="128">
        <v>650</v>
      </c>
      <c r="P737" s="128">
        <v>127</v>
      </c>
      <c r="Q737" s="128">
        <v>106</v>
      </c>
      <c r="R737" s="128">
        <v>269</v>
      </c>
      <c r="S737" s="128">
        <v>77</v>
      </c>
      <c r="T737" s="128">
        <v>77</v>
      </c>
      <c r="U737" s="128">
        <v>656</v>
      </c>
      <c r="V737" s="128" t="s">
        <v>1547</v>
      </c>
    </row>
    <row r="738" spans="1:22" x14ac:dyDescent="0.35">
      <c r="A738" s="118">
        <v>737</v>
      </c>
      <c r="B738" s="128" t="s">
        <v>169</v>
      </c>
      <c r="C738" s="128" t="s">
        <v>290</v>
      </c>
      <c r="D738" s="128" t="s">
        <v>3417</v>
      </c>
      <c r="E738" s="128" t="s">
        <v>143</v>
      </c>
      <c r="F738" s="128">
        <v>1992</v>
      </c>
      <c r="G738" s="128">
        <v>73</v>
      </c>
      <c r="H738" s="128">
        <v>21</v>
      </c>
      <c r="I738" s="128">
        <v>94</v>
      </c>
      <c r="J738" s="128" t="s">
        <v>2751</v>
      </c>
      <c r="K738" s="128">
        <v>77.75</v>
      </c>
      <c r="L738" s="128" t="s">
        <v>2406</v>
      </c>
      <c r="M738" s="128" t="s">
        <v>4017</v>
      </c>
      <c r="N738" s="128" t="s">
        <v>4018</v>
      </c>
      <c r="O738" s="128">
        <v>617</v>
      </c>
      <c r="P738" s="128">
        <v>107</v>
      </c>
      <c r="Q738" s="128">
        <v>104</v>
      </c>
      <c r="R738" s="128">
        <v>261</v>
      </c>
      <c r="S738" s="128">
        <v>76</v>
      </c>
      <c r="T738" s="128">
        <v>76</v>
      </c>
      <c r="U738" s="128">
        <v>624</v>
      </c>
      <c r="V738" s="128" t="s">
        <v>1547</v>
      </c>
    </row>
    <row r="739" spans="1:22" x14ac:dyDescent="0.35">
      <c r="A739" s="118">
        <v>738</v>
      </c>
      <c r="B739" s="128" t="s">
        <v>169</v>
      </c>
      <c r="C739" s="128" t="s">
        <v>290</v>
      </c>
      <c r="D739" s="128" t="s">
        <v>4019</v>
      </c>
      <c r="E739" s="128" t="s">
        <v>4020</v>
      </c>
      <c r="F739" s="128">
        <v>1993</v>
      </c>
      <c r="G739" s="128">
        <v>133</v>
      </c>
      <c r="H739" s="128">
        <v>28</v>
      </c>
      <c r="I739" s="128">
        <v>161</v>
      </c>
      <c r="J739" s="128" t="s">
        <v>2751</v>
      </c>
      <c r="K739" s="128">
        <v>124.5</v>
      </c>
      <c r="L739" s="128" t="s">
        <v>2678</v>
      </c>
      <c r="M739" s="128" t="s">
        <v>4021</v>
      </c>
      <c r="N739" s="128" t="s">
        <v>4022</v>
      </c>
      <c r="O739" s="128">
        <v>620</v>
      </c>
      <c r="P739" s="128">
        <v>120</v>
      </c>
      <c r="Q739" s="128">
        <v>105</v>
      </c>
      <c r="R739" s="128">
        <v>255</v>
      </c>
      <c r="S739" s="128">
        <v>76</v>
      </c>
      <c r="T739" s="128">
        <v>76</v>
      </c>
      <c r="U739" s="128">
        <v>632</v>
      </c>
      <c r="V739" s="128" t="s">
        <v>1547</v>
      </c>
    </row>
    <row r="740" spans="1:22" x14ac:dyDescent="0.35">
      <c r="A740" s="118">
        <v>739</v>
      </c>
      <c r="B740" s="128" t="s">
        <v>169</v>
      </c>
      <c r="C740" s="128" t="s">
        <v>290</v>
      </c>
      <c r="D740" s="128" t="s">
        <v>4023</v>
      </c>
      <c r="E740" s="128" t="s">
        <v>380</v>
      </c>
      <c r="F740" s="128">
        <v>1992</v>
      </c>
      <c r="G740" s="128">
        <v>58</v>
      </c>
      <c r="H740" s="128">
        <v>16</v>
      </c>
      <c r="I740" s="128">
        <v>74</v>
      </c>
      <c r="J740" s="128" t="s">
        <v>2751</v>
      </c>
      <c r="K740" s="128">
        <v>64.25</v>
      </c>
      <c r="L740" s="128" t="s">
        <v>2406</v>
      </c>
      <c r="M740" s="128" t="s">
        <v>4024</v>
      </c>
      <c r="N740" s="128" t="s">
        <v>3599</v>
      </c>
      <c r="O740" s="128">
        <v>525</v>
      </c>
      <c r="P740" s="128">
        <v>107</v>
      </c>
      <c r="Q740" s="128">
        <v>84</v>
      </c>
      <c r="R740" s="128">
        <v>204</v>
      </c>
      <c r="S740" s="128">
        <v>72</v>
      </c>
      <c r="T740" s="128">
        <v>72</v>
      </c>
      <c r="U740" s="128">
        <v>539</v>
      </c>
      <c r="V740" s="128" t="s">
        <v>1547</v>
      </c>
    </row>
    <row r="741" spans="1:22" x14ac:dyDescent="0.35">
      <c r="A741" s="118">
        <v>740</v>
      </c>
      <c r="B741" s="128" t="s">
        <v>169</v>
      </c>
      <c r="C741" s="128" t="s">
        <v>288</v>
      </c>
      <c r="D741" s="128" t="s">
        <v>1521</v>
      </c>
      <c r="E741" s="128" t="s">
        <v>1089</v>
      </c>
      <c r="F741" s="128">
        <v>1979</v>
      </c>
      <c r="G741" s="128">
        <v>116</v>
      </c>
      <c r="H741" s="128">
        <v>15</v>
      </c>
      <c r="I741" s="128">
        <v>131</v>
      </c>
      <c r="J741" s="128" t="s">
        <v>4025</v>
      </c>
      <c r="K741" s="128">
        <v>82.42</v>
      </c>
      <c r="L741" s="128" t="s">
        <v>1882</v>
      </c>
      <c r="M741" s="128" t="s">
        <v>4026</v>
      </c>
      <c r="N741" s="128" t="s">
        <v>1620</v>
      </c>
      <c r="O741" s="128">
        <v>655</v>
      </c>
      <c r="P741" s="128">
        <v>130</v>
      </c>
      <c r="Q741" s="128">
        <v>100</v>
      </c>
      <c r="R741" s="128">
        <v>265</v>
      </c>
      <c r="S741" s="128">
        <v>80</v>
      </c>
      <c r="T741" s="128">
        <v>80</v>
      </c>
      <c r="U741" s="128">
        <v>655</v>
      </c>
      <c r="V741" s="128" t="s">
        <v>1547</v>
      </c>
    </row>
    <row r="742" spans="1:22" x14ac:dyDescent="0.35">
      <c r="A742" s="118">
        <v>741</v>
      </c>
      <c r="B742" s="128" t="s">
        <v>169</v>
      </c>
      <c r="C742" s="128" t="s">
        <v>288</v>
      </c>
      <c r="D742" s="128" t="s">
        <v>2120</v>
      </c>
      <c r="E742" s="128" t="s">
        <v>1092</v>
      </c>
      <c r="F742" s="128">
        <v>1998</v>
      </c>
      <c r="G742" s="128">
        <v>112</v>
      </c>
      <c r="H742" s="128">
        <v>17</v>
      </c>
      <c r="I742" s="128">
        <v>129</v>
      </c>
      <c r="J742" s="128" t="s">
        <v>4025</v>
      </c>
      <c r="K742" s="128">
        <v>96.8</v>
      </c>
      <c r="L742" s="128" t="s">
        <v>4027</v>
      </c>
      <c r="M742" s="128" t="s">
        <v>4028</v>
      </c>
      <c r="N742" s="128" t="s">
        <v>4029</v>
      </c>
      <c r="O742" s="128">
        <v>520</v>
      </c>
      <c r="P742" s="128">
        <v>135</v>
      </c>
      <c r="Q742" s="128">
        <v>83</v>
      </c>
      <c r="R742" s="128">
        <v>190</v>
      </c>
      <c r="S742" s="128">
        <v>70</v>
      </c>
      <c r="T742" s="128">
        <v>75</v>
      </c>
      <c r="U742" s="128">
        <v>553</v>
      </c>
      <c r="V742" s="128" t="s">
        <v>1547</v>
      </c>
    </row>
    <row r="743" spans="1:22" x14ac:dyDescent="0.35">
      <c r="A743" s="118">
        <v>742</v>
      </c>
      <c r="B743" s="128" t="s">
        <v>169</v>
      </c>
      <c r="C743" s="128" t="s">
        <v>288</v>
      </c>
      <c r="D743" s="128" t="s">
        <v>4030</v>
      </c>
      <c r="E743" s="128" t="s">
        <v>448</v>
      </c>
      <c r="F743" s="128">
        <v>1998</v>
      </c>
      <c r="G743" s="128">
        <v>87</v>
      </c>
      <c r="H743" s="128">
        <v>7</v>
      </c>
      <c r="I743" s="128">
        <v>94</v>
      </c>
      <c r="J743" s="128" t="s">
        <v>4025</v>
      </c>
      <c r="K743" s="128">
        <v>44.66</v>
      </c>
      <c r="L743" s="128" t="s">
        <v>4031</v>
      </c>
      <c r="M743" s="128" t="s">
        <v>4032</v>
      </c>
      <c r="N743" s="128" t="s">
        <v>1904</v>
      </c>
      <c r="O743" s="128">
        <v>600</v>
      </c>
      <c r="P743" s="128">
        <v>115</v>
      </c>
      <c r="Q743" s="128">
        <v>100</v>
      </c>
      <c r="R743" s="128">
        <v>225</v>
      </c>
      <c r="S743" s="128">
        <v>80</v>
      </c>
      <c r="T743" s="128">
        <v>80</v>
      </c>
      <c r="U743" s="128">
        <v>600</v>
      </c>
      <c r="V743" s="128" t="s">
        <v>1547</v>
      </c>
    </row>
    <row r="744" spans="1:22" x14ac:dyDescent="0.35">
      <c r="A744" s="118">
        <v>743</v>
      </c>
      <c r="B744" s="128" t="s">
        <v>169</v>
      </c>
      <c r="C744" s="128" t="s">
        <v>288</v>
      </c>
      <c r="D744" s="128" t="s">
        <v>4033</v>
      </c>
      <c r="E744" s="128" t="s">
        <v>1091</v>
      </c>
      <c r="F744" s="128">
        <v>1990</v>
      </c>
      <c r="G744" s="128">
        <v>102</v>
      </c>
      <c r="H744" s="128">
        <v>16</v>
      </c>
      <c r="I744" s="128">
        <v>118</v>
      </c>
      <c r="J744" s="128" t="s">
        <v>4025</v>
      </c>
      <c r="K744" s="128">
        <v>94.41</v>
      </c>
      <c r="L744" s="128" t="s">
        <v>1770</v>
      </c>
      <c r="M744" s="128" t="s">
        <v>1770</v>
      </c>
      <c r="N744" s="128" t="s">
        <v>4034</v>
      </c>
      <c r="O744" s="128">
        <v>600</v>
      </c>
      <c r="P744" s="128">
        <v>115</v>
      </c>
      <c r="Q744" s="128">
        <v>100</v>
      </c>
      <c r="R744" s="128">
        <v>225</v>
      </c>
      <c r="S744" s="128">
        <v>80</v>
      </c>
      <c r="T744" s="128">
        <v>80</v>
      </c>
      <c r="U744" s="128">
        <v>600</v>
      </c>
      <c r="V744" s="128" t="s">
        <v>1547</v>
      </c>
    </row>
    <row r="745" spans="1:22" x14ac:dyDescent="0.35">
      <c r="A745" s="118">
        <v>744</v>
      </c>
      <c r="B745" s="128" t="s">
        <v>169</v>
      </c>
      <c r="C745" s="128" t="s">
        <v>288</v>
      </c>
      <c r="D745" s="128" t="s">
        <v>2116</v>
      </c>
      <c r="E745" s="128" t="s">
        <v>1088</v>
      </c>
      <c r="F745" s="128">
        <v>1990</v>
      </c>
      <c r="G745" s="128">
        <v>102</v>
      </c>
      <c r="H745" s="128">
        <v>14</v>
      </c>
      <c r="I745" s="128">
        <v>116</v>
      </c>
      <c r="J745" s="128" t="s">
        <v>4025</v>
      </c>
      <c r="K745" s="128">
        <v>130.9</v>
      </c>
      <c r="L745" s="128" t="s">
        <v>4035</v>
      </c>
      <c r="M745" s="128" t="s">
        <v>4036</v>
      </c>
      <c r="N745" s="128" t="s">
        <v>4037</v>
      </c>
      <c r="O745" s="128">
        <v>635</v>
      </c>
      <c r="P745" s="128">
        <v>135</v>
      </c>
      <c r="Q745" s="128">
        <v>115</v>
      </c>
      <c r="R745" s="128">
        <v>245</v>
      </c>
      <c r="S745" s="128">
        <v>80</v>
      </c>
      <c r="T745" s="128">
        <v>80</v>
      </c>
      <c r="U745" s="128">
        <v>655</v>
      </c>
      <c r="V745" s="128" t="s">
        <v>1547</v>
      </c>
    </row>
    <row r="746" spans="1:22" x14ac:dyDescent="0.35">
      <c r="A746" s="118">
        <v>745</v>
      </c>
      <c r="B746" s="128" t="s">
        <v>169</v>
      </c>
      <c r="C746" s="128" t="s">
        <v>288</v>
      </c>
      <c r="D746" s="128" t="s">
        <v>4038</v>
      </c>
      <c r="E746" s="128" t="s">
        <v>509</v>
      </c>
      <c r="F746" s="128">
        <v>1998</v>
      </c>
      <c r="G746" s="128">
        <v>106</v>
      </c>
      <c r="H746" s="128">
        <v>15</v>
      </c>
      <c r="I746" s="128">
        <v>121</v>
      </c>
      <c r="J746" s="128" t="s">
        <v>4025</v>
      </c>
      <c r="K746" s="128">
        <v>80.2</v>
      </c>
      <c r="L746" s="128" t="s">
        <v>4039</v>
      </c>
      <c r="M746" s="128" t="s">
        <v>2174</v>
      </c>
      <c r="N746" s="128" t="s">
        <v>2957</v>
      </c>
      <c r="O746" s="128">
        <v>630</v>
      </c>
      <c r="P746" s="128">
        <v>125</v>
      </c>
      <c r="Q746" s="128">
        <v>105</v>
      </c>
      <c r="R746" s="128">
        <v>240</v>
      </c>
      <c r="S746" s="128">
        <v>80</v>
      </c>
      <c r="T746" s="128">
        <v>80</v>
      </c>
      <c r="U746" s="128">
        <v>630</v>
      </c>
      <c r="V746" s="128" t="s">
        <v>1547</v>
      </c>
    </row>
    <row r="747" spans="1:22" x14ac:dyDescent="0.35">
      <c r="A747" s="118">
        <v>746</v>
      </c>
      <c r="B747" s="128" t="s">
        <v>169</v>
      </c>
      <c r="C747" s="128" t="s">
        <v>288</v>
      </c>
      <c r="D747" s="128" t="s">
        <v>4040</v>
      </c>
      <c r="E747" s="128" t="s">
        <v>445</v>
      </c>
      <c r="F747" s="128">
        <v>1998</v>
      </c>
      <c r="G747" s="128">
        <v>58</v>
      </c>
      <c r="H747" s="128">
        <v>13</v>
      </c>
      <c r="I747" s="128">
        <v>71</v>
      </c>
      <c r="J747" s="128" t="s">
        <v>4025</v>
      </c>
      <c r="K747" s="128">
        <v>51.96</v>
      </c>
      <c r="L747" s="128" t="s">
        <v>4041</v>
      </c>
      <c r="M747" s="128" t="s">
        <v>1770</v>
      </c>
      <c r="N747" s="128" t="s">
        <v>1530</v>
      </c>
      <c r="O747" s="128">
        <v>642</v>
      </c>
      <c r="P747" s="128">
        <v>122</v>
      </c>
      <c r="Q747" s="128">
        <v>115</v>
      </c>
      <c r="R747" s="128">
        <v>245</v>
      </c>
      <c r="S747" s="128">
        <v>80</v>
      </c>
      <c r="T747" s="128">
        <v>80</v>
      </c>
      <c r="U747" s="128">
        <v>642</v>
      </c>
      <c r="V747" s="128" t="s">
        <v>1547</v>
      </c>
    </row>
    <row r="748" spans="1:22" x14ac:dyDescent="0.35">
      <c r="A748" s="118">
        <v>747</v>
      </c>
      <c r="B748" s="128" t="s">
        <v>169</v>
      </c>
      <c r="C748" s="128" t="s">
        <v>288</v>
      </c>
      <c r="D748" s="128" t="s">
        <v>4042</v>
      </c>
      <c r="E748" s="128" t="s">
        <v>419</v>
      </c>
      <c r="F748" s="128">
        <v>1998</v>
      </c>
      <c r="G748" s="128">
        <v>91</v>
      </c>
      <c r="H748" s="128">
        <v>6</v>
      </c>
      <c r="I748" s="128">
        <v>97</v>
      </c>
      <c r="J748" s="128" t="s">
        <v>4025</v>
      </c>
      <c r="K748" s="128">
        <v>69.45</v>
      </c>
      <c r="L748" s="128" t="s">
        <v>4043</v>
      </c>
      <c r="M748" s="128" t="s">
        <v>4044</v>
      </c>
      <c r="N748" s="128" t="s">
        <v>4045</v>
      </c>
      <c r="O748" s="128">
        <v>636</v>
      </c>
      <c r="P748" s="128">
        <v>126</v>
      </c>
      <c r="Q748" s="128">
        <v>110</v>
      </c>
      <c r="R748" s="128">
        <v>240</v>
      </c>
      <c r="S748" s="128">
        <v>80</v>
      </c>
      <c r="T748" s="128">
        <v>80</v>
      </c>
      <c r="U748" s="128">
        <v>636</v>
      </c>
      <c r="V748" s="128" t="s">
        <v>1547</v>
      </c>
    </row>
    <row r="749" spans="1:22" x14ac:dyDescent="0.35">
      <c r="A749" s="118">
        <v>748</v>
      </c>
      <c r="B749" s="128" t="s">
        <v>169</v>
      </c>
      <c r="C749" s="128" t="s">
        <v>288</v>
      </c>
      <c r="D749" s="128" t="s">
        <v>1945</v>
      </c>
      <c r="E749" s="128" t="s">
        <v>473</v>
      </c>
      <c r="F749" s="128">
        <v>1998</v>
      </c>
      <c r="G749" s="128">
        <v>115</v>
      </c>
      <c r="H749" s="128">
        <v>9</v>
      </c>
      <c r="I749" s="128">
        <v>124</v>
      </c>
      <c r="J749" s="128" t="s">
        <v>4025</v>
      </c>
      <c r="K749" s="128">
        <v>84.63</v>
      </c>
      <c r="L749" s="128" t="s">
        <v>1634</v>
      </c>
      <c r="M749" s="128" t="s">
        <v>4046</v>
      </c>
      <c r="N749" s="128" t="s">
        <v>4047</v>
      </c>
      <c r="O749" s="128">
        <v>520</v>
      </c>
      <c r="P749" s="128">
        <v>135</v>
      </c>
      <c r="Q749" s="128">
        <v>90</v>
      </c>
      <c r="R749" s="128">
        <v>190</v>
      </c>
      <c r="S749" s="128">
        <v>68</v>
      </c>
      <c r="T749" s="128">
        <v>70</v>
      </c>
      <c r="U749" s="128">
        <v>553</v>
      </c>
      <c r="V749" s="128" t="s">
        <v>1547</v>
      </c>
    </row>
    <row r="750" spans="1:22" x14ac:dyDescent="0.35">
      <c r="A750" s="118">
        <v>749</v>
      </c>
      <c r="B750" s="128" t="s">
        <v>169</v>
      </c>
      <c r="C750" s="128" t="s">
        <v>288</v>
      </c>
      <c r="D750" s="128" t="s">
        <v>4033</v>
      </c>
      <c r="E750" s="128" t="s">
        <v>1093</v>
      </c>
      <c r="F750" s="128">
        <v>1998</v>
      </c>
      <c r="G750" s="128">
        <v>85</v>
      </c>
      <c r="H750" s="128">
        <v>13</v>
      </c>
      <c r="I750" s="128">
        <v>98</v>
      </c>
      <c r="J750" s="128" t="s">
        <v>4025</v>
      </c>
      <c r="K750" s="128">
        <v>57.42</v>
      </c>
      <c r="L750" s="128" t="s">
        <v>4048</v>
      </c>
      <c r="M750" s="128" t="s">
        <v>2170</v>
      </c>
      <c r="N750" s="128" t="s">
        <v>2381</v>
      </c>
      <c r="O750" s="128">
        <v>490</v>
      </c>
      <c r="P750" s="128">
        <v>135</v>
      </c>
      <c r="Q750" s="128">
        <v>90</v>
      </c>
      <c r="R750" s="128">
        <v>190</v>
      </c>
      <c r="S750" s="128">
        <v>48</v>
      </c>
      <c r="T750" s="128">
        <v>60</v>
      </c>
      <c r="U750" s="128">
        <v>523</v>
      </c>
      <c r="V750" s="128" t="s">
        <v>1547</v>
      </c>
    </row>
    <row r="751" spans="1:22" x14ac:dyDescent="0.35">
      <c r="A751" s="118">
        <v>750</v>
      </c>
      <c r="B751" s="128" t="s">
        <v>169</v>
      </c>
      <c r="C751" s="128" t="s">
        <v>288</v>
      </c>
      <c r="D751" s="128" t="s">
        <v>4038</v>
      </c>
      <c r="E751" s="128" t="s">
        <v>1086</v>
      </c>
      <c r="F751" s="128">
        <v>2005</v>
      </c>
      <c r="G751" s="128">
        <v>31</v>
      </c>
      <c r="H751" s="128">
        <v>15</v>
      </c>
      <c r="I751" s="128">
        <v>46</v>
      </c>
      <c r="J751" s="128" t="s">
        <v>2136</v>
      </c>
      <c r="K751" s="128">
        <v>0</v>
      </c>
      <c r="L751" s="128" t="s">
        <v>4049</v>
      </c>
      <c r="M751" s="128" t="s">
        <v>4050</v>
      </c>
      <c r="N751" s="128" t="s">
        <v>4051</v>
      </c>
      <c r="O751" s="128">
        <v>615</v>
      </c>
      <c r="P751" s="128">
        <v>110</v>
      </c>
      <c r="Q751" s="128">
        <v>100</v>
      </c>
      <c r="R751" s="128">
        <v>245</v>
      </c>
      <c r="S751" s="128">
        <v>80</v>
      </c>
      <c r="T751" s="128">
        <v>80</v>
      </c>
      <c r="U751" s="128">
        <v>615</v>
      </c>
      <c r="V751" s="128" t="s">
        <v>1547</v>
      </c>
    </row>
    <row r="752" spans="1:22" x14ac:dyDescent="0.35">
      <c r="A752" s="118">
        <v>751</v>
      </c>
      <c r="B752" s="128" t="s">
        <v>169</v>
      </c>
      <c r="C752" s="128" t="s">
        <v>288</v>
      </c>
      <c r="D752" s="128" t="s">
        <v>1541</v>
      </c>
      <c r="E752" s="128" t="s">
        <v>1087</v>
      </c>
      <c r="F752" s="128">
        <v>1985</v>
      </c>
      <c r="G752" s="128">
        <v>100</v>
      </c>
      <c r="H752" s="128">
        <v>14</v>
      </c>
      <c r="I752" s="128">
        <v>114</v>
      </c>
      <c r="J752" s="128" t="s">
        <v>4025</v>
      </c>
      <c r="K752" s="128">
        <v>80.39</v>
      </c>
      <c r="L752" s="128" t="s">
        <v>4052</v>
      </c>
      <c r="M752" s="128" t="s">
        <v>1931</v>
      </c>
      <c r="N752" s="128" t="s">
        <v>1776</v>
      </c>
      <c r="O752" s="128">
        <v>715</v>
      </c>
      <c r="P752" s="128">
        <v>137</v>
      </c>
      <c r="Q752" s="128">
        <v>118</v>
      </c>
      <c r="R752" s="128">
        <v>295</v>
      </c>
      <c r="S752" s="128">
        <v>81</v>
      </c>
      <c r="T752" s="128">
        <v>84</v>
      </c>
      <c r="U752" s="128">
        <v>715</v>
      </c>
      <c r="V752" s="128" t="s">
        <v>2702</v>
      </c>
    </row>
    <row r="753" spans="1:22" x14ac:dyDescent="0.35">
      <c r="A753" s="118">
        <v>752</v>
      </c>
      <c r="B753" s="128" t="s">
        <v>169</v>
      </c>
      <c r="C753" s="128" t="s">
        <v>288</v>
      </c>
      <c r="D753" s="128" t="s">
        <v>1667</v>
      </c>
      <c r="E753" s="128" t="s">
        <v>1090</v>
      </c>
      <c r="F753" s="128">
        <v>1998</v>
      </c>
      <c r="G753" s="128">
        <v>167</v>
      </c>
      <c r="H753" s="128">
        <v>18</v>
      </c>
      <c r="I753" s="128">
        <v>185</v>
      </c>
      <c r="J753" s="128" t="s">
        <v>4025</v>
      </c>
      <c r="K753" s="128">
        <v>119.76</v>
      </c>
      <c r="L753" s="128" t="s">
        <v>4053</v>
      </c>
      <c r="M753" s="128" t="s">
        <v>1770</v>
      </c>
      <c r="N753" s="128" t="s">
        <v>2282</v>
      </c>
      <c r="O753" s="128">
        <v>730</v>
      </c>
      <c r="P753" s="128">
        <v>137</v>
      </c>
      <c r="Q753" s="128">
        <v>118</v>
      </c>
      <c r="R753" s="128">
        <v>295</v>
      </c>
      <c r="S753" s="128">
        <v>81</v>
      </c>
      <c r="T753" s="128">
        <v>99</v>
      </c>
      <c r="U753" s="128">
        <v>730</v>
      </c>
      <c r="V753" s="128" t="s">
        <v>2702</v>
      </c>
    </row>
    <row r="754" spans="1:22" x14ac:dyDescent="0.35">
      <c r="A754" s="118">
        <v>753</v>
      </c>
      <c r="B754" s="128" t="s">
        <v>169</v>
      </c>
      <c r="C754" s="128" t="s">
        <v>6246</v>
      </c>
      <c r="D754" s="128" t="s">
        <v>4054</v>
      </c>
      <c r="E754" s="128" t="s">
        <v>4055</v>
      </c>
      <c r="F754" s="128">
        <v>1980</v>
      </c>
      <c r="G754" s="128">
        <v>121</v>
      </c>
      <c r="H754" s="128">
        <v>27</v>
      </c>
      <c r="I754" s="128">
        <v>148</v>
      </c>
      <c r="J754" s="128" t="s">
        <v>4025</v>
      </c>
      <c r="K754" s="128">
        <v>96.17</v>
      </c>
      <c r="L754" s="128" t="s">
        <v>1856</v>
      </c>
      <c r="M754" s="128" t="s">
        <v>1979</v>
      </c>
      <c r="N754" s="128" t="s">
        <v>1904</v>
      </c>
      <c r="O754" s="128">
        <v>625</v>
      </c>
      <c r="P754" s="128">
        <v>120</v>
      </c>
      <c r="Q754" s="128">
        <v>102</v>
      </c>
      <c r="R754" s="128">
        <v>249</v>
      </c>
      <c r="S754" s="128">
        <v>80</v>
      </c>
      <c r="T754" s="128">
        <v>80</v>
      </c>
      <c r="U754" s="128">
        <v>631</v>
      </c>
      <c r="V754" s="128" t="s">
        <v>1547</v>
      </c>
    </row>
    <row r="755" spans="1:22" x14ac:dyDescent="0.35">
      <c r="A755" s="118">
        <v>754</v>
      </c>
      <c r="B755" s="128" t="s">
        <v>169</v>
      </c>
      <c r="C755" s="128" t="s">
        <v>6246</v>
      </c>
      <c r="D755" s="128" t="s">
        <v>3865</v>
      </c>
      <c r="E755" s="128" t="s">
        <v>127</v>
      </c>
      <c r="F755" s="128">
        <v>1980</v>
      </c>
      <c r="G755" s="128">
        <v>42</v>
      </c>
      <c r="H755" s="128">
        <v>24</v>
      </c>
      <c r="I755" s="128">
        <v>66</v>
      </c>
      <c r="J755" s="128" t="s">
        <v>4025</v>
      </c>
      <c r="K755" s="128">
        <v>64.319999999999993</v>
      </c>
      <c r="L755" s="128" t="s">
        <v>4056</v>
      </c>
      <c r="M755" s="128" t="s">
        <v>1597</v>
      </c>
      <c r="N755" s="128" t="s">
        <v>1819</v>
      </c>
      <c r="O755" s="128">
        <v>605</v>
      </c>
      <c r="P755" s="128">
        <v>120</v>
      </c>
      <c r="Q755" s="128">
        <v>101</v>
      </c>
      <c r="R755" s="128">
        <v>230</v>
      </c>
      <c r="S755" s="128">
        <v>80</v>
      </c>
      <c r="T755" s="128">
        <v>80</v>
      </c>
      <c r="U755" s="128">
        <v>611</v>
      </c>
      <c r="V755" s="128" t="s">
        <v>1547</v>
      </c>
    </row>
    <row r="756" spans="1:22" x14ac:dyDescent="0.35">
      <c r="A756" s="118">
        <v>755</v>
      </c>
      <c r="B756" s="128" t="s">
        <v>169</v>
      </c>
      <c r="C756" s="128" t="s">
        <v>6246</v>
      </c>
      <c r="D756" s="128" t="s">
        <v>4057</v>
      </c>
      <c r="E756" s="128" t="s">
        <v>4058</v>
      </c>
      <c r="F756" s="128">
        <v>1980</v>
      </c>
      <c r="G756" s="128">
        <v>59</v>
      </c>
      <c r="H756" s="128">
        <v>26</v>
      </c>
      <c r="I756" s="128">
        <v>85</v>
      </c>
      <c r="J756" s="128" t="s">
        <v>4025</v>
      </c>
      <c r="K756" s="128">
        <v>72.7</v>
      </c>
      <c r="L756" s="128" t="s">
        <v>4059</v>
      </c>
      <c r="M756" s="128" t="s">
        <v>1611</v>
      </c>
      <c r="N756" s="128" t="s">
        <v>4060</v>
      </c>
      <c r="O756" s="128">
        <v>745</v>
      </c>
      <c r="P756" s="128">
        <v>150</v>
      </c>
      <c r="Q756" s="128">
        <v>122</v>
      </c>
      <c r="R756" s="128">
        <v>311</v>
      </c>
      <c r="S756" s="128">
        <v>85</v>
      </c>
      <c r="T756" s="128">
        <v>85</v>
      </c>
      <c r="U756" s="128">
        <v>753</v>
      </c>
      <c r="V756" s="128" t="s">
        <v>2702</v>
      </c>
    </row>
    <row r="757" spans="1:22" x14ac:dyDescent="0.35">
      <c r="A757" s="118">
        <v>756</v>
      </c>
      <c r="B757" s="128" t="s">
        <v>169</v>
      </c>
      <c r="C757" s="128" t="s">
        <v>6246</v>
      </c>
      <c r="D757" s="128" t="s">
        <v>2391</v>
      </c>
      <c r="E757" s="128" t="s">
        <v>158</v>
      </c>
      <c r="F757" s="128">
        <v>1980</v>
      </c>
      <c r="G757" s="128">
        <v>111</v>
      </c>
      <c r="H757" s="128">
        <v>29</v>
      </c>
      <c r="I757" s="128">
        <v>140</v>
      </c>
      <c r="J757" s="128" t="s">
        <v>4025</v>
      </c>
      <c r="K757" s="128" t="s">
        <v>4061</v>
      </c>
      <c r="L757" s="128" t="s">
        <v>4062</v>
      </c>
      <c r="M757" s="128" t="s">
        <v>4063</v>
      </c>
      <c r="N757" s="128" t="s">
        <v>4064</v>
      </c>
      <c r="O757" s="128">
        <v>650</v>
      </c>
      <c r="P757" s="128">
        <v>120</v>
      </c>
      <c r="Q757" s="128">
        <v>107</v>
      </c>
      <c r="R757" s="128">
        <v>270</v>
      </c>
      <c r="S757" s="128">
        <v>80</v>
      </c>
      <c r="T757" s="128">
        <v>80</v>
      </c>
      <c r="U757" s="128">
        <v>657</v>
      </c>
      <c r="V757" s="128" t="s">
        <v>1547</v>
      </c>
    </row>
    <row r="758" spans="1:22" x14ac:dyDescent="0.35">
      <c r="A758" s="118">
        <v>757</v>
      </c>
      <c r="B758" s="128" t="s">
        <v>169</v>
      </c>
      <c r="C758" s="128" t="s">
        <v>291</v>
      </c>
      <c r="D758" s="128" t="s">
        <v>4065</v>
      </c>
      <c r="E758" s="128" t="s">
        <v>1105</v>
      </c>
      <c r="F758" s="128">
        <v>1998</v>
      </c>
      <c r="G758" s="128">
        <v>38</v>
      </c>
      <c r="H758" s="128">
        <v>15</v>
      </c>
      <c r="I758" s="128">
        <v>53</v>
      </c>
      <c r="J758" s="128" t="s">
        <v>4025</v>
      </c>
      <c r="K758" s="128">
        <v>98.39</v>
      </c>
      <c r="L758" s="128" t="s">
        <v>1594</v>
      </c>
      <c r="M758" s="128" t="s">
        <v>4066</v>
      </c>
      <c r="N758" s="128" t="s">
        <v>4067</v>
      </c>
      <c r="O758" s="128">
        <v>705</v>
      </c>
      <c r="P758" s="128">
        <v>137</v>
      </c>
      <c r="Q758" s="128">
        <v>120</v>
      </c>
      <c r="R758" s="128">
        <v>295</v>
      </c>
      <c r="S758" s="128">
        <v>81</v>
      </c>
      <c r="T758" s="128">
        <v>81</v>
      </c>
      <c r="U758" s="128">
        <v>714</v>
      </c>
      <c r="V758" s="128" t="s">
        <v>2702</v>
      </c>
    </row>
    <row r="759" spans="1:22" x14ac:dyDescent="0.35">
      <c r="A759" s="118">
        <v>758</v>
      </c>
      <c r="B759" s="128" t="s">
        <v>169</v>
      </c>
      <c r="C759" s="128" t="s">
        <v>291</v>
      </c>
      <c r="D759" s="128" t="s">
        <v>4068</v>
      </c>
      <c r="E759" s="128" t="s">
        <v>60</v>
      </c>
      <c r="F759" s="128">
        <v>1998</v>
      </c>
      <c r="G759" s="128">
        <v>33</v>
      </c>
      <c r="H759" s="128">
        <v>9</v>
      </c>
      <c r="I759" s="128">
        <v>42</v>
      </c>
      <c r="J759" s="128" t="s">
        <v>4025</v>
      </c>
      <c r="K759" s="128">
        <v>104.59</v>
      </c>
      <c r="L759" s="128" t="s">
        <v>4069</v>
      </c>
      <c r="M759" s="128" t="s">
        <v>1530</v>
      </c>
      <c r="N759" s="128" t="s">
        <v>4070</v>
      </c>
      <c r="O759" s="128">
        <v>669</v>
      </c>
      <c r="P759" s="128">
        <v>130</v>
      </c>
      <c r="Q759" s="128">
        <v>106</v>
      </c>
      <c r="R759" s="128">
        <v>282</v>
      </c>
      <c r="S759" s="128">
        <v>76</v>
      </c>
      <c r="T759" s="128">
        <v>76</v>
      </c>
      <c r="U759" s="128">
        <v>670</v>
      </c>
      <c r="V759" s="128" t="s">
        <v>1547</v>
      </c>
    </row>
    <row r="760" spans="1:22" x14ac:dyDescent="0.35">
      <c r="A760" s="118">
        <v>759</v>
      </c>
      <c r="B760" s="128" t="s">
        <v>169</v>
      </c>
      <c r="C760" s="128" t="s">
        <v>291</v>
      </c>
      <c r="D760" s="128" t="s">
        <v>1667</v>
      </c>
      <c r="E760" s="128" t="s">
        <v>483</v>
      </c>
      <c r="F760" s="128">
        <v>1998</v>
      </c>
      <c r="G760" s="128">
        <v>42</v>
      </c>
      <c r="H760" s="128">
        <v>5</v>
      </c>
      <c r="I760" s="128">
        <v>47</v>
      </c>
      <c r="J760" s="128" t="s">
        <v>4025</v>
      </c>
      <c r="K760" s="128">
        <v>92.23</v>
      </c>
      <c r="L760" s="128" t="s">
        <v>2235</v>
      </c>
      <c r="M760" s="128" t="s">
        <v>4071</v>
      </c>
      <c r="N760" s="128" t="s">
        <v>4072</v>
      </c>
      <c r="O760" s="128">
        <v>627</v>
      </c>
      <c r="P760" s="128">
        <v>122</v>
      </c>
      <c r="Q760" s="128">
        <v>105</v>
      </c>
      <c r="R760" s="128">
        <v>258</v>
      </c>
      <c r="S760" s="128">
        <v>75</v>
      </c>
      <c r="T760" s="128">
        <v>75</v>
      </c>
      <c r="U760" s="128">
        <v>635</v>
      </c>
      <c r="V760" s="128" t="s">
        <v>1547</v>
      </c>
    </row>
    <row r="761" spans="1:22" x14ac:dyDescent="0.35">
      <c r="A761" s="118">
        <v>760</v>
      </c>
      <c r="B761" s="128" t="s">
        <v>169</v>
      </c>
      <c r="C761" s="128" t="s">
        <v>291</v>
      </c>
      <c r="D761" s="128" t="s">
        <v>2238</v>
      </c>
      <c r="E761" s="128" t="s">
        <v>1104</v>
      </c>
      <c r="F761" s="128">
        <v>1998</v>
      </c>
      <c r="G761" s="128">
        <v>92</v>
      </c>
      <c r="H761" s="128">
        <v>21</v>
      </c>
      <c r="I761" s="128">
        <v>113</v>
      </c>
      <c r="J761" s="128" t="s">
        <v>4025</v>
      </c>
      <c r="K761" s="128">
        <v>128.06</v>
      </c>
      <c r="L761" s="128" t="s">
        <v>1580</v>
      </c>
      <c r="M761" s="128" t="s">
        <v>4073</v>
      </c>
      <c r="N761" s="128" t="s">
        <v>2197</v>
      </c>
      <c r="O761" s="128">
        <v>760</v>
      </c>
      <c r="P761" s="128">
        <v>145</v>
      </c>
      <c r="Q761" s="128">
        <v>122</v>
      </c>
      <c r="R761" s="128">
        <v>312</v>
      </c>
      <c r="S761" s="128">
        <v>87</v>
      </c>
      <c r="T761" s="128">
        <v>105</v>
      </c>
      <c r="U761" s="128">
        <v>771</v>
      </c>
      <c r="V761" s="128" t="s">
        <v>2702</v>
      </c>
    </row>
    <row r="762" spans="1:22" x14ac:dyDescent="0.35">
      <c r="A762" s="118">
        <v>761</v>
      </c>
      <c r="B762" s="128" t="s">
        <v>169</v>
      </c>
      <c r="C762" s="128" t="s">
        <v>291</v>
      </c>
      <c r="D762" s="128" t="s">
        <v>4074</v>
      </c>
      <c r="E762" s="128" t="s">
        <v>488</v>
      </c>
      <c r="F762" s="128">
        <v>1998</v>
      </c>
      <c r="G762" s="128">
        <v>74</v>
      </c>
      <c r="H762" s="128">
        <v>48</v>
      </c>
      <c r="I762" s="128">
        <v>122</v>
      </c>
      <c r="J762" s="128" t="s">
        <v>4025</v>
      </c>
      <c r="K762" s="128">
        <v>97.84</v>
      </c>
      <c r="L762" s="128" t="s">
        <v>4075</v>
      </c>
      <c r="M762" s="128" t="s">
        <v>4076</v>
      </c>
      <c r="N762" s="128" t="s">
        <v>4077</v>
      </c>
      <c r="O762" s="128">
        <v>659</v>
      </c>
      <c r="P762" s="128">
        <v>125</v>
      </c>
      <c r="Q762" s="128">
        <v>110</v>
      </c>
      <c r="R762" s="128">
        <v>272</v>
      </c>
      <c r="S762" s="128">
        <v>77</v>
      </c>
      <c r="T762" s="128">
        <v>78</v>
      </c>
      <c r="U762" s="128">
        <v>662</v>
      </c>
      <c r="V762" s="128" t="s">
        <v>1547</v>
      </c>
    </row>
    <row r="763" spans="1:22" x14ac:dyDescent="0.35">
      <c r="A763" s="118">
        <v>762</v>
      </c>
      <c r="B763" s="128" t="s">
        <v>169</v>
      </c>
      <c r="C763" s="128" t="s">
        <v>291</v>
      </c>
      <c r="D763" s="128" t="s">
        <v>4078</v>
      </c>
      <c r="E763" s="128" t="s">
        <v>23</v>
      </c>
      <c r="F763" s="128">
        <v>1998</v>
      </c>
      <c r="G763" s="128">
        <v>83</v>
      </c>
      <c r="H763" s="128">
        <v>9</v>
      </c>
      <c r="I763" s="128">
        <v>92</v>
      </c>
      <c r="J763" s="128" t="s">
        <v>4025</v>
      </c>
      <c r="K763" s="128">
        <v>104.97</v>
      </c>
      <c r="L763" s="128" t="s">
        <v>1617</v>
      </c>
      <c r="M763" s="128" t="s">
        <v>4079</v>
      </c>
      <c r="N763" s="128" t="s">
        <v>1979</v>
      </c>
      <c r="O763" s="128">
        <v>767</v>
      </c>
      <c r="P763" s="128">
        <v>141</v>
      </c>
      <c r="Q763" s="128">
        <v>122</v>
      </c>
      <c r="R763" s="128">
        <v>332</v>
      </c>
      <c r="S763" s="128">
        <v>90</v>
      </c>
      <c r="T763" s="128">
        <v>90</v>
      </c>
      <c r="U763" s="128">
        <v>775</v>
      </c>
      <c r="V763" s="128" t="s">
        <v>2702</v>
      </c>
    </row>
    <row r="764" spans="1:22" x14ac:dyDescent="0.35">
      <c r="A764" s="118">
        <v>763</v>
      </c>
      <c r="B764" s="128" t="s">
        <v>169</v>
      </c>
      <c r="C764" s="128" t="s">
        <v>291</v>
      </c>
      <c r="D764" s="128" t="s">
        <v>1756</v>
      </c>
      <c r="E764" s="128" t="s">
        <v>42</v>
      </c>
      <c r="F764" s="128">
        <v>1998</v>
      </c>
      <c r="G764" s="128">
        <v>35</v>
      </c>
      <c r="H764" s="128">
        <v>17</v>
      </c>
      <c r="I764" s="128">
        <v>52</v>
      </c>
      <c r="J764" s="128" t="s">
        <v>4025</v>
      </c>
      <c r="K764" s="128">
        <v>91.28</v>
      </c>
      <c r="L764" s="128" t="s">
        <v>1908</v>
      </c>
      <c r="M764" s="128" t="s">
        <v>4080</v>
      </c>
      <c r="N764" s="128" t="s">
        <v>3027</v>
      </c>
      <c r="O764" s="128">
        <v>637</v>
      </c>
      <c r="P764" s="128">
        <v>120</v>
      </c>
      <c r="Q764" s="128">
        <v>106</v>
      </c>
      <c r="R764" s="128">
        <v>256</v>
      </c>
      <c r="S764" s="128">
        <v>80</v>
      </c>
      <c r="T764" s="128">
        <v>80</v>
      </c>
      <c r="U764" s="128">
        <v>642</v>
      </c>
      <c r="V764" s="128" t="s">
        <v>1547</v>
      </c>
    </row>
    <row r="765" spans="1:22" x14ac:dyDescent="0.35">
      <c r="A765" s="118">
        <v>764</v>
      </c>
      <c r="B765" s="128" t="s">
        <v>169</v>
      </c>
      <c r="C765" s="128" t="s">
        <v>6242</v>
      </c>
      <c r="D765" s="128" t="s">
        <v>2076</v>
      </c>
      <c r="E765" s="128" t="s">
        <v>455</v>
      </c>
      <c r="F765" s="128">
        <v>1986</v>
      </c>
      <c r="G765" s="128">
        <v>46</v>
      </c>
      <c r="H765" s="128">
        <v>8</v>
      </c>
      <c r="I765" s="128">
        <v>54</v>
      </c>
      <c r="J765" s="128" t="s">
        <v>4025</v>
      </c>
      <c r="K765" s="128">
        <v>98.9</v>
      </c>
      <c r="L765" s="128" t="s">
        <v>4081</v>
      </c>
      <c r="M765" s="128" t="s">
        <v>4082</v>
      </c>
      <c r="N765" s="128" t="s">
        <v>4083</v>
      </c>
      <c r="O765" s="128">
        <v>670</v>
      </c>
      <c r="P765" s="128">
        <v>132</v>
      </c>
      <c r="Q765" s="128">
        <v>115</v>
      </c>
      <c r="R765" s="128">
        <v>240</v>
      </c>
      <c r="S765" s="128">
        <v>90</v>
      </c>
      <c r="T765" s="128">
        <v>97</v>
      </c>
      <c r="U765" s="128">
        <v>674</v>
      </c>
      <c r="V765" s="128" t="s">
        <v>1547</v>
      </c>
    </row>
    <row r="766" spans="1:22" x14ac:dyDescent="0.35">
      <c r="A766" s="118">
        <v>765</v>
      </c>
      <c r="B766" s="128" t="s">
        <v>169</v>
      </c>
      <c r="C766" s="128" t="s">
        <v>6242</v>
      </c>
      <c r="D766" s="128" t="s">
        <v>4084</v>
      </c>
      <c r="E766" s="128" t="s">
        <v>1064</v>
      </c>
      <c r="F766" s="128">
        <v>1986</v>
      </c>
      <c r="G766" s="128">
        <v>37</v>
      </c>
      <c r="H766" s="128">
        <v>6</v>
      </c>
      <c r="I766" s="128">
        <v>43</v>
      </c>
      <c r="J766" s="128" t="s">
        <v>4025</v>
      </c>
      <c r="K766" s="128">
        <v>85.23</v>
      </c>
      <c r="L766" s="128" t="s">
        <v>4085</v>
      </c>
      <c r="M766" s="128" t="s">
        <v>4086</v>
      </c>
      <c r="N766" s="128" t="s">
        <v>4087</v>
      </c>
      <c r="O766" s="128">
        <v>582</v>
      </c>
      <c r="P766" s="128">
        <v>120</v>
      </c>
      <c r="Q766" s="128">
        <v>115</v>
      </c>
      <c r="R766" s="128">
        <v>282</v>
      </c>
      <c r="S766" s="128">
        <v>65</v>
      </c>
      <c r="T766" s="128">
        <v>70</v>
      </c>
      <c r="U766" s="128">
        <v>652</v>
      </c>
      <c r="V766" s="128" t="s">
        <v>1547</v>
      </c>
    </row>
    <row r="767" spans="1:22" x14ac:dyDescent="0.35">
      <c r="A767" s="118">
        <v>766</v>
      </c>
      <c r="B767" s="128" t="s">
        <v>169</v>
      </c>
      <c r="C767" s="128" t="s">
        <v>6242</v>
      </c>
      <c r="D767" s="128" t="s">
        <v>4088</v>
      </c>
      <c r="E767" s="128" t="s">
        <v>472</v>
      </c>
      <c r="F767" s="128">
        <v>1986</v>
      </c>
      <c r="G767" s="128">
        <v>78</v>
      </c>
      <c r="H767" s="128">
        <v>9</v>
      </c>
      <c r="I767" s="128">
        <v>87</v>
      </c>
      <c r="J767" s="128" t="s">
        <v>4025</v>
      </c>
      <c r="K767" s="128">
        <v>91.84</v>
      </c>
      <c r="L767" s="128" t="s">
        <v>1678</v>
      </c>
      <c r="M767" s="128" t="s">
        <v>1530</v>
      </c>
      <c r="N767" s="128" t="s">
        <v>4089</v>
      </c>
      <c r="O767" s="128">
        <v>651</v>
      </c>
      <c r="P767" s="128">
        <v>131</v>
      </c>
      <c r="Q767" s="128">
        <v>115</v>
      </c>
      <c r="R767" s="128">
        <v>282</v>
      </c>
      <c r="S767" s="128">
        <v>65</v>
      </c>
      <c r="T767" s="128">
        <v>70</v>
      </c>
      <c r="U767" s="128">
        <v>663</v>
      </c>
      <c r="V767" s="128" t="s">
        <v>1547</v>
      </c>
    </row>
    <row r="768" spans="1:22" x14ac:dyDescent="0.35">
      <c r="A768" s="118">
        <v>767</v>
      </c>
      <c r="B768" s="128" t="s">
        <v>169</v>
      </c>
      <c r="C768" s="128" t="s">
        <v>6242</v>
      </c>
      <c r="D768" s="128" t="s">
        <v>1667</v>
      </c>
      <c r="E768" s="128" t="s">
        <v>1067</v>
      </c>
      <c r="F768" s="128">
        <v>1986</v>
      </c>
      <c r="G768" s="128">
        <v>109</v>
      </c>
      <c r="H768" s="128">
        <v>16</v>
      </c>
      <c r="I768" s="128">
        <v>125</v>
      </c>
      <c r="J768" s="128" t="s">
        <v>4025</v>
      </c>
      <c r="K768" s="128">
        <v>98.39</v>
      </c>
      <c r="L768" s="128" t="s">
        <v>4090</v>
      </c>
      <c r="M768" s="128" t="s">
        <v>4091</v>
      </c>
      <c r="N768" s="128" t="s">
        <v>2590</v>
      </c>
      <c r="O768" s="128">
        <v>651</v>
      </c>
      <c r="P768" s="128">
        <v>131</v>
      </c>
      <c r="Q768" s="128">
        <v>115</v>
      </c>
      <c r="R768" s="128">
        <v>282</v>
      </c>
      <c r="S768" s="128">
        <v>65</v>
      </c>
      <c r="T768" s="128">
        <v>70</v>
      </c>
      <c r="U768" s="128">
        <v>663</v>
      </c>
      <c r="V768" s="128" t="s">
        <v>1547</v>
      </c>
    </row>
    <row r="769" spans="1:22" x14ac:dyDescent="0.35">
      <c r="A769" s="118">
        <v>768</v>
      </c>
      <c r="B769" s="128" t="s">
        <v>169</v>
      </c>
      <c r="C769" s="128" t="s">
        <v>6242</v>
      </c>
      <c r="D769" s="128" t="s">
        <v>2087</v>
      </c>
      <c r="E769" s="128" t="s">
        <v>1065</v>
      </c>
      <c r="F769" s="128">
        <v>1986</v>
      </c>
      <c r="G769" s="128">
        <v>66</v>
      </c>
      <c r="H769" s="128">
        <v>11</v>
      </c>
      <c r="I769" s="128">
        <v>77</v>
      </c>
      <c r="J769" s="128" t="s">
        <v>4025</v>
      </c>
      <c r="K769" s="128">
        <v>85.28</v>
      </c>
      <c r="L769" s="128" t="s">
        <v>4092</v>
      </c>
      <c r="M769" s="128" t="s">
        <v>4093</v>
      </c>
      <c r="N769" s="128" t="s">
        <v>4094</v>
      </c>
      <c r="O769" s="128">
        <v>809</v>
      </c>
      <c r="P769" s="128">
        <v>168</v>
      </c>
      <c r="Q769" s="128">
        <v>135</v>
      </c>
      <c r="R769" s="128">
        <v>356</v>
      </c>
      <c r="S769" s="128">
        <v>90</v>
      </c>
      <c r="T769" s="128">
        <v>100</v>
      </c>
      <c r="U769" s="128">
        <v>849</v>
      </c>
      <c r="V769" s="128" t="s">
        <v>2702</v>
      </c>
    </row>
    <row r="770" spans="1:22" x14ac:dyDescent="0.35">
      <c r="A770" s="118">
        <v>769</v>
      </c>
      <c r="B770" s="128" t="s">
        <v>169</v>
      </c>
      <c r="C770" s="128" t="s">
        <v>6242</v>
      </c>
      <c r="D770" s="128" t="s">
        <v>4095</v>
      </c>
      <c r="E770" s="128" t="s">
        <v>1066</v>
      </c>
      <c r="F770" s="128">
        <v>1986</v>
      </c>
      <c r="G770" s="128">
        <v>115</v>
      </c>
      <c r="H770" s="128">
        <v>12</v>
      </c>
      <c r="I770" s="128">
        <v>127</v>
      </c>
      <c r="J770" s="128" t="s">
        <v>4025</v>
      </c>
      <c r="K770" s="128">
        <v>128.06</v>
      </c>
      <c r="L770" s="128" t="s">
        <v>4096</v>
      </c>
      <c r="M770" s="128" t="s">
        <v>4097</v>
      </c>
      <c r="N770" s="128" t="s">
        <v>3065</v>
      </c>
      <c r="O770" s="128">
        <v>651</v>
      </c>
      <c r="P770" s="128">
        <v>131</v>
      </c>
      <c r="Q770" s="128">
        <v>115</v>
      </c>
      <c r="R770" s="128">
        <v>282</v>
      </c>
      <c r="S770" s="128">
        <v>65</v>
      </c>
      <c r="T770" s="128">
        <v>70</v>
      </c>
      <c r="U770" s="128">
        <v>663</v>
      </c>
      <c r="V770" s="128" t="s">
        <v>1547</v>
      </c>
    </row>
    <row r="771" spans="1:22" x14ac:dyDescent="0.35">
      <c r="A771" s="118">
        <v>770</v>
      </c>
      <c r="B771" s="128" t="s">
        <v>169</v>
      </c>
      <c r="C771" s="128" t="s">
        <v>6242</v>
      </c>
      <c r="D771" s="128" t="s">
        <v>1762</v>
      </c>
      <c r="E771" s="128" t="s">
        <v>498</v>
      </c>
      <c r="F771" s="128">
        <v>1986</v>
      </c>
      <c r="G771" s="128">
        <v>37</v>
      </c>
      <c r="H771" s="128">
        <v>6</v>
      </c>
      <c r="I771" s="128">
        <v>43</v>
      </c>
      <c r="J771" s="128" t="s">
        <v>4025</v>
      </c>
      <c r="K771" s="128">
        <v>104.97</v>
      </c>
      <c r="L771" s="128" t="s">
        <v>2253</v>
      </c>
      <c r="M771" s="128" t="s">
        <v>1626</v>
      </c>
      <c r="N771" s="128" t="s">
        <v>2217</v>
      </c>
      <c r="O771" s="128">
        <v>651</v>
      </c>
      <c r="P771" s="128">
        <v>131</v>
      </c>
      <c r="Q771" s="128">
        <v>115</v>
      </c>
      <c r="R771" s="128">
        <v>282</v>
      </c>
      <c r="S771" s="128">
        <v>65</v>
      </c>
      <c r="T771" s="128">
        <v>70</v>
      </c>
      <c r="U771" s="128">
        <v>663</v>
      </c>
      <c r="V771" s="128" t="s">
        <v>1547</v>
      </c>
    </row>
    <row r="772" spans="1:22" x14ac:dyDescent="0.35">
      <c r="A772" s="118">
        <v>771</v>
      </c>
      <c r="B772" s="128" t="s">
        <v>169</v>
      </c>
      <c r="C772" s="128" t="s">
        <v>6242</v>
      </c>
      <c r="D772" s="128" t="s">
        <v>4098</v>
      </c>
      <c r="E772" s="128" t="s">
        <v>1063</v>
      </c>
      <c r="F772" s="128">
        <v>1986</v>
      </c>
      <c r="G772" s="128">
        <v>42</v>
      </c>
      <c r="H772" s="128">
        <v>5</v>
      </c>
      <c r="I772" s="128">
        <v>47</v>
      </c>
      <c r="J772" s="128" t="s">
        <v>4025</v>
      </c>
      <c r="K772" s="128">
        <v>134.55000000000001</v>
      </c>
      <c r="L772" s="128" t="s">
        <v>1969</v>
      </c>
      <c r="M772" s="128" t="s">
        <v>4099</v>
      </c>
      <c r="N772" s="128" t="s">
        <v>1638</v>
      </c>
      <c r="O772" s="128">
        <v>651</v>
      </c>
      <c r="P772" s="128">
        <v>131</v>
      </c>
      <c r="Q772" s="128">
        <v>115</v>
      </c>
      <c r="R772" s="128">
        <v>282</v>
      </c>
      <c r="S772" s="128">
        <v>65</v>
      </c>
      <c r="T772" s="128">
        <v>70</v>
      </c>
      <c r="U772" s="128">
        <v>663</v>
      </c>
      <c r="V772" s="128" t="s">
        <v>1547</v>
      </c>
    </row>
    <row r="773" spans="1:22" x14ac:dyDescent="0.35">
      <c r="A773" s="118">
        <v>772</v>
      </c>
      <c r="B773" s="128" t="s">
        <v>169</v>
      </c>
      <c r="C773" s="128" t="s">
        <v>6242</v>
      </c>
      <c r="D773" s="128" t="s">
        <v>2087</v>
      </c>
      <c r="E773" s="128" t="s">
        <v>4100</v>
      </c>
      <c r="F773" s="128">
        <v>2013</v>
      </c>
      <c r="G773" s="128">
        <v>66</v>
      </c>
      <c r="H773" s="128">
        <v>7</v>
      </c>
      <c r="I773" s="128">
        <v>73</v>
      </c>
      <c r="J773" s="128" t="s">
        <v>4025</v>
      </c>
      <c r="K773" s="128">
        <v>51.22</v>
      </c>
      <c r="L773" s="128" t="s">
        <v>4101</v>
      </c>
      <c r="M773" s="128" t="s">
        <v>1670</v>
      </c>
      <c r="N773" s="128" t="s">
        <v>4102</v>
      </c>
      <c r="O773" s="128">
        <v>651</v>
      </c>
      <c r="P773" s="128">
        <v>131</v>
      </c>
      <c r="Q773" s="128">
        <v>115</v>
      </c>
      <c r="R773" s="128">
        <v>282</v>
      </c>
      <c r="S773" s="128">
        <v>65</v>
      </c>
      <c r="T773" s="128">
        <v>70</v>
      </c>
      <c r="U773" s="128">
        <v>663</v>
      </c>
      <c r="V773" s="128" t="s">
        <v>1547</v>
      </c>
    </row>
    <row r="774" spans="1:22" x14ac:dyDescent="0.35">
      <c r="A774" s="118">
        <v>773</v>
      </c>
      <c r="B774" s="128" t="s">
        <v>169</v>
      </c>
      <c r="C774" s="128" t="s">
        <v>282</v>
      </c>
      <c r="D774" s="128" t="s">
        <v>3593</v>
      </c>
      <c r="E774" s="128" t="s">
        <v>389</v>
      </c>
      <c r="F774" s="128">
        <v>1989</v>
      </c>
      <c r="G774" s="128">
        <v>50</v>
      </c>
      <c r="H774" s="128">
        <v>22</v>
      </c>
      <c r="I774" s="128">
        <v>72</v>
      </c>
      <c r="J774" s="128" t="s">
        <v>2751</v>
      </c>
      <c r="K774" s="128" t="s">
        <v>4103</v>
      </c>
      <c r="L774" s="128" t="s">
        <v>4104</v>
      </c>
      <c r="M774" s="128" t="s">
        <v>4105</v>
      </c>
      <c r="N774" s="128" t="s">
        <v>4106</v>
      </c>
      <c r="O774" s="128">
        <v>745</v>
      </c>
      <c r="P774" s="128">
        <v>147</v>
      </c>
      <c r="Q774" s="128">
        <v>121</v>
      </c>
      <c r="R774" s="128">
        <v>330</v>
      </c>
      <c r="S774" s="128">
        <v>84</v>
      </c>
      <c r="T774" s="128">
        <v>86</v>
      </c>
      <c r="U774" s="128">
        <v>768</v>
      </c>
      <c r="V774" s="128" t="s">
        <v>2702</v>
      </c>
    </row>
    <row r="775" spans="1:22" x14ac:dyDescent="0.35">
      <c r="A775" s="118">
        <v>774</v>
      </c>
      <c r="B775" s="128" t="s">
        <v>169</v>
      </c>
      <c r="C775" s="128" t="s">
        <v>282</v>
      </c>
      <c r="D775" s="128" t="s">
        <v>4107</v>
      </c>
      <c r="E775" s="128" t="s">
        <v>4108</v>
      </c>
      <c r="F775" s="128">
        <v>1989</v>
      </c>
      <c r="G775" s="128">
        <v>136</v>
      </c>
      <c r="H775" s="128">
        <v>83</v>
      </c>
      <c r="I775" s="128">
        <v>219</v>
      </c>
      <c r="J775" s="128" t="s">
        <v>4109</v>
      </c>
      <c r="K775" s="128" t="s">
        <v>4110</v>
      </c>
      <c r="L775" s="128" t="s">
        <v>4111</v>
      </c>
      <c r="M775" s="128" t="s">
        <v>4112</v>
      </c>
      <c r="N775" s="128" t="s">
        <v>4113</v>
      </c>
      <c r="O775" s="128">
        <v>710</v>
      </c>
      <c r="P775" s="128">
        <v>140</v>
      </c>
      <c r="Q775" s="128">
        <v>123</v>
      </c>
      <c r="R775" s="128">
        <v>307</v>
      </c>
      <c r="S775" s="128">
        <v>83</v>
      </c>
      <c r="T775" s="128">
        <v>83</v>
      </c>
      <c r="U775" s="128">
        <v>736</v>
      </c>
      <c r="V775" s="128" t="s">
        <v>2702</v>
      </c>
    </row>
    <row r="776" spans="1:22" x14ac:dyDescent="0.35">
      <c r="A776" s="118">
        <v>775</v>
      </c>
      <c r="B776" s="128" t="s">
        <v>169</v>
      </c>
      <c r="C776" s="128" t="s">
        <v>282</v>
      </c>
      <c r="D776" s="128" t="s">
        <v>2391</v>
      </c>
      <c r="E776" s="128" t="s">
        <v>354</v>
      </c>
      <c r="F776" s="128">
        <v>1989</v>
      </c>
      <c r="G776" s="128">
        <v>28</v>
      </c>
      <c r="H776" s="128">
        <v>5</v>
      </c>
      <c r="I776" s="128">
        <v>33</v>
      </c>
      <c r="J776" s="128" t="s">
        <v>2751</v>
      </c>
      <c r="K776" s="128">
        <v>74.209999999999994</v>
      </c>
      <c r="L776" s="128" t="s">
        <v>4114</v>
      </c>
      <c r="M776" s="128" t="s">
        <v>4115</v>
      </c>
      <c r="N776" s="128" t="s">
        <v>4116</v>
      </c>
      <c r="O776" s="128">
        <v>680</v>
      </c>
      <c r="P776" s="128">
        <v>131</v>
      </c>
      <c r="Q776" s="128">
        <v>112</v>
      </c>
      <c r="R776" s="128">
        <v>288</v>
      </c>
      <c r="S776" s="128">
        <v>76</v>
      </c>
      <c r="T776" s="128">
        <v>80</v>
      </c>
      <c r="U776" s="128">
        <v>687</v>
      </c>
      <c r="V776" s="128" t="s">
        <v>1547</v>
      </c>
    </row>
    <row r="777" spans="1:22" x14ac:dyDescent="0.35">
      <c r="A777" s="118">
        <v>776</v>
      </c>
      <c r="B777" s="128" t="s">
        <v>169</v>
      </c>
      <c r="C777" s="128" t="s">
        <v>282</v>
      </c>
      <c r="D777" s="128" t="s">
        <v>4117</v>
      </c>
      <c r="E777" s="128" t="s">
        <v>407</v>
      </c>
      <c r="F777" s="128">
        <v>1990</v>
      </c>
      <c r="G777" s="128">
        <v>117</v>
      </c>
      <c r="H777" s="128">
        <v>28</v>
      </c>
      <c r="I777" s="128">
        <v>145</v>
      </c>
      <c r="J777" s="128" t="s">
        <v>2751</v>
      </c>
      <c r="K777" s="128" t="s">
        <v>4118</v>
      </c>
      <c r="L777" s="128" t="s">
        <v>4119</v>
      </c>
      <c r="M777" s="128" t="s">
        <v>4120</v>
      </c>
      <c r="N777" s="128" t="s">
        <v>4121</v>
      </c>
      <c r="O777" s="128">
        <v>630</v>
      </c>
      <c r="P777" s="128">
        <v>124</v>
      </c>
      <c r="Q777" s="128">
        <v>102</v>
      </c>
      <c r="R777" s="128">
        <v>273</v>
      </c>
      <c r="S777" s="128">
        <v>72</v>
      </c>
      <c r="T777" s="128">
        <v>72</v>
      </c>
      <c r="U777" s="128">
        <v>643</v>
      </c>
      <c r="V777" s="128" t="s">
        <v>1547</v>
      </c>
    </row>
    <row r="778" spans="1:22" x14ac:dyDescent="0.35">
      <c r="A778" s="118">
        <v>777</v>
      </c>
      <c r="B778" s="128" t="s">
        <v>169</v>
      </c>
      <c r="C778" s="128" t="s">
        <v>282</v>
      </c>
      <c r="D778" s="128" t="s">
        <v>4122</v>
      </c>
      <c r="E778" s="128" t="s">
        <v>4123</v>
      </c>
      <c r="F778" s="128">
        <v>1989</v>
      </c>
      <c r="G778" s="128">
        <v>83</v>
      </c>
      <c r="H778" s="128">
        <v>11</v>
      </c>
      <c r="I778" s="128">
        <v>94</v>
      </c>
      <c r="J778" s="128" t="s">
        <v>2751</v>
      </c>
      <c r="K778" s="128" t="s">
        <v>4124</v>
      </c>
      <c r="L778" s="128" t="s">
        <v>4125</v>
      </c>
      <c r="M778" s="128" t="s">
        <v>3072</v>
      </c>
      <c r="N778" s="128" t="s">
        <v>4126</v>
      </c>
      <c r="O778" s="128">
        <v>675</v>
      </c>
      <c r="P778" s="128">
        <v>130</v>
      </c>
      <c r="Q778" s="128">
        <v>115</v>
      </c>
      <c r="R778" s="128">
        <v>295</v>
      </c>
      <c r="S778" s="128">
        <v>68</v>
      </c>
      <c r="T778" s="128">
        <v>76</v>
      </c>
      <c r="U778" s="128">
        <v>684</v>
      </c>
      <c r="V778" s="128" t="s">
        <v>1547</v>
      </c>
    </row>
    <row r="779" spans="1:22" x14ac:dyDescent="0.35">
      <c r="A779" s="118">
        <v>778</v>
      </c>
      <c r="B779" s="128" t="s">
        <v>169</v>
      </c>
      <c r="C779" s="128" t="s">
        <v>282</v>
      </c>
      <c r="D779" s="128" t="s">
        <v>4127</v>
      </c>
      <c r="E779" s="128" t="s">
        <v>4128</v>
      </c>
      <c r="F779" s="128">
        <v>1990</v>
      </c>
      <c r="G779" s="128">
        <v>96</v>
      </c>
      <c r="H779" s="128">
        <v>21</v>
      </c>
      <c r="I779" s="128">
        <v>117</v>
      </c>
      <c r="J779" s="128" t="s">
        <v>4109</v>
      </c>
      <c r="K779" s="128" t="s">
        <v>4129</v>
      </c>
      <c r="L779" s="128" t="s">
        <v>4130</v>
      </c>
      <c r="M779" s="128" t="s">
        <v>4131</v>
      </c>
      <c r="N779" s="128" t="s">
        <v>4132</v>
      </c>
      <c r="O779" s="128">
        <v>635</v>
      </c>
      <c r="P779" s="128">
        <v>128</v>
      </c>
      <c r="Q779" s="128">
        <v>113</v>
      </c>
      <c r="R779" s="128">
        <v>274</v>
      </c>
      <c r="S779" s="128">
        <v>72</v>
      </c>
      <c r="T779" s="128">
        <v>62</v>
      </c>
      <c r="U779" s="128">
        <v>649</v>
      </c>
      <c r="V779" s="128" t="s">
        <v>1547</v>
      </c>
    </row>
    <row r="780" spans="1:22" x14ac:dyDescent="0.35">
      <c r="A780" s="118">
        <v>779</v>
      </c>
      <c r="B780" s="128" t="s">
        <v>169</v>
      </c>
      <c r="C780" s="128" t="s">
        <v>282</v>
      </c>
      <c r="D780" s="128" t="s">
        <v>4133</v>
      </c>
      <c r="E780" s="128" t="s">
        <v>4134</v>
      </c>
      <c r="F780" s="128">
        <v>1989</v>
      </c>
      <c r="G780" s="128">
        <v>84</v>
      </c>
      <c r="H780" s="128">
        <v>12</v>
      </c>
      <c r="I780" s="128">
        <v>96</v>
      </c>
      <c r="J780" s="128" t="s">
        <v>2751</v>
      </c>
      <c r="K780" s="128" t="s">
        <v>4135</v>
      </c>
      <c r="L780" s="128" t="s">
        <v>4136</v>
      </c>
      <c r="M780" s="128" t="s">
        <v>4137</v>
      </c>
      <c r="N780" s="128" t="s">
        <v>4138</v>
      </c>
      <c r="O780" s="128">
        <v>635</v>
      </c>
      <c r="P780" s="128">
        <v>128</v>
      </c>
      <c r="Q780" s="128">
        <v>113</v>
      </c>
      <c r="R780" s="128">
        <v>274</v>
      </c>
      <c r="S780" s="128">
        <v>72</v>
      </c>
      <c r="T780" s="128">
        <v>63</v>
      </c>
      <c r="U780" s="128">
        <v>650</v>
      </c>
      <c r="V780" s="128" t="s">
        <v>1547</v>
      </c>
    </row>
    <row r="781" spans="1:22" x14ac:dyDescent="0.35">
      <c r="A781" s="118">
        <v>780</v>
      </c>
      <c r="B781" s="128" t="s">
        <v>169</v>
      </c>
      <c r="C781" s="128" t="s">
        <v>282</v>
      </c>
      <c r="D781" s="128" t="s">
        <v>4139</v>
      </c>
      <c r="E781" s="128" t="s">
        <v>2675</v>
      </c>
      <c r="F781" s="128">
        <v>1990</v>
      </c>
      <c r="G781" s="128">
        <v>128</v>
      </c>
      <c r="H781" s="128">
        <v>23</v>
      </c>
      <c r="I781" s="128">
        <v>151</v>
      </c>
      <c r="J781" s="128" t="s">
        <v>2751</v>
      </c>
      <c r="K781" s="128" t="s">
        <v>4140</v>
      </c>
      <c r="L781" s="128" t="s">
        <v>4141</v>
      </c>
      <c r="M781" s="128" t="s">
        <v>4142</v>
      </c>
      <c r="N781" s="128" t="s">
        <v>4143</v>
      </c>
      <c r="O781" s="128">
        <v>645</v>
      </c>
      <c r="P781" s="128">
        <v>128</v>
      </c>
      <c r="Q781" s="128">
        <v>112</v>
      </c>
      <c r="R781" s="128">
        <v>276</v>
      </c>
      <c r="S781" s="128">
        <v>71</v>
      </c>
      <c r="T781" s="128">
        <v>72</v>
      </c>
      <c r="U781" s="128">
        <v>659</v>
      </c>
      <c r="V781" s="128" t="s">
        <v>1547</v>
      </c>
    </row>
    <row r="782" spans="1:22" x14ac:dyDescent="0.35">
      <c r="A782" s="118">
        <v>781</v>
      </c>
      <c r="B782" s="128" t="s">
        <v>169</v>
      </c>
      <c r="C782" s="128" t="s">
        <v>282</v>
      </c>
      <c r="D782" s="128" t="s">
        <v>4144</v>
      </c>
      <c r="E782" s="128" t="s">
        <v>1255</v>
      </c>
      <c r="F782" s="128">
        <v>1989</v>
      </c>
      <c r="G782" s="128">
        <v>126</v>
      </c>
      <c r="H782" s="128">
        <v>36</v>
      </c>
      <c r="I782" s="128">
        <v>162</v>
      </c>
      <c r="J782" s="128" t="s">
        <v>2751</v>
      </c>
      <c r="K782" s="128" t="s">
        <v>4145</v>
      </c>
      <c r="L782" s="128" t="s">
        <v>4146</v>
      </c>
      <c r="M782" s="128" t="s">
        <v>4147</v>
      </c>
      <c r="N782" s="128" t="s">
        <v>1530</v>
      </c>
      <c r="O782" s="128">
        <v>765</v>
      </c>
      <c r="P782" s="128">
        <v>144</v>
      </c>
      <c r="Q782" s="128">
        <v>132</v>
      </c>
      <c r="R782" s="128">
        <v>322</v>
      </c>
      <c r="S782" s="128">
        <v>92</v>
      </c>
      <c r="T782" s="128">
        <v>92</v>
      </c>
      <c r="U782" s="128">
        <v>782</v>
      </c>
      <c r="V782" s="128" t="s">
        <v>2702</v>
      </c>
    </row>
    <row r="783" spans="1:22" x14ac:dyDescent="0.35">
      <c r="A783" s="118">
        <v>782</v>
      </c>
      <c r="B783" s="128" t="s">
        <v>169</v>
      </c>
      <c r="C783" s="128" t="s">
        <v>282</v>
      </c>
      <c r="D783" s="128" t="s">
        <v>2722</v>
      </c>
      <c r="E783" s="128" t="s">
        <v>4148</v>
      </c>
      <c r="F783" s="128">
        <v>1990</v>
      </c>
      <c r="G783" s="128">
        <v>165</v>
      </c>
      <c r="H783" s="128">
        <v>62</v>
      </c>
      <c r="I783" s="128">
        <v>227</v>
      </c>
      <c r="J783" s="128" t="s">
        <v>4109</v>
      </c>
      <c r="K783" s="128">
        <v>86.6</v>
      </c>
      <c r="L783" s="128" t="s">
        <v>1623</v>
      </c>
      <c r="M783" s="128" t="s">
        <v>4149</v>
      </c>
      <c r="N783" s="128" t="s">
        <v>1536</v>
      </c>
      <c r="O783" s="128">
        <v>635</v>
      </c>
      <c r="P783" s="128">
        <v>128</v>
      </c>
      <c r="Q783" s="128">
        <v>109</v>
      </c>
      <c r="R783" s="128">
        <v>283</v>
      </c>
      <c r="S783" s="128">
        <v>70</v>
      </c>
      <c r="T783" s="128">
        <v>63</v>
      </c>
      <c r="U783" s="128">
        <v>653</v>
      </c>
      <c r="V783" s="128" t="s">
        <v>1547</v>
      </c>
    </row>
    <row r="784" spans="1:22" x14ac:dyDescent="0.35">
      <c r="A784" s="118">
        <v>783</v>
      </c>
      <c r="B784" s="128" t="s">
        <v>169</v>
      </c>
      <c r="C784" s="128" t="s">
        <v>6247</v>
      </c>
      <c r="D784" s="128" t="s">
        <v>4151</v>
      </c>
      <c r="E784" s="128" t="s">
        <v>112</v>
      </c>
      <c r="F784" s="128">
        <v>1985</v>
      </c>
      <c r="G784" s="128">
        <v>111</v>
      </c>
      <c r="H784" s="128">
        <v>41</v>
      </c>
      <c r="I784" s="128">
        <v>152</v>
      </c>
      <c r="J784" s="128" t="s">
        <v>2751</v>
      </c>
      <c r="K784" s="128">
        <v>75.33</v>
      </c>
      <c r="L784" s="128" t="s">
        <v>4152</v>
      </c>
      <c r="M784" s="128" t="s">
        <v>4153</v>
      </c>
      <c r="N784" s="128" t="s">
        <v>1577</v>
      </c>
      <c r="O784" s="128">
        <v>765</v>
      </c>
      <c r="P784" s="128">
        <v>157</v>
      </c>
      <c r="Q784" s="128">
        <v>126</v>
      </c>
      <c r="R784" s="128">
        <v>335</v>
      </c>
      <c r="S784" s="128">
        <v>87</v>
      </c>
      <c r="T784" s="128">
        <v>86</v>
      </c>
      <c r="U784" s="128">
        <v>791</v>
      </c>
      <c r="V784" s="128" t="s">
        <v>2702</v>
      </c>
    </row>
    <row r="785" spans="1:22" x14ac:dyDescent="0.35">
      <c r="A785" s="118">
        <v>784</v>
      </c>
      <c r="B785" s="128" t="s">
        <v>169</v>
      </c>
      <c r="C785" s="128" t="s">
        <v>6247</v>
      </c>
      <c r="D785" s="128" t="s">
        <v>4154</v>
      </c>
      <c r="E785" s="128" t="s">
        <v>3980</v>
      </c>
      <c r="F785" s="128">
        <v>1991</v>
      </c>
      <c r="G785" s="128">
        <v>85</v>
      </c>
      <c r="H785" s="128">
        <v>22</v>
      </c>
      <c r="I785" s="128">
        <v>107</v>
      </c>
      <c r="J785" s="128" t="s">
        <v>2751</v>
      </c>
      <c r="K785" s="128">
        <v>82.06</v>
      </c>
      <c r="L785" s="128" t="s">
        <v>4155</v>
      </c>
      <c r="M785" s="128" t="s">
        <v>4156</v>
      </c>
      <c r="N785" s="128" t="s">
        <v>2474</v>
      </c>
      <c r="O785" s="128">
        <v>750</v>
      </c>
      <c r="P785" s="128">
        <v>143</v>
      </c>
      <c r="Q785" s="128">
        <v>131</v>
      </c>
      <c r="R785" s="128">
        <v>316</v>
      </c>
      <c r="S785" s="128">
        <v>86</v>
      </c>
      <c r="T785" s="128">
        <v>93</v>
      </c>
      <c r="U785" s="128">
        <v>769</v>
      </c>
      <c r="V785" s="128" t="s">
        <v>2702</v>
      </c>
    </row>
    <row r="786" spans="1:22" x14ac:dyDescent="0.35">
      <c r="A786" s="118">
        <v>785</v>
      </c>
      <c r="B786" s="128" t="s">
        <v>169</v>
      </c>
      <c r="C786" s="128" t="s">
        <v>6247</v>
      </c>
      <c r="D786" s="128" t="s">
        <v>4157</v>
      </c>
      <c r="E786" s="128" t="s">
        <v>4158</v>
      </c>
      <c r="F786" s="128">
        <v>1981</v>
      </c>
      <c r="G786" s="128">
        <v>96</v>
      </c>
      <c r="H786" s="128">
        <v>23</v>
      </c>
      <c r="I786" s="128">
        <v>119</v>
      </c>
      <c r="J786" s="128" t="s">
        <v>2751</v>
      </c>
      <c r="K786" s="128">
        <v>74.209999999999994</v>
      </c>
      <c r="L786" s="128" t="s">
        <v>4159</v>
      </c>
      <c r="M786" s="128" t="s">
        <v>4160</v>
      </c>
      <c r="N786" s="128" t="s">
        <v>1559</v>
      </c>
      <c r="O786" s="128">
        <v>765</v>
      </c>
      <c r="P786" s="128">
        <v>151</v>
      </c>
      <c r="Q786" s="128">
        <v>136</v>
      </c>
      <c r="R786" s="128">
        <v>324</v>
      </c>
      <c r="S786" s="128">
        <v>86</v>
      </c>
      <c r="T786" s="128">
        <v>92</v>
      </c>
      <c r="U786" s="128">
        <v>789</v>
      </c>
      <c r="V786" s="128" t="s">
        <v>2702</v>
      </c>
    </row>
    <row r="787" spans="1:22" x14ac:dyDescent="0.35">
      <c r="A787" s="118">
        <v>786</v>
      </c>
      <c r="B787" s="128" t="s">
        <v>169</v>
      </c>
      <c r="C787" s="128" t="s">
        <v>6247</v>
      </c>
      <c r="D787" s="128" t="s">
        <v>3137</v>
      </c>
      <c r="E787" s="128" t="s">
        <v>4161</v>
      </c>
      <c r="F787" s="128">
        <v>1984</v>
      </c>
      <c r="G787" s="128">
        <v>160</v>
      </c>
      <c r="H787" s="128">
        <v>75</v>
      </c>
      <c r="I787" s="128">
        <v>235</v>
      </c>
      <c r="J787" s="128" t="s">
        <v>2751</v>
      </c>
      <c r="K787" s="128">
        <v>111.91</v>
      </c>
      <c r="L787" s="128" t="s">
        <v>4162</v>
      </c>
      <c r="M787" s="128" t="s">
        <v>1997</v>
      </c>
      <c r="N787" s="128" t="s">
        <v>2910</v>
      </c>
      <c r="O787" s="128">
        <v>705</v>
      </c>
      <c r="P787" s="128">
        <v>143</v>
      </c>
      <c r="Q787" s="128">
        <v>124</v>
      </c>
      <c r="R787" s="128">
        <v>310</v>
      </c>
      <c r="S787" s="128">
        <v>85</v>
      </c>
      <c r="T787" s="128">
        <v>83</v>
      </c>
      <c r="U787" s="128">
        <v>745</v>
      </c>
      <c r="V787" s="128" t="s">
        <v>2702</v>
      </c>
    </row>
    <row r="788" spans="1:22" x14ac:dyDescent="0.35">
      <c r="A788" s="118">
        <v>787</v>
      </c>
      <c r="B788" s="128" t="s">
        <v>169</v>
      </c>
      <c r="C788" s="128" t="s">
        <v>6247</v>
      </c>
      <c r="D788" s="128" t="s">
        <v>4163</v>
      </c>
      <c r="E788" s="128" t="s">
        <v>4164</v>
      </c>
      <c r="F788" s="128">
        <v>1982</v>
      </c>
      <c r="G788" s="128">
        <v>69</v>
      </c>
      <c r="H788" s="128">
        <v>29</v>
      </c>
      <c r="I788" s="128">
        <v>98</v>
      </c>
      <c r="J788" s="128" t="s">
        <v>2751</v>
      </c>
      <c r="K788" s="128" t="s">
        <v>4165</v>
      </c>
      <c r="L788" s="128" t="s">
        <v>4166</v>
      </c>
      <c r="M788" s="128" t="s">
        <v>2926</v>
      </c>
      <c r="N788" s="128" t="s">
        <v>1626</v>
      </c>
      <c r="O788" s="128">
        <v>690</v>
      </c>
      <c r="P788" s="128">
        <v>130</v>
      </c>
      <c r="Q788" s="128">
        <v>115</v>
      </c>
      <c r="R788" s="128">
        <v>295</v>
      </c>
      <c r="S788" s="128">
        <v>80</v>
      </c>
      <c r="T788" s="128">
        <v>76</v>
      </c>
      <c r="U788" s="128">
        <v>696</v>
      </c>
      <c r="V788" s="128" t="s">
        <v>1547</v>
      </c>
    </row>
    <row r="789" spans="1:22" x14ac:dyDescent="0.35">
      <c r="A789" s="118">
        <v>788</v>
      </c>
      <c r="B789" s="128" t="s">
        <v>169</v>
      </c>
      <c r="C789" s="128" t="s">
        <v>6247</v>
      </c>
      <c r="D789" s="128" t="s">
        <v>2848</v>
      </c>
      <c r="E789" s="128" t="s">
        <v>401</v>
      </c>
      <c r="F789" s="128">
        <v>1993</v>
      </c>
      <c r="G789" s="128">
        <v>48</v>
      </c>
      <c r="H789" s="128">
        <v>15</v>
      </c>
      <c r="I789" s="128">
        <v>63</v>
      </c>
      <c r="J789" s="128" t="s">
        <v>2751</v>
      </c>
      <c r="K789" s="128" t="s">
        <v>4167</v>
      </c>
      <c r="L789" s="128" t="s">
        <v>4168</v>
      </c>
      <c r="M789" s="128" t="s">
        <v>1699</v>
      </c>
      <c r="N789" s="128" t="s">
        <v>4169</v>
      </c>
      <c r="O789" s="128">
        <v>675</v>
      </c>
      <c r="P789" s="128">
        <v>128</v>
      </c>
      <c r="Q789" s="128">
        <v>113</v>
      </c>
      <c r="R789" s="128">
        <v>284</v>
      </c>
      <c r="S789" s="128">
        <v>76</v>
      </c>
      <c r="T789" s="128">
        <v>80</v>
      </c>
      <c r="U789" s="128">
        <v>681</v>
      </c>
      <c r="V789" s="128" t="s">
        <v>1547</v>
      </c>
    </row>
    <row r="790" spans="1:22" x14ac:dyDescent="0.35">
      <c r="A790" s="118">
        <v>789</v>
      </c>
      <c r="B790" s="128" t="s">
        <v>169</v>
      </c>
      <c r="C790" s="128" t="s">
        <v>6247</v>
      </c>
      <c r="D790" s="128" t="s">
        <v>4170</v>
      </c>
      <c r="E790" s="128" t="s">
        <v>391</v>
      </c>
      <c r="F790" s="128">
        <v>1983</v>
      </c>
      <c r="G790" s="128">
        <v>110</v>
      </c>
      <c r="H790" s="128">
        <v>30</v>
      </c>
      <c r="I790" s="128">
        <v>140</v>
      </c>
      <c r="J790" s="128" t="s">
        <v>2751</v>
      </c>
      <c r="K790" s="128" t="s">
        <v>4171</v>
      </c>
      <c r="L790" s="128" t="s">
        <v>1611</v>
      </c>
      <c r="M790" s="128" t="s">
        <v>1831</v>
      </c>
      <c r="N790" s="128" t="s">
        <v>4172</v>
      </c>
      <c r="O790" s="128">
        <v>670</v>
      </c>
      <c r="P790" s="128">
        <v>129</v>
      </c>
      <c r="Q790" s="128">
        <v>110</v>
      </c>
      <c r="R790" s="128">
        <v>288</v>
      </c>
      <c r="S790" s="128">
        <v>76</v>
      </c>
      <c r="T790" s="128">
        <v>77</v>
      </c>
      <c r="U790" s="128">
        <v>680</v>
      </c>
      <c r="V790" s="128" t="s">
        <v>1547</v>
      </c>
    </row>
    <row r="791" spans="1:22" x14ac:dyDescent="0.35">
      <c r="A791" s="118">
        <v>790</v>
      </c>
      <c r="B791" s="128" t="s">
        <v>169</v>
      </c>
      <c r="C791" s="128" t="s">
        <v>6247</v>
      </c>
      <c r="D791" s="128" t="s">
        <v>2865</v>
      </c>
      <c r="E791" s="128" t="s">
        <v>686</v>
      </c>
      <c r="F791" s="128">
        <v>1987</v>
      </c>
      <c r="G791" s="128">
        <v>83</v>
      </c>
      <c r="H791" s="128">
        <v>35</v>
      </c>
      <c r="I791" s="128">
        <v>118</v>
      </c>
      <c r="J791" s="128" t="s">
        <v>2751</v>
      </c>
      <c r="K791" s="128" t="s">
        <v>4173</v>
      </c>
      <c r="L791" s="128" t="s">
        <v>4174</v>
      </c>
      <c r="M791" s="128" t="s">
        <v>4175</v>
      </c>
      <c r="N791" s="128" t="s">
        <v>2967</v>
      </c>
      <c r="O791" s="128">
        <v>655</v>
      </c>
      <c r="P791" s="128">
        <v>128</v>
      </c>
      <c r="Q791" s="128">
        <v>112</v>
      </c>
      <c r="R791" s="128">
        <v>278</v>
      </c>
      <c r="S791" s="128">
        <v>76</v>
      </c>
      <c r="T791" s="128">
        <v>76</v>
      </c>
      <c r="U791" s="128">
        <v>670</v>
      </c>
      <c r="V791" s="128" t="s">
        <v>1547</v>
      </c>
    </row>
    <row r="792" spans="1:22" x14ac:dyDescent="0.35">
      <c r="A792" s="118">
        <v>791</v>
      </c>
      <c r="B792" s="128" t="s">
        <v>169</v>
      </c>
      <c r="C792" s="128" t="s">
        <v>6247</v>
      </c>
      <c r="D792" s="128" t="s">
        <v>4176</v>
      </c>
      <c r="E792" s="128" t="s">
        <v>4058</v>
      </c>
      <c r="F792" s="128">
        <v>1987</v>
      </c>
      <c r="G792" s="128">
        <v>73</v>
      </c>
      <c r="H792" s="128">
        <v>25</v>
      </c>
      <c r="I792" s="128">
        <v>98</v>
      </c>
      <c r="J792" s="128" t="s">
        <v>2751</v>
      </c>
      <c r="K792" s="128" t="s">
        <v>4177</v>
      </c>
      <c r="L792" s="128" t="s">
        <v>1682</v>
      </c>
      <c r="M792" s="128" t="s">
        <v>4178</v>
      </c>
      <c r="N792" s="128" t="s">
        <v>4179</v>
      </c>
      <c r="O792" s="128">
        <v>660</v>
      </c>
      <c r="P792" s="128">
        <v>129</v>
      </c>
      <c r="Q792" s="128">
        <v>112</v>
      </c>
      <c r="R792" s="128">
        <v>281</v>
      </c>
      <c r="S792" s="128">
        <v>77</v>
      </c>
      <c r="T792" s="128">
        <v>76</v>
      </c>
      <c r="U792" s="128">
        <v>675</v>
      </c>
      <c r="V792" s="128" t="s">
        <v>1547</v>
      </c>
    </row>
    <row r="793" spans="1:22" x14ac:dyDescent="0.35">
      <c r="A793" s="118">
        <v>792</v>
      </c>
      <c r="B793" s="128" t="s">
        <v>169</v>
      </c>
      <c r="C793" s="128" t="s">
        <v>6247</v>
      </c>
      <c r="D793" s="128" t="s">
        <v>2813</v>
      </c>
      <c r="E793" s="128" t="s">
        <v>157</v>
      </c>
      <c r="F793" s="128">
        <v>1981</v>
      </c>
      <c r="G793" s="128">
        <v>113</v>
      </c>
      <c r="H793" s="128">
        <v>24</v>
      </c>
      <c r="I793" s="128">
        <v>137</v>
      </c>
      <c r="J793" s="128" t="s">
        <v>2751</v>
      </c>
      <c r="K793" s="128" t="s">
        <v>4180</v>
      </c>
      <c r="L793" s="128" t="s">
        <v>4026</v>
      </c>
      <c r="M793" s="128" t="s">
        <v>4181</v>
      </c>
      <c r="N793" s="128" t="s">
        <v>4182</v>
      </c>
      <c r="O793" s="128">
        <v>660</v>
      </c>
      <c r="P793" s="128">
        <v>130</v>
      </c>
      <c r="Q793" s="128">
        <v>112</v>
      </c>
      <c r="R793" s="128">
        <v>283</v>
      </c>
      <c r="S793" s="128">
        <v>76</v>
      </c>
      <c r="T793" s="128">
        <v>77</v>
      </c>
      <c r="U793" s="128">
        <v>678</v>
      </c>
      <c r="V793" s="128" t="s">
        <v>1547</v>
      </c>
    </row>
    <row r="794" spans="1:22" x14ac:dyDescent="0.35">
      <c r="A794" s="118">
        <v>793</v>
      </c>
      <c r="B794" s="128" t="s">
        <v>169</v>
      </c>
      <c r="C794" s="128" t="s">
        <v>6247</v>
      </c>
      <c r="D794" s="128" t="s">
        <v>4183</v>
      </c>
      <c r="E794" s="128" t="s">
        <v>4184</v>
      </c>
      <c r="F794" s="128">
        <v>1986</v>
      </c>
      <c r="G794" s="128">
        <v>119</v>
      </c>
      <c r="H794" s="128">
        <v>55</v>
      </c>
      <c r="I794" s="128">
        <v>174</v>
      </c>
      <c r="J794" s="128" t="s">
        <v>2751</v>
      </c>
      <c r="K794" s="128" t="s">
        <v>4185</v>
      </c>
      <c r="L794" s="128" t="s">
        <v>4186</v>
      </c>
      <c r="M794" s="128" t="s">
        <v>4187</v>
      </c>
      <c r="N794" s="128" t="s">
        <v>4188</v>
      </c>
      <c r="O794" s="128">
        <v>665</v>
      </c>
      <c r="P794" s="128">
        <v>128</v>
      </c>
      <c r="Q794" s="128">
        <v>112</v>
      </c>
      <c r="R794" s="128">
        <v>287</v>
      </c>
      <c r="S794" s="128">
        <v>76</v>
      </c>
      <c r="T794" s="128">
        <v>77</v>
      </c>
      <c r="U794" s="128">
        <v>680</v>
      </c>
      <c r="V794" s="128" t="s">
        <v>1547</v>
      </c>
    </row>
    <row r="795" spans="1:22" x14ac:dyDescent="0.35">
      <c r="A795" s="118">
        <v>794</v>
      </c>
      <c r="B795" s="128" t="s">
        <v>169</v>
      </c>
      <c r="C795" s="128" t="s">
        <v>6247</v>
      </c>
      <c r="D795" s="128" t="s">
        <v>2538</v>
      </c>
      <c r="E795" s="128" t="s">
        <v>1255</v>
      </c>
      <c r="F795" s="128">
        <v>1982</v>
      </c>
      <c r="G795" s="128">
        <v>99</v>
      </c>
      <c r="H795" s="128">
        <v>44</v>
      </c>
      <c r="I795" s="128">
        <v>143</v>
      </c>
      <c r="J795" s="128" t="s">
        <v>2751</v>
      </c>
      <c r="K795" s="128" t="s">
        <v>4189</v>
      </c>
      <c r="L795" s="128" t="s">
        <v>4190</v>
      </c>
      <c r="M795" s="128" t="s">
        <v>4191</v>
      </c>
      <c r="N795" s="128" t="s">
        <v>1862</v>
      </c>
      <c r="O795" s="128">
        <v>670</v>
      </c>
      <c r="P795" s="128">
        <v>126</v>
      </c>
      <c r="Q795" s="128">
        <v>111</v>
      </c>
      <c r="R795" s="128">
        <v>291</v>
      </c>
      <c r="S795" s="128">
        <v>71</v>
      </c>
      <c r="T795" s="128">
        <v>76</v>
      </c>
      <c r="U795" s="128">
        <v>675</v>
      </c>
      <c r="V795" s="128" t="s">
        <v>1547</v>
      </c>
    </row>
    <row r="796" spans="1:22" x14ac:dyDescent="0.35">
      <c r="A796" s="118">
        <v>795</v>
      </c>
      <c r="B796" s="128" t="s">
        <v>169</v>
      </c>
      <c r="C796" s="128" t="s">
        <v>289</v>
      </c>
      <c r="D796" s="128" t="s">
        <v>1850</v>
      </c>
      <c r="E796" s="128" t="s">
        <v>4192</v>
      </c>
      <c r="F796" s="128">
        <v>1989</v>
      </c>
      <c r="G796" s="128">
        <v>33</v>
      </c>
      <c r="H796" s="128">
        <v>4</v>
      </c>
      <c r="I796" s="128">
        <v>37</v>
      </c>
      <c r="J796" s="128" t="s">
        <v>4025</v>
      </c>
      <c r="K796" s="128">
        <v>152</v>
      </c>
      <c r="L796" s="128" t="s">
        <v>1821</v>
      </c>
      <c r="M796" s="128" t="s">
        <v>1576</v>
      </c>
      <c r="N796" s="128" t="s">
        <v>4193</v>
      </c>
      <c r="O796" s="128">
        <v>650</v>
      </c>
      <c r="P796" s="128">
        <v>135</v>
      </c>
      <c r="Q796" s="128">
        <v>115</v>
      </c>
      <c r="R796" s="128">
        <v>240</v>
      </c>
      <c r="S796" s="128">
        <v>80</v>
      </c>
      <c r="T796" s="128">
        <v>80</v>
      </c>
      <c r="U796" s="128">
        <v>650</v>
      </c>
      <c r="V796" s="128" t="s">
        <v>1547</v>
      </c>
    </row>
    <row r="797" spans="1:22" x14ac:dyDescent="0.35">
      <c r="A797" s="118">
        <v>796</v>
      </c>
      <c r="B797" s="128" t="s">
        <v>169</v>
      </c>
      <c r="C797" s="128" t="s">
        <v>289</v>
      </c>
      <c r="D797" s="128" t="s">
        <v>4194</v>
      </c>
      <c r="E797" s="128" t="s">
        <v>1098</v>
      </c>
      <c r="F797" s="128">
        <v>1989</v>
      </c>
      <c r="G797" s="128">
        <v>35</v>
      </c>
      <c r="H797" s="128">
        <v>3</v>
      </c>
      <c r="I797" s="128">
        <v>38</v>
      </c>
      <c r="J797" s="128" t="s">
        <v>4025</v>
      </c>
      <c r="K797" s="128">
        <v>130.5</v>
      </c>
      <c r="L797" s="128" t="s">
        <v>4195</v>
      </c>
      <c r="M797" s="128" t="s">
        <v>4196</v>
      </c>
      <c r="N797" s="128" t="s">
        <v>4197</v>
      </c>
      <c r="O797" s="128">
        <v>660</v>
      </c>
      <c r="P797" s="128">
        <v>135</v>
      </c>
      <c r="Q797" s="128">
        <v>110</v>
      </c>
      <c r="R797" s="128">
        <v>275</v>
      </c>
      <c r="S797" s="128">
        <v>80</v>
      </c>
      <c r="T797" s="128">
        <v>80</v>
      </c>
      <c r="U797" s="128">
        <v>680</v>
      </c>
      <c r="V797" s="128" t="s">
        <v>1547</v>
      </c>
    </row>
    <row r="798" spans="1:22" x14ac:dyDescent="0.35">
      <c r="A798" s="118">
        <v>797</v>
      </c>
      <c r="B798" s="128" t="s">
        <v>169</v>
      </c>
      <c r="C798" s="128" t="s">
        <v>289</v>
      </c>
      <c r="D798" s="128" t="s">
        <v>1549</v>
      </c>
      <c r="E798" s="128" t="s">
        <v>1096</v>
      </c>
      <c r="F798" s="128">
        <v>1989</v>
      </c>
      <c r="G798" s="128">
        <v>24</v>
      </c>
      <c r="H798" s="128">
        <v>4</v>
      </c>
      <c r="I798" s="128">
        <v>28</v>
      </c>
      <c r="J798" s="128" t="s">
        <v>4025</v>
      </c>
      <c r="K798" s="128">
        <v>106.6</v>
      </c>
      <c r="L798" s="128" t="s">
        <v>4198</v>
      </c>
      <c r="M798" s="128" t="s">
        <v>4199</v>
      </c>
      <c r="N798" s="128" t="s">
        <v>4200</v>
      </c>
      <c r="O798" s="128">
        <v>605</v>
      </c>
      <c r="P798" s="128">
        <v>135</v>
      </c>
      <c r="Q798" s="128">
        <v>85</v>
      </c>
      <c r="R798" s="128">
        <v>245</v>
      </c>
      <c r="S798" s="128">
        <v>80</v>
      </c>
      <c r="T798" s="128">
        <v>80</v>
      </c>
      <c r="U798" s="128">
        <v>625</v>
      </c>
      <c r="V798" s="128" t="s">
        <v>1547</v>
      </c>
    </row>
    <row r="799" spans="1:22" x14ac:dyDescent="0.35">
      <c r="A799" s="118">
        <v>798</v>
      </c>
      <c r="B799" s="128" t="s">
        <v>169</v>
      </c>
      <c r="C799" s="128" t="s">
        <v>289</v>
      </c>
      <c r="D799" s="128" t="s">
        <v>4201</v>
      </c>
      <c r="E799" s="128" t="s">
        <v>1099</v>
      </c>
      <c r="F799" s="128">
        <v>2002</v>
      </c>
      <c r="G799" s="128">
        <v>41</v>
      </c>
      <c r="H799" s="128">
        <v>6</v>
      </c>
      <c r="I799" s="128">
        <v>47</v>
      </c>
      <c r="J799" s="128" t="s">
        <v>4025</v>
      </c>
      <c r="K799" s="128">
        <v>141.4</v>
      </c>
      <c r="L799" s="128" t="s">
        <v>4202</v>
      </c>
      <c r="M799" s="128" t="s">
        <v>4203</v>
      </c>
      <c r="N799" s="128" t="s">
        <v>4204</v>
      </c>
      <c r="O799" s="128">
        <v>615</v>
      </c>
      <c r="P799" s="128">
        <v>135</v>
      </c>
      <c r="Q799" s="128">
        <v>90</v>
      </c>
      <c r="R799" s="128">
        <v>250</v>
      </c>
      <c r="S799" s="128">
        <v>80</v>
      </c>
      <c r="T799" s="128">
        <v>80</v>
      </c>
      <c r="U799" s="128">
        <v>635</v>
      </c>
      <c r="V799" s="128" t="s">
        <v>1547</v>
      </c>
    </row>
    <row r="800" spans="1:22" x14ac:dyDescent="0.35">
      <c r="A800" s="118">
        <v>799</v>
      </c>
      <c r="B800" s="128" t="s">
        <v>169</v>
      </c>
      <c r="C800" s="128" t="s">
        <v>289</v>
      </c>
      <c r="D800" s="128" t="s">
        <v>4205</v>
      </c>
      <c r="E800" s="128" t="s">
        <v>23</v>
      </c>
      <c r="F800" s="128">
        <v>1990</v>
      </c>
      <c r="G800" s="128">
        <v>28</v>
      </c>
      <c r="H800" s="128">
        <v>2</v>
      </c>
      <c r="I800" s="128">
        <v>30</v>
      </c>
      <c r="J800" s="128" t="s">
        <v>4025</v>
      </c>
      <c r="K800" s="128">
        <v>80.2</v>
      </c>
      <c r="L800" s="128" t="s">
        <v>4206</v>
      </c>
      <c r="M800" s="128" t="s">
        <v>1576</v>
      </c>
      <c r="N800" s="128" t="s">
        <v>4207</v>
      </c>
      <c r="O800" s="128">
        <v>615</v>
      </c>
      <c r="P800" s="128">
        <v>135</v>
      </c>
      <c r="Q800" s="128">
        <v>85</v>
      </c>
      <c r="R800" s="128">
        <v>235</v>
      </c>
      <c r="S800" s="128">
        <v>80</v>
      </c>
      <c r="T800" s="128">
        <v>80</v>
      </c>
      <c r="U800" s="128">
        <v>615</v>
      </c>
      <c r="V800" s="128" t="s">
        <v>1547</v>
      </c>
    </row>
    <row r="801" spans="1:22" x14ac:dyDescent="0.35">
      <c r="A801" s="118">
        <v>800</v>
      </c>
      <c r="B801" s="128" t="s">
        <v>169</v>
      </c>
      <c r="C801" s="128" t="s">
        <v>289</v>
      </c>
      <c r="D801" s="128" t="s">
        <v>4208</v>
      </c>
      <c r="E801" s="128" t="s">
        <v>712</v>
      </c>
      <c r="F801" s="128">
        <v>1990</v>
      </c>
      <c r="G801" s="128">
        <v>32</v>
      </c>
      <c r="H801" s="128">
        <v>4</v>
      </c>
      <c r="I801" s="128">
        <v>36</v>
      </c>
      <c r="J801" s="128" t="s">
        <v>4025</v>
      </c>
      <c r="K801" s="128">
        <v>65.400000000000006</v>
      </c>
      <c r="L801" s="128" t="s">
        <v>1732</v>
      </c>
      <c r="M801" s="128" t="s">
        <v>4209</v>
      </c>
      <c r="N801" s="128" t="s">
        <v>3930</v>
      </c>
      <c r="O801" s="128">
        <v>650</v>
      </c>
      <c r="P801" s="128">
        <v>135</v>
      </c>
      <c r="Q801" s="128">
        <v>85</v>
      </c>
      <c r="R801" s="128">
        <v>270</v>
      </c>
      <c r="S801" s="128">
        <v>80</v>
      </c>
      <c r="T801" s="128">
        <v>80</v>
      </c>
      <c r="U801" s="128">
        <v>650</v>
      </c>
      <c r="V801" s="128" t="s">
        <v>1547</v>
      </c>
    </row>
    <row r="802" spans="1:22" x14ac:dyDescent="0.35">
      <c r="A802" s="118">
        <v>801</v>
      </c>
      <c r="B802" s="128" t="s">
        <v>169</v>
      </c>
      <c r="C802" s="128" t="s">
        <v>289</v>
      </c>
      <c r="D802" s="128" t="s">
        <v>4210</v>
      </c>
      <c r="E802" s="128" t="s">
        <v>31</v>
      </c>
      <c r="F802" s="128">
        <v>1991</v>
      </c>
      <c r="G802" s="128">
        <v>30</v>
      </c>
      <c r="H802" s="128">
        <v>6</v>
      </c>
      <c r="I802" s="128">
        <v>36</v>
      </c>
      <c r="J802" s="128" t="s">
        <v>4025</v>
      </c>
      <c r="K802" s="128">
        <v>91.36</v>
      </c>
      <c r="L802" s="128" t="s">
        <v>4211</v>
      </c>
      <c r="M802" s="128" t="s">
        <v>1911</v>
      </c>
      <c r="N802" s="128" t="s">
        <v>1645</v>
      </c>
      <c r="O802" s="128">
        <v>635</v>
      </c>
      <c r="P802" s="128">
        <v>135</v>
      </c>
      <c r="Q802" s="128">
        <v>90</v>
      </c>
      <c r="R802" s="128">
        <v>250</v>
      </c>
      <c r="S802" s="128">
        <v>80</v>
      </c>
      <c r="T802" s="128">
        <v>80</v>
      </c>
      <c r="U802" s="128">
        <v>635</v>
      </c>
      <c r="V802" s="128" t="s">
        <v>1547</v>
      </c>
    </row>
    <row r="803" spans="1:22" x14ac:dyDescent="0.35">
      <c r="A803" s="118">
        <v>802</v>
      </c>
      <c r="B803" s="128" t="s">
        <v>169</v>
      </c>
      <c r="C803" s="128" t="s">
        <v>289</v>
      </c>
      <c r="D803" s="128" t="s">
        <v>4212</v>
      </c>
      <c r="E803" s="128" t="s">
        <v>67</v>
      </c>
      <c r="F803" s="128">
        <v>2007</v>
      </c>
      <c r="G803" s="128">
        <v>23</v>
      </c>
      <c r="H803" s="128">
        <v>4</v>
      </c>
      <c r="I803" s="128">
        <v>27</v>
      </c>
      <c r="J803" s="128" t="s">
        <v>4025</v>
      </c>
      <c r="K803" s="128">
        <v>79.599999999999994</v>
      </c>
      <c r="L803" s="128" t="s">
        <v>2047</v>
      </c>
      <c r="M803" s="128" t="s">
        <v>3095</v>
      </c>
      <c r="N803" s="128" t="s">
        <v>2342</v>
      </c>
      <c r="O803" s="128">
        <v>635</v>
      </c>
      <c r="P803" s="128">
        <v>130</v>
      </c>
      <c r="Q803" s="128">
        <v>95</v>
      </c>
      <c r="R803" s="128">
        <v>250</v>
      </c>
      <c r="S803" s="128">
        <v>80</v>
      </c>
      <c r="T803" s="128">
        <v>80</v>
      </c>
      <c r="U803" s="128">
        <v>635</v>
      </c>
      <c r="V803" s="128" t="s">
        <v>1547</v>
      </c>
    </row>
    <row r="804" spans="1:22" x14ac:dyDescent="0.35">
      <c r="A804" s="118">
        <v>803</v>
      </c>
      <c r="B804" s="128" t="s">
        <v>169</v>
      </c>
      <c r="C804" s="128" t="s">
        <v>289</v>
      </c>
      <c r="D804" s="128" t="s">
        <v>4213</v>
      </c>
      <c r="E804" s="128" t="s">
        <v>1095</v>
      </c>
      <c r="F804" s="128">
        <v>1989</v>
      </c>
      <c r="G804" s="128">
        <v>30</v>
      </c>
      <c r="H804" s="128">
        <v>3</v>
      </c>
      <c r="I804" s="128">
        <v>33</v>
      </c>
      <c r="J804" s="128" t="s">
        <v>4025</v>
      </c>
      <c r="K804" s="128">
        <v>84.94</v>
      </c>
      <c r="L804" s="128" t="s">
        <v>4214</v>
      </c>
      <c r="M804" s="128" t="s">
        <v>4215</v>
      </c>
      <c r="N804" s="128" t="s">
        <v>4216</v>
      </c>
      <c r="O804" s="128">
        <v>655</v>
      </c>
      <c r="P804" s="128">
        <v>135</v>
      </c>
      <c r="Q804" s="128">
        <v>115</v>
      </c>
      <c r="R804" s="128">
        <v>260</v>
      </c>
      <c r="S804" s="128">
        <v>80</v>
      </c>
      <c r="T804" s="128">
        <v>80</v>
      </c>
      <c r="U804" s="128">
        <v>670</v>
      </c>
      <c r="V804" s="128" t="s">
        <v>1547</v>
      </c>
    </row>
    <row r="805" spans="1:22" x14ac:dyDescent="0.35">
      <c r="A805" s="118">
        <v>804</v>
      </c>
      <c r="B805" s="128" t="s">
        <v>169</v>
      </c>
      <c r="C805" s="128" t="s">
        <v>289</v>
      </c>
      <c r="D805" s="128" t="s">
        <v>2376</v>
      </c>
      <c r="E805" s="128" t="s">
        <v>4217</v>
      </c>
      <c r="F805" s="128">
        <v>1989</v>
      </c>
      <c r="G805" s="128">
        <v>26</v>
      </c>
      <c r="H805" s="128">
        <v>5</v>
      </c>
      <c r="I805" s="128">
        <v>31</v>
      </c>
      <c r="J805" s="128" t="s">
        <v>4025</v>
      </c>
      <c r="K805" s="128">
        <v>83</v>
      </c>
      <c r="L805" s="128" t="s">
        <v>4218</v>
      </c>
      <c r="M805" s="128" t="s">
        <v>2170</v>
      </c>
      <c r="N805" s="128" t="s">
        <v>2342</v>
      </c>
      <c r="O805" s="128">
        <v>735</v>
      </c>
      <c r="P805" s="128">
        <v>137</v>
      </c>
      <c r="Q805" s="128">
        <v>118</v>
      </c>
      <c r="R805" s="128">
        <v>295</v>
      </c>
      <c r="S805" s="128">
        <v>85</v>
      </c>
      <c r="T805" s="128">
        <v>100</v>
      </c>
      <c r="U805" s="128">
        <v>735</v>
      </c>
      <c r="V805" s="128" t="s">
        <v>2702</v>
      </c>
    </row>
    <row r="806" spans="1:22" x14ac:dyDescent="0.35">
      <c r="A806" s="118">
        <v>805</v>
      </c>
      <c r="B806" s="128" t="s">
        <v>170</v>
      </c>
      <c r="C806" s="128" t="s">
        <v>6244</v>
      </c>
      <c r="D806" s="128" t="s">
        <v>4219</v>
      </c>
      <c r="E806" s="128" t="s">
        <v>1168</v>
      </c>
      <c r="F806" s="128">
        <v>1984</v>
      </c>
      <c r="G806" s="128">
        <v>47</v>
      </c>
      <c r="H806" s="128">
        <v>4</v>
      </c>
      <c r="I806" s="128">
        <v>51</v>
      </c>
      <c r="J806" s="128" t="s">
        <v>3879</v>
      </c>
      <c r="K806" s="128">
        <v>17.66</v>
      </c>
      <c r="L806" s="128" t="s">
        <v>3063</v>
      </c>
      <c r="M806" s="128" t="s">
        <v>4220</v>
      </c>
      <c r="N806" s="128" t="s">
        <v>2359</v>
      </c>
      <c r="O806" s="128">
        <v>726</v>
      </c>
      <c r="P806" s="128">
        <v>142</v>
      </c>
      <c r="Q806" s="128">
        <v>121</v>
      </c>
      <c r="R806" s="128">
        <v>301</v>
      </c>
      <c r="S806" s="128">
        <v>83</v>
      </c>
      <c r="T806" s="128">
        <v>85</v>
      </c>
      <c r="U806" s="128">
        <v>732</v>
      </c>
      <c r="V806" s="128" t="s">
        <v>2702</v>
      </c>
    </row>
    <row r="807" spans="1:22" x14ac:dyDescent="0.35">
      <c r="A807" s="118">
        <v>806</v>
      </c>
      <c r="B807" s="128" t="s">
        <v>170</v>
      </c>
      <c r="C807" s="128" t="s">
        <v>6244</v>
      </c>
      <c r="D807" s="128" t="s">
        <v>4221</v>
      </c>
      <c r="E807" s="128" t="s">
        <v>1166</v>
      </c>
      <c r="F807" s="128">
        <v>1993</v>
      </c>
      <c r="G807" s="128">
        <v>60</v>
      </c>
      <c r="H807" s="128">
        <v>23</v>
      </c>
      <c r="I807" s="128">
        <v>83</v>
      </c>
      <c r="J807" s="128" t="s">
        <v>3879</v>
      </c>
      <c r="K807" s="128">
        <v>23.85</v>
      </c>
      <c r="L807" s="128" t="s">
        <v>4222</v>
      </c>
      <c r="M807" s="128" t="s">
        <v>4223</v>
      </c>
      <c r="N807" s="128" t="s">
        <v>2467</v>
      </c>
      <c r="O807" s="128">
        <v>427</v>
      </c>
      <c r="P807" s="128">
        <v>100</v>
      </c>
      <c r="Q807" s="128">
        <v>72</v>
      </c>
      <c r="R807" s="128">
        <v>175</v>
      </c>
      <c r="S807" s="128">
        <v>40</v>
      </c>
      <c r="T807" s="128">
        <v>50</v>
      </c>
      <c r="U807" s="128">
        <v>437</v>
      </c>
      <c r="V807" s="128" t="s">
        <v>2643</v>
      </c>
    </row>
    <row r="808" spans="1:22" x14ac:dyDescent="0.35">
      <c r="A808" s="118">
        <v>807</v>
      </c>
      <c r="B808" s="128" t="s">
        <v>170</v>
      </c>
      <c r="C808" s="128" t="s">
        <v>6244</v>
      </c>
      <c r="D808" s="128" t="s">
        <v>1517</v>
      </c>
      <c r="E808" s="128" t="s">
        <v>1119</v>
      </c>
      <c r="F808" s="128">
        <v>1984</v>
      </c>
      <c r="G808" s="128">
        <v>55</v>
      </c>
      <c r="H808" s="128">
        <v>5</v>
      </c>
      <c r="I808" s="128">
        <v>60</v>
      </c>
      <c r="J808" s="128" t="s">
        <v>3879</v>
      </c>
      <c r="K808" s="128">
        <v>15.88</v>
      </c>
      <c r="L808" s="128" t="s">
        <v>4224</v>
      </c>
      <c r="M808" s="128" t="s">
        <v>1653</v>
      </c>
      <c r="N808" s="128" t="s">
        <v>3907</v>
      </c>
      <c r="O808" s="128">
        <v>738</v>
      </c>
      <c r="P808" s="128">
        <v>146</v>
      </c>
      <c r="Q808" s="128">
        <v>124</v>
      </c>
      <c r="R808" s="128">
        <v>304</v>
      </c>
      <c r="S808" s="128">
        <v>85</v>
      </c>
      <c r="T808" s="128">
        <v>88</v>
      </c>
      <c r="U808" s="128">
        <v>747</v>
      </c>
      <c r="V808" s="128" t="s">
        <v>2702</v>
      </c>
    </row>
    <row r="809" spans="1:22" x14ac:dyDescent="0.35">
      <c r="A809" s="118">
        <v>808</v>
      </c>
      <c r="B809" s="128" t="s">
        <v>170</v>
      </c>
      <c r="C809" s="128" t="s">
        <v>6244</v>
      </c>
      <c r="D809" s="128" t="s">
        <v>1517</v>
      </c>
      <c r="E809" s="128" t="s">
        <v>1118</v>
      </c>
      <c r="F809" s="128">
        <v>1989</v>
      </c>
      <c r="G809" s="128">
        <v>55</v>
      </c>
      <c r="H809" s="128">
        <v>4</v>
      </c>
      <c r="I809" s="128">
        <v>59</v>
      </c>
      <c r="J809" s="128" t="s">
        <v>3879</v>
      </c>
      <c r="K809" s="128">
        <v>22.48</v>
      </c>
      <c r="L809" s="128" t="s">
        <v>4225</v>
      </c>
      <c r="M809" s="128" t="s">
        <v>4226</v>
      </c>
      <c r="N809" s="128" t="s">
        <v>4168</v>
      </c>
      <c r="O809" s="128">
        <v>480</v>
      </c>
      <c r="P809" s="128">
        <v>105</v>
      </c>
      <c r="Q809" s="128">
        <v>86</v>
      </c>
      <c r="R809" s="128">
        <v>201</v>
      </c>
      <c r="S809" s="128">
        <v>43</v>
      </c>
      <c r="T809" s="128">
        <v>59</v>
      </c>
      <c r="U809" s="128">
        <v>494</v>
      </c>
      <c r="V809" s="128" t="s">
        <v>1547</v>
      </c>
    </row>
    <row r="810" spans="1:22" x14ac:dyDescent="0.35">
      <c r="A810" s="118">
        <v>809</v>
      </c>
      <c r="B810" s="128" t="s">
        <v>170</v>
      </c>
      <c r="C810" s="128" t="s">
        <v>6244</v>
      </c>
      <c r="D810" s="128" t="s">
        <v>1517</v>
      </c>
      <c r="E810" s="128" t="s">
        <v>4227</v>
      </c>
      <c r="F810" s="128">
        <v>1986</v>
      </c>
      <c r="G810" s="128">
        <v>21</v>
      </c>
      <c r="H810" s="128">
        <v>3</v>
      </c>
      <c r="I810" s="128">
        <v>24</v>
      </c>
      <c r="J810" s="128" t="s">
        <v>3879</v>
      </c>
      <c r="K810" s="128">
        <v>15.6</v>
      </c>
      <c r="L810" s="128" t="s">
        <v>2926</v>
      </c>
      <c r="M810" s="128" t="s">
        <v>4228</v>
      </c>
      <c r="N810" s="128" t="s">
        <v>1699</v>
      </c>
      <c r="O810" s="128">
        <v>729</v>
      </c>
      <c r="P810" s="128">
        <v>142</v>
      </c>
      <c r="Q810" s="128">
        <v>126</v>
      </c>
      <c r="R810" s="128">
        <v>300</v>
      </c>
      <c r="S810" s="128">
        <v>83</v>
      </c>
      <c r="T810" s="128">
        <v>85</v>
      </c>
      <c r="U810" s="128">
        <v>736</v>
      </c>
      <c r="V810" s="128" t="s">
        <v>2702</v>
      </c>
    </row>
    <row r="811" spans="1:22" x14ac:dyDescent="0.35">
      <c r="A811" s="118">
        <v>810</v>
      </c>
      <c r="B811" s="128" t="s">
        <v>170</v>
      </c>
      <c r="C811" s="128" t="s">
        <v>6244</v>
      </c>
      <c r="D811" s="128" t="s">
        <v>4229</v>
      </c>
      <c r="E811" s="128" t="s">
        <v>4230</v>
      </c>
      <c r="F811" s="128">
        <v>1997</v>
      </c>
      <c r="G811" s="128">
        <v>28</v>
      </c>
      <c r="H811" s="128">
        <v>4</v>
      </c>
      <c r="I811" s="128">
        <v>32</v>
      </c>
      <c r="J811" s="128" t="s">
        <v>3879</v>
      </c>
      <c r="K811" s="128">
        <v>14</v>
      </c>
      <c r="L811" s="128" t="s">
        <v>4231</v>
      </c>
      <c r="M811" s="128" t="s">
        <v>4232</v>
      </c>
      <c r="N811" s="128" t="s">
        <v>3242</v>
      </c>
      <c r="O811" s="128">
        <v>374</v>
      </c>
      <c r="P811" s="128">
        <v>85</v>
      </c>
      <c r="Q811" s="128">
        <v>69</v>
      </c>
      <c r="R811" s="128">
        <v>149</v>
      </c>
      <c r="S811" s="128">
        <v>27</v>
      </c>
      <c r="T811" s="128">
        <v>50</v>
      </c>
      <c r="U811" s="128">
        <v>380</v>
      </c>
      <c r="V811" s="128" t="s">
        <v>2643</v>
      </c>
    </row>
    <row r="812" spans="1:22" x14ac:dyDescent="0.35">
      <c r="A812" s="118">
        <v>811</v>
      </c>
      <c r="B812" s="128" t="s">
        <v>170</v>
      </c>
      <c r="C812" s="128" t="s">
        <v>6244</v>
      </c>
      <c r="D812" s="128" t="s">
        <v>4229</v>
      </c>
      <c r="E812" s="128" t="s">
        <v>4233</v>
      </c>
      <c r="F812" s="128">
        <v>1989</v>
      </c>
      <c r="G812" s="128">
        <v>55</v>
      </c>
      <c r="H812" s="128">
        <v>6</v>
      </c>
      <c r="I812" s="128">
        <v>61</v>
      </c>
      <c r="J812" s="128" t="s">
        <v>3879</v>
      </c>
      <c r="K812" s="128">
        <v>23.4</v>
      </c>
      <c r="L812" s="128" t="s">
        <v>1770</v>
      </c>
      <c r="M812" s="128" t="s">
        <v>4234</v>
      </c>
      <c r="N812" s="128" t="s">
        <v>4235</v>
      </c>
      <c r="O812" s="128">
        <v>504</v>
      </c>
      <c r="P812" s="128">
        <v>116</v>
      </c>
      <c r="Q812" s="128">
        <v>96</v>
      </c>
      <c r="R812" s="128">
        <v>200</v>
      </c>
      <c r="S812" s="128">
        <v>47</v>
      </c>
      <c r="T812" s="128">
        <v>57</v>
      </c>
      <c r="U812" s="128">
        <v>516</v>
      </c>
      <c r="V812" s="128" t="s">
        <v>1547</v>
      </c>
    </row>
    <row r="813" spans="1:22" x14ac:dyDescent="0.35">
      <c r="A813" s="118">
        <v>812</v>
      </c>
      <c r="B813" s="128" t="s">
        <v>170</v>
      </c>
      <c r="C813" s="128" t="s">
        <v>6244</v>
      </c>
      <c r="D813" s="128" t="s">
        <v>4236</v>
      </c>
      <c r="E813" s="128" t="s">
        <v>4237</v>
      </c>
      <c r="F813" s="128">
        <v>1990</v>
      </c>
      <c r="G813" s="128">
        <v>35</v>
      </c>
      <c r="H813" s="128">
        <v>4</v>
      </c>
      <c r="I813" s="128">
        <v>39</v>
      </c>
      <c r="J813" s="128" t="s">
        <v>3879</v>
      </c>
      <c r="K813" s="128">
        <v>25.31</v>
      </c>
      <c r="L813" s="128" t="s">
        <v>4238</v>
      </c>
      <c r="M813" s="128" t="s">
        <v>4239</v>
      </c>
      <c r="N813" s="128" t="s">
        <v>1626</v>
      </c>
      <c r="O813" s="128">
        <v>567</v>
      </c>
      <c r="P813" s="128">
        <v>114</v>
      </c>
      <c r="Q813" s="128">
        <v>108</v>
      </c>
      <c r="R813" s="128">
        <v>224</v>
      </c>
      <c r="S813" s="128">
        <v>66</v>
      </c>
      <c r="T813" s="128">
        <v>65</v>
      </c>
      <c r="U813" s="128">
        <v>577</v>
      </c>
      <c r="V813" s="128" t="s">
        <v>1547</v>
      </c>
    </row>
    <row r="814" spans="1:22" x14ac:dyDescent="0.35">
      <c r="A814" s="118">
        <v>813</v>
      </c>
      <c r="B814" s="128" t="s">
        <v>170</v>
      </c>
      <c r="C814" s="128" t="s">
        <v>6244</v>
      </c>
      <c r="D814" s="128" t="s">
        <v>4240</v>
      </c>
      <c r="E814" s="128" t="s">
        <v>4241</v>
      </c>
      <c r="F814" s="128">
        <v>1990</v>
      </c>
      <c r="G814" s="128">
        <v>40</v>
      </c>
      <c r="H814" s="128">
        <v>3</v>
      </c>
      <c r="I814" s="128">
        <v>43</v>
      </c>
      <c r="J814" s="128" t="s">
        <v>3879</v>
      </c>
      <c r="K814" s="128">
        <v>28.4</v>
      </c>
      <c r="L814" s="128" t="s">
        <v>4242</v>
      </c>
      <c r="M814" s="128" t="s">
        <v>4243</v>
      </c>
      <c r="N814" s="128" t="s">
        <v>4244</v>
      </c>
      <c r="O814" s="128">
        <v>394</v>
      </c>
      <c r="P814" s="128">
        <v>87</v>
      </c>
      <c r="Q814" s="128">
        <v>80</v>
      </c>
      <c r="R814" s="128">
        <v>160</v>
      </c>
      <c r="S814" s="128">
        <v>27</v>
      </c>
      <c r="T814" s="128">
        <v>50</v>
      </c>
      <c r="U814" s="128">
        <v>404</v>
      </c>
      <c r="V814" s="128" t="s">
        <v>2643</v>
      </c>
    </row>
    <row r="815" spans="1:22" x14ac:dyDescent="0.35">
      <c r="A815" s="118">
        <v>814</v>
      </c>
      <c r="B815" s="128" t="s">
        <v>170</v>
      </c>
      <c r="C815" s="128" t="s">
        <v>6244</v>
      </c>
      <c r="D815" s="128" t="s">
        <v>473</v>
      </c>
      <c r="E815" s="128" t="s">
        <v>4245</v>
      </c>
      <c r="F815" s="128">
        <v>1990</v>
      </c>
      <c r="G815" s="128">
        <v>39</v>
      </c>
      <c r="H815" s="128">
        <v>4</v>
      </c>
      <c r="I815" s="128">
        <v>43</v>
      </c>
      <c r="J815" s="128" t="s">
        <v>3879</v>
      </c>
      <c r="K815" s="128">
        <v>22.06</v>
      </c>
      <c r="L815" s="128" t="s">
        <v>4246</v>
      </c>
      <c r="M815" s="128" t="s">
        <v>4247</v>
      </c>
      <c r="N815" s="128" t="s">
        <v>1580</v>
      </c>
      <c r="O815" s="128">
        <v>502</v>
      </c>
      <c r="P815" s="128">
        <v>112</v>
      </c>
      <c r="Q815" s="128">
        <v>92</v>
      </c>
      <c r="R815" s="128">
        <v>203</v>
      </c>
      <c r="S815" s="128">
        <v>47</v>
      </c>
      <c r="T815" s="128">
        <v>59</v>
      </c>
      <c r="U815" s="128">
        <v>513</v>
      </c>
      <c r="V815" s="128" t="s">
        <v>1547</v>
      </c>
    </row>
    <row r="816" spans="1:22" x14ac:dyDescent="0.35">
      <c r="A816" s="118">
        <v>815</v>
      </c>
      <c r="B816" s="128" t="s">
        <v>170</v>
      </c>
      <c r="C816" s="128" t="s">
        <v>6244</v>
      </c>
      <c r="D816" s="128" t="s">
        <v>4236</v>
      </c>
      <c r="E816" s="128" t="s">
        <v>4248</v>
      </c>
      <c r="F816" s="128">
        <v>1997</v>
      </c>
      <c r="G816" s="128">
        <v>39</v>
      </c>
      <c r="H816" s="128">
        <v>9</v>
      </c>
      <c r="I816" s="128">
        <v>48</v>
      </c>
      <c r="J816" s="128" t="s">
        <v>3879</v>
      </c>
      <c r="K816" s="128">
        <v>25.69</v>
      </c>
      <c r="L816" s="128" t="s">
        <v>1689</v>
      </c>
      <c r="M816" s="128" t="s">
        <v>4249</v>
      </c>
      <c r="N816" s="128" t="s">
        <v>2182</v>
      </c>
      <c r="O816" s="128">
        <v>407</v>
      </c>
      <c r="P816" s="128">
        <v>98</v>
      </c>
      <c r="Q816" s="128">
        <v>76</v>
      </c>
      <c r="R816" s="128">
        <v>156</v>
      </c>
      <c r="S816" s="128">
        <v>38</v>
      </c>
      <c r="T816" s="128">
        <v>50</v>
      </c>
      <c r="U816" s="128">
        <v>418</v>
      </c>
      <c r="V816" s="128" t="s">
        <v>2643</v>
      </c>
    </row>
    <row r="817" spans="1:22" x14ac:dyDescent="0.35">
      <c r="A817" s="118">
        <v>816</v>
      </c>
      <c r="B817" s="128" t="s">
        <v>170</v>
      </c>
      <c r="C817" s="128" t="s">
        <v>6244</v>
      </c>
      <c r="D817" s="128" t="s">
        <v>4219</v>
      </c>
      <c r="E817" s="128" t="s">
        <v>4250</v>
      </c>
      <c r="F817" s="128">
        <v>1989</v>
      </c>
      <c r="G817" s="128">
        <v>55</v>
      </c>
      <c r="H817" s="128">
        <v>19</v>
      </c>
      <c r="I817" s="128">
        <v>74</v>
      </c>
      <c r="J817" s="128" t="s">
        <v>3879</v>
      </c>
      <c r="K817" s="128">
        <v>31.52</v>
      </c>
      <c r="L817" s="128" t="s">
        <v>2935</v>
      </c>
      <c r="M817" s="128" t="s">
        <v>4251</v>
      </c>
      <c r="N817" s="128" t="s">
        <v>1702</v>
      </c>
      <c r="O817" s="128">
        <v>497</v>
      </c>
      <c r="P817" s="128">
        <v>112</v>
      </c>
      <c r="Q817" s="128">
        <v>91</v>
      </c>
      <c r="R817" s="128">
        <v>199</v>
      </c>
      <c r="S817" s="128">
        <v>47</v>
      </c>
      <c r="T817" s="128">
        <v>59</v>
      </c>
      <c r="U817" s="128">
        <v>508</v>
      </c>
      <c r="V817" s="128" t="s">
        <v>1547</v>
      </c>
    </row>
    <row r="818" spans="1:22" x14ac:dyDescent="0.35">
      <c r="A818" s="118">
        <v>817</v>
      </c>
      <c r="B818" s="128" t="s">
        <v>170</v>
      </c>
      <c r="C818" s="128" t="s">
        <v>6244</v>
      </c>
      <c r="D818" s="128" t="s">
        <v>4221</v>
      </c>
      <c r="E818" s="128" t="s">
        <v>470</v>
      </c>
      <c r="F818" s="128">
        <v>1989</v>
      </c>
      <c r="G818" s="128">
        <v>44</v>
      </c>
      <c r="H818" s="128">
        <v>12</v>
      </c>
      <c r="I818" s="128">
        <v>56</v>
      </c>
      <c r="J818" s="128" t="s">
        <v>3879</v>
      </c>
      <c r="K818" s="128">
        <v>32.950000000000003</v>
      </c>
      <c r="L818" s="128" t="s">
        <v>4252</v>
      </c>
      <c r="M818" s="128" t="s">
        <v>1572</v>
      </c>
      <c r="N818" s="128" t="s">
        <v>4253</v>
      </c>
      <c r="O818" s="128">
        <v>439</v>
      </c>
      <c r="P818" s="128">
        <v>96</v>
      </c>
      <c r="Q818" s="128">
        <v>80</v>
      </c>
      <c r="R818" s="128">
        <v>185</v>
      </c>
      <c r="S818" s="128">
        <v>37</v>
      </c>
      <c r="T818" s="128">
        <v>50</v>
      </c>
      <c r="U818" s="128">
        <v>448</v>
      </c>
      <c r="V818" s="128" t="s">
        <v>2643</v>
      </c>
    </row>
    <row r="819" spans="1:22" x14ac:dyDescent="0.35">
      <c r="A819" s="118">
        <v>818</v>
      </c>
      <c r="B819" s="128" t="s">
        <v>170</v>
      </c>
      <c r="C819" s="128" t="s">
        <v>6244</v>
      </c>
      <c r="D819" s="128" t="s">
        <v>4254</v>
      </c>
      <c r="E819" s="128" t="s">
        <v>4255</v>
      </c>
      <c r="F819" s="128">
        <v>1993</v>
      </c>
      <c r="G819" s="128">
        <v>43</v>
      </c>
      <c r="H819" s="128">
        <v>7</v>
      </c>
      <c r="I819" s="128">
        <v>50</v>
      </c>
      <c r="J819" s="128" t="s">
        <v>3879</v>
      </c>
      <c r="K819" s="128">
        <v>28.29</v>
      </c>
      <c r="L819" s="128" t="s">
        <v>4256</v>
      </c>
      <c r="M819" s="128" t="s">
        <v>4257</v>
      </c>
      <c r="N819" s="128" t="s">
        <v>4258</v>
      </c>
      <c r="O819" s="128">
        <v>540</v>
      </c>
      <c r="P819" s="128">
        <v>112</v>
      </c>
      <c r="Q819" s="128">
        <v>103</v>
      </c>
      <c r="R819" s="128">
        <v>221</v>
      </c>
      <c r="S819" s="128">
        <v>51</v>
      </c>
      <c r="T819" s="128">
        <v>63</v>
      </c>
      <c r="U819" s="128">
        <v>550</v>
      </c>
      <c r="V819" s="128" t="s">
        <v>1547</v>
      </c>
    </row>
    <row r="820" spans="1:22" x14ac:dyDescent="0.35">
      <c r="A820" s="118">
        <v>819</v>
      </c>
      <c r="B820" s="128" t="s">
        <v>170</v>
      </c>
      <c r="C820" s="128" t="s">
        <v>6244</v>
      </c>
      <c r="D820" s="128" t="s">
        <v>4254</v>
      </c>
      <c r="E820" s="128" t="s">
        <v>4259</v>
      </c>
      <c r="F820" s="128">
        <v>1997</v>
      </c>
      <c r="G820" s="128">
        <v>41</v>
      </c>
      <c r="H820" s="128">
        <v>10</v>
      </c>
      <c r="I820" s="128">
        <v>51</v>
      </c>
      <c r="J820" s="128" t="s">
        <v>3879</v>
      </c>
      <c r="K820" s="128">
        <v>13.01</v>
      </c>
      <c r="L820" s="128" t="s">
        <v>4260</v>
      </c>
      <c r="M820" s="128" t="s">
        <v>1536</v>
      </c>
      <c r="N820" s="128" t="s">
        <v>2133</v>
      </c>
      <c r="O820" s="128">
        <v>477</v>
      </c>
      <c r="P820" s="128">
        <v>104</v>
      </c>
      <c r="Q820" s="128">
        <v>86</v>
      </c>
      <c r="R820" s="128">
        <v>199</v>
      </c>
      <c r="S820" s="128">
        <v>42</v>
      </c>
      <c r="T820" s="128">
        <v>56</v>
      </c>
      <c r="U820" s="128">
        <v>487</v>
      </c>
      <c r="V820" s="128" t="s">
        <v>1547</v>
      </c>
    </row>
    <row r="821" spans="1:22" x14ac:dyDescent="0.35">
      <c r="A821" s="118">
        <v>820</v>
      </c>
      <c r="B821" s="128" t="s">
        <v>170</v>
      </c>
      <c r="C821" s="128" t="s">
        <v>297</v>
      </c>
      <c r="D821" s="128" t="s">
        <v>4261</v>
      </c>
      <c r="E821" s="128" t="s">
        <v>1171</v>
      </c>
      <c r="F821" s="128">
        <v>2007</v>
      </c>
      <c r="G821" s="128">
        <v>35</v>
      </c>
      <c r="H821" s="128">
        <v>4</v>
      </c>
      <c r="I821" s="128">
        <v>39</v>
      </c>
      <c r="J821" s="128" t="s">
        <v>3879</v>
      </c>
      <c r="K821" s="128">
        <v>9.74</v>
      </c>
      <c r="L821" s="128" t="s">
        <v>4262</v>
      </c>
      <c r="M821" s="128" t="s">
        <v>4263</v>
      </c>
      <c r="N821" s="128" t="s">
        <v>4264</v>
      </c>
      <c r="O821" s="128">
        <v>397</v>
      </c>
      <c r="P821" s="128">
        <v>92</v>
      </c>
      <c r="Q821" s="128">
        <v>69</v>
      </c>
      <c r="R821" s="128">
        <v>167</v>
      </c>
      <c r="S821" s="128">
        <v>32</v>
      </c>
      <c r="T821" s="128">
        <v>50</v>
      </c>
      <c r="U821" s="128">
        <v>410</v>
      </c>
      <c r="V821" s="128" t="s">
        <v>2643</v>
      </c>
    </row>
    <row r="822" spans="1:22" x14ac:dyDescent="0.35">
      <c r="A822" s="118">
        <v>821</v>
      </c>
      <c r="B822" s="128" t="s">
        <v>170</v>
      </c>
      <c r="C822" s="128" t="s">
        <v>297</v>
      </c>
      <c r="D822" s="128" t="s">
        <v>4261</v>
      </c>
      <c r="E822" s="128" t="s">
        <v>1170</v>
      </c>
      <c r="F822" s="128">
        <v>2007</v>
      </c>
      <c r="G822" s="128">
        <v>31</v>
      </c>
      <c r="H822" s="128">
        <v>6</v>
      </c>
      <c r="I822" s="128">
        <v>37</v>
      </c>
      <c r="J822" s="128" t="s">
        <v>3879</v>
      </c>
      <c r="K822" s="128">
        <v>8.9499999999999993</v>
      </c>
      <c r="L822" s="128" t="s">
        <v>4265</v>
      </c>
      <c r="M822" s="128" t="s">
        <v>4266</v>
      </c>
      <c r="N822" s="128" t="s">
        <v>4267</v>
      </c>
      <c r="O822" s="128">
        <v>440</v>
      </c>
      <c r="P822" s="128">
        <v>100</v>
      </c>
      <c r="Q822" s="128">
        <v>79</v>
      </c>
      <c r="R822" s="128">
        <v>180</v>
      </c>
      <c r="S822" s="128">
        <v>36</v>
      </c>
      <c r="T822" s="128">
        <v>50</v>
      </c>
      <c r="U822" s="128">
        <v>445</v>
      </c>
      <c r="V822" s="128" t="s">
        <v>2643</v>
      </c>
    </row>
    <row r="823" spans="1:22" x14ac:dyDescent="0.35">
      <c r="A823" s="118">
        <v>822</v>
      </c>
      <c r="B823" s="128" t="s">
        <v>170</v>
      </c>
      <c r="C823" s="128" t="s">
        <v>297</v>
      </c>
      <c r="D823" s="128" t="s">
        <v>1090</v>
      </c>
      <c r="E823" s="128" t="s">
        <v>1169</v>
      </c>
      <c r="F823" s="128">
        <v>1989</v>
      </c>
      <c r="G823" s="128">
        <v>41</v>
      </c>
      <c r="H823" s="128">
        <v>2</v>
      </c>
      <c r="I823" s="128">
        <v>43</v>
      </c>
      <c r="J823" s="128" t="s">
        <v>3879</v>
      </c>
      <c r="K823" s="128">
        <v>11.97</v>
      </c>
      <c r="L823" s="128" t="s">
        <v>1757</v>
      </c>
      <c r="M823" s="128" t="s">
        <v>1620</v>
      </c>
      <c r="N823" s="128" t="s">
        <v>4268</v>
      </c>
      <c r="O823" s="128">
        <v>499</v>
      </c>
      <c r="P823" s="128">
        <v>107</v>
      </c>
      <c r="Q823" s="128">
        <v>90</v>
      </c>
      <c r="R823" s="128">
        <v>206</v>
      </c>
      <c r="S823" s="128">
        <v>46</v>
      </c>
      <c r="T823" s="128">
        <v>59</v>
      </c>
      <c r="U823" s="128">
        <v>508</v>
      </c>
      <c r="V823" s="128" t="s">
        <v>1547</v>
      </c>
    </row>
    <row r="824" spans="1:22" x14ac:dyDescent="0.35">
      <c r="A824" s="118">
        <v>823</v>
      </c>
      <c r="B824" s="128" t="s">
        <v>170</v>
      </c>
      <c r="C824" s="128" t="s">
        <v>297</v>
      </c>
      <c r="D824" s="128" t="s">
        <v>1090</v>
      </c>
      <c r="E824" s="128" t="s">
        <v>1167</v>
      </c>
      <c r="F824" s="128">
        <v>2007</v>
      </c>
      <c r="G824" s="128">
        <v>43</v>
      </c>
      <c r="H824" s="128">
        <v>2</v>
      </c>
      <c r="I824" s="128">
        <v>45</v>
      </c>
      <c r="J824" s="128" t="s">
        <v>3879</v>
      </c>
      <c r="K824" s="128">
        <v>10.17</v>
      </c>
      <c r="L824" s="128" t="s">
        <v>1580</v>
      </c>
      <c r="M824" s="128" t="s">
        <v>2584</v>
      </c>
      <c r="N824" s="128" t="s">
        <v>4269</v>
      </c>
      <c r="O824" s="128">
        <v>502</v>
      </c>
      <c r="P824" s="128">
        <v>110</v>
      </c>
      <c r="Q824" s="128">
        <v>92</v>
      </c>
      <c r="R824" s="128">
        <v>201</v>
      </c>
      <c r="S824" s="128">
        <v>45</v>
      </c>
      <c r="T824" s="128">
        <v>60</v>
      </c>
      <c r="U824" s="128">
        <v>508</v>
      </c>
      <c r="V824" s="128" t="s">
        <v>1547</v>
      </c>
    </row>
    <row r="825" spans="1:22" x14ac:dyDescent="0.35">
      <c r="A825" s="118">
        <v>824</v>
      </c>
      <c r="B825" s="128" t="s">
        <v>170</v>
      </c>
      <c r="C825" s="128" t="s">
        <v>297</v>
      </c>
      <c r="D825" s="128" t="s">
        <v>1548</v>
      </c>
      <c r="E825" s="128" t="s">
        <v>1168</v>
      </c>
      <c r="F825" s="128">
        <v>2007</v>
      </c>
      <c r="G825" s="128">
        <v>66</v>
      </c>
      <c r="H825" s="128">
        <v>5</v>
      </c>
      <c r="I825" s="128">
        <v>71</v>
      </c>
      <c r="J825" s="128" t="s">
        <v>3879</v>
      </c>
      <c r="K825" s="128">
        <v>12.2</v>
      </c>
      <c r="L825" s="128" t="s">
        <v>1770</v>
      </c>
      <c r="M825" s="128" t="s">
        <v>4270</v>
      </c>
      <c r="N825" s="128" t="s">
        <v>4271</v>
      </c>
      <c r="O825" s="128">
        <v>418</v>
      </c>
      <c r="P825" s="128">
        <v>100</v>
      </c>
      <c r="Q825" s="128">
        <v>68</v>
      </c>
      <c r="R825" s="128">
        <v>171</v>
      </c>
      <c r="S825" s="128">
        <v>36</v>
      </c>
      <c r="T825" s="128">
        <v>50</v>
      </c>
      <c r="U825" s="128">
        <v>425</v>
      </c>
      <c r="V825" s="128" t="s">
        <v>2643</v>
      </c>
    </row>
    <row r="826" spans="1:22" x14ac:dyDescent="0.35">
      <c r="A826" s="118">
        <v>825</v>
      </c>
      <c r="B826" s="128" t="s">
        <v>170</v>
      </c>
      <c r="C826" s="128" t="s">
        <v>297</v>
      </c>
      <c r="D826" s="128" t="s">
        <v>1517</v>
      </c>
      <c r="E826" s="128" t="s">
        <v>1166</v>
      </c>
      <c r="F826" s="128">
        <v>2007</v>
      </c>
      <c r="G826" s="128">
        <v>43</v>
      </c>
      <c r="H826" s="128">
        <v>5</v>
      </c>
      <c r="I826" s="128">
        <v>48</v>
      </c>
      <c r="J826" s="128" t="s">
        <v>3879</v>
      </c>
      <c r="K826" s="128">
        <v>9.9</v>
      </c>
      <c r="L826" s="128" t="s">
        <v>4226</v>
      </c>
      <c r="M826" s="128" t="s">
        <v>4272</v>
      </c>
      <c r="N826" s="128" t="s">
        <v>4273</v>
      </c>
      <c r="O826" s="128">
        <v>484</v>
      </c>
      <c r="P826" s="128">
        <v>107</v>
      </c>
      <c r="Q826" s="128">
        <v>88</v>
      </c>
      <c r="R826" s="128">
        <v>199</v>
      </c>
      <c r="S826" s="128">
        <v>44</v>
      </c>
      <c r="T826" s="128">
        <v>58</v>
      </c>
      <c r="U826" s="128">
        <v>496</v>
      </c>
      <c r="V826" s="128" t="s">
        <v>1547</v>
      </c>
    </row>
    <row r="827" spans="1:22" x14ac:dyDescent="0.35">
      <c r="A827" s="118">
        <v>826</v>
      </c>
      <c r="B827" s="128" t="s">
        <v>170</v>
      </c>
      <c r="C827" s="128" t="s">
        <v>297</v>
      </c>
      <c r="D827" s="128" t="s">
        <v>1517</v>
      </c>
      <c r="E827" s="128" t="s">
        <v>1165</v>
      </c>
      <c r="F827" s="128">
        <v>1989</v>
      </c>
      <c r="G827" s="128">
        <v>38</v>
      </c>
      <c r="H827" s="128">
        <v>6</v>
      </c>
      <c r="I827" s="128">
        <v>44</v>
      </c>
      <c r="J827" s="128" t="s">
        <v>3879</v>
      </c>
      <c r="K827" s="128">
        <v>6.19</v>
      </c>
      <c r="L827" s="128" t="s">
        <v>4274</v>
      </c>
      <c r="M827" s="128" t="s">
        <v>4275</v>
      </c>
      <c r="N827" s="128" t="s">
        <v>4276</v>
      </c>
      <c r="O827" s="128">
        <v>408</v>
      </c>
      <c r="P827" s="128">
        <v>92</v>
      </c>
      <c r="Q827" s="128">
        <v>70</v>
      </c>
      <c r="R827" s="128">
        <v>174</v>
      </c>
      <c r="S827" s="128">
        <v>32</v>
      </c>
      <c r="T827" s="128">
        <v>50</v>
      </c>
      <c r="U827" s="128">
        <v>418</v>
      </c>
      <c r="V827" s="128" t="s">
        <v>2643</v>
      </c>
    </row>
    <row r="828" spans="1:22" x14ac:dyDescent="0.35">
      <c r="A828" s="118">
        <v>827</v>
      </c>
      <c r="B828" s="128" t="s">
        <v>170</v>
      </c>
      <c r="C828" s="128" t="s">
        <v>297</v>
      </c>
      <c r="D828" s="128" t="s">
        <v>1548</v>
      </c>
      <c r="E828" s="128" t="s">
        <v>1164</v>
      </c>
      <c r="F828" s="128">
        <v>2007</v>
      </c>
      <c r="G828" s="128">
        <v>53</v>
      </c>
      <c r="H828" s="128">
        <v>7</v>
      </c>
      <c r="I828" s="128">
        <v>60</v>
      </c>
      <c r="J828" s="128" t="s">
        <v>3879</v>
      </c>
      <c r="K828" s="128">
        <v>8.48</v>
      </c>
      <c r="L828" s="128" t="s">
        <v>4277</v>
      </c>
      <c r="M828" s="128" t="s">
        <v>4278</v>
      </c>
      <c r="N828" s="128" t="s">
        <v>3037</v>
      </c>
      <c r="O828" s="128">
        <v>378</v>
      </c>
      <c r="P828" s="128">
        <v>86</v>
      </c>
      <c r="Q828" s="128">
        <v>74</v>
      </c>
      <c r="R828" s="128">
        <v>148</v>
      </c>
      <c r="S828" s="128">
        <v>32</v>
      </c>
      <c r="T828" s="128">
        <v>50</v>
      </c>
      <c r="U828" s="128">
        <v>390</v>
      </c>
      <c r="V828" s="128" t="s">
        <v>2643</v>
      </c>
    </row>
    <row r="829" spans="1:22" x14ac:dyDescent="0.35">
      <c r="A829" s="118">
        <v>828</v>
      </c>
      <c r="B829" s="128" t="s">
        <v>170</v>
      </c>
      <c r="C829" s="128" t="s">
        <v>297</v>
      </c>
      <c r="D829" s="128" t="s">
        <v>1517</v>
      </c>
      <c r="E829" s="128" t="s">
        <v>1163</v>
      </c>
      <c r="F829" s="128">
        <v>2007</v>
      </c>
      <c r="G829" s="128">
        <v>43</v>
      </c>
      <c r="H829" s="128">
        <v>4</v>
      </c>
      <c r="I829" s="128">
        <v>47</v>
      </c>
      <c r="J829" s="128" t="s">
        <v>3879</v>
      </c>
      <c r="K829" s="128">
        <v>9.4</v>
      </c>
      <c r="L829" s="128" t="s">
        <v>4279</v>
      </c>
      <c r="M829" s="128" t="s">
        <v>4280</v>
      </c>
      <c r="N829" s="128" t="s">
        <v>4281</v>
      </c>
      <c r="O829" s="128">
        <v>376</v>
      </c>
      <c r="P829" s="128">
        <v>86</v>
      </c>
      <c r="Q829" s="128">
        <v>72</v>
      </c>
      <c r="R829" s="128">
        <v>147</v>
      </c>
      <c r="S829" s="128">
        <v>31</v>
      </c>
      <c r="T829" s="128">
        <v>50</v>
      </c>
      <c r="U829" s="128">
        <v>386</v>
      </c>
      <c r="V829" s="128" t="s">
        <v>2643</v>
      </c>
    </row>
    <row r="830" spans="1:22" x14ac:dyDescent="0.35">
      <c r="A830" s="118">
        <v>829</v>
      </c>
      <c r="B830" s="128" t="s">
        <v>170</v>
      </c>
      <c r="C830" s="128" t="s">
        <v>297</v>
      </c>
      <c r="D830" s="128" t="s">
        <v>1548</v>
      </c>
      <c r="E830" s="128" t="s">
        <v>1162</v>
      </c>
      <c r="F830" s="128">
        <v>2007</v>
      </c>
      <c r="G830" s="128">
        <v>37</v>
      </c>
      <c r="H830" s="128">
        <v>4</v>
      </c>
      <c r="I830" s="128">
        <v>41</v>
      </c>
      <c r="J830" s="128" t="s">
        <v>3879</v>
      </c>
      <c r="K830" s="128">
        <v>8.9499999999999993</v>
      </c>
      <c r="L830" s="128" t="s">
        <v>4282</v>
      </c>
      <c r="M830" s="128" t="s">
        <v>4283</v>
      </c>
      <c r="N830" s="128" t="s">
        <v>4284</v>
      </c>
      <c r="O830" s="128">
        <v>408</v>
      </c>
      <c r="P830" s="128">
        <v>88</v>
      </c>
      <c r="Q830" s="128">
        <v>74</v>
      </c>
      <c r="R830" s="128">
        <v>170</v>
      </c>
      <c r="S830" s="128">
        <v>33</v>
      </c>
      <c r="T830" s="128">
        <v>50</v>
      </c>
      <c r="U830" s="128">
        <v>415</v>
      </c>
      <c r="V830" s="128" t="s">
        <v>2643</v>
      </c>
    </row>
    <row r="831" spans="1:22" x14ac:dyDescent="0.35">
      <c r="A831" s="118">
        <v>830</v>
      </c>
      <c r="B831" s="128" t="s">
        <v>170</v>
      </c>
      <c r="C831" s="128" t="s">
        <v>6248</v>
      </c>
      <c r="D831" s="128" t="s">
        <v>2391</v>
      </c>
      <c r="E831" s="128" t="s">
        <v>375</v>
      </c>
      <c r="F831" s="128">
        <v>1990</v>
      </c>
      <c r="G831" s="128">
        <v>47</v>
      </c>
      <c r="H831" s="128">
        <v>2</v>
      </c>
      <c r="I831" s="128">
        <v>49</v>
      </c>
      <c r="J831" s="128" t="s">
        <v>4285</v>
      </c>
      <c r="K831" s="128">
        <v>11</v>
      </c>
      <c r="L831" s="128" t="s">
        <v>3988</v>
      </c>
      <c r="M831" s="128" t="s">
        <v>4286</v>
      </c>
      <c r="N831" s="128" t="s">
        <v>4287</v>
      </c>
      <c r="O831" s="128">
        <v>578</v>
      </c>
      <c r="P831" s="128">
        <v>127</v>
      </c>
      <c r="Q831" s="128">
        <v>109</v>
      </c>
      <c r="R831" s="128">
        <v>225</v>
      </c>
      <c r="S831" s="128">
        <v>59</v>
      </c>
      <c r="T831" s="128">
        <v>66</v>
      </c>
      <c r="U831" s="128">
        <v>586</v>
      </c>
      <c r="V831" s="128" t="s">
        <v>1547</v>
      </c>
    </row>
    <row r="832" spans="1:22" x14ac:dyDescent="0.35">
      <c r="A832" s="118">
        <v>831</v>
      </c>
      <c r="B832" s="128" t="s">
        <v>170</v>
      </c>
      <c r="C832" s="128" t="s">
        <v>6248</v>
      </c>
      <c r="D832" s="128" t="s">
        <v>4288</v>
      </c>
      <c r="E832" s="128" t="s">
        <v>1142</v>
      </c>
      <c r="F832" s="128">
        <v>1990</v>
      </c>
      <c r="G832" s="128">
        <v>86</v>
      </c>
      <c r="H832" s="128">
        <v>1</v>
      </c>
      <c r="I832" s="128">
        <v>87</v>
      </c>
      <c r="J832" s="128" t="s">
        <v>4289</v>
      </c>
      <c r="K832" s="128">
        <v>35.4</v>
      </c>
      <c r="L832" s="128" t="s">
        <v>4290</v>
      </c>
      <c r="M832" s="128" t="s">
        <v>4291</v>
      </c>
      <c r="N832" s="128" t="s">
        <v>4292</v>
      </c>
      <c r="O832" s="128">
        <v>528</v>
      </c>
      <c r="P832" s="128">
        <v>117</v>
      </c>
      <c r="Q832" s="128">
        <v>102</v>
      </c>
      <c r="R832" s="128">
        <v>209</v>
      </c>
      <c r="S832" s="128">
        <v>51</v>
      </c>
      <c r="T832" s="128">
        <v>59</v>
      </c>
      <c r="U832" s="128">
        <v>538</v>
      </c>
      <c r="V832" s="128" t="s">
        <v>1547</v>
      </c>
    </row>
    <row r="833" spans="1:22" x14ac:dyDescent="0.35">
      <c r="A833" s="118">
        <v>832</v>
      </c>
      <c r="B833" s="128" t="s">
        <v>170</v>
      </c>
      <c r="C833" s="128" t="s">
        <v>6248</v>
      </c>
      <c r="D833" s="128" t="s">
        <v>4293</v>
      </c>
      <c r="E833" s="128" t="s">
        <v>1133</v>
      </c>
      <c r="F833" s="128">
        <v>2007</v>
      </c>
      <c r="G833" s="128">
        <v>68</v>
      </c>
      <c r="H833" s="128">
        <v>0</v>
      </c>
      <c r="I833" s="128">
        <v>68</v>
      </c>
      <c r="J833" s="128" t="s">
        <v>4294</v>
      </c>
      <c r="K833" s="128">
        <v>26.6</v>
      </c>
      <c r="L833" s="128" t="s">
        <v>3426</v>
      </c>
      <c r="M833" s="128" t="s">
        <v>4295</v>
      </c>
      <c r="N833" s="128" t="s">
        <v>4296</v>
      </c>
      <c r="O833" s="128">
        <v>607</v>
      </c>
      <c r="P833" s="128">
        <v>135</v>
      </c>
      <c r="Q833" s="128">
        <v>113</v>
      </c>
      <c r="R833" s="128">
        <v>241</v>
      </c>
      <c r="S833" s="128">
        <v>61</v>
      </c>
      <c r="T833" s="128">
        <v>72</v>
      </c>
      <c r="U833" s="128">
        <v>622</v>
      </c>
      <c r="V833" s="128" t="s">
        <v>1547</v>
      </c>
    </row>
    <row r="834" spans="1:22" x14ac:dyDescent="0.35">
      <c r="A834" s="118">
        <v>833</v>
      </c>
      <c r="B834" s="128" t="s">
        <v>170</v>
      </c>
      <c r="C834" s="128" t="s">
        <v>6248</v>
      </c>
      <c r="D834" s="128" t="s">
        <v>4297</v>
      </c>
      <c r="E834" s="128" t="s">
        <v>686</v>
      </c>
      <c r="F834" s="128">
        <v>2007</v>
      </c>
      <c r="G834" s="128">
        <v>104</v>
      </c>
      <c r="H834" s="128">
        <v>12</v>
      </c>
      <c r="I834" s="128">
        <v>116</v>
      </c>
      <c r="J834" s="128" t="s">
        <v>4294</v>
      </c>
      <c r="K834" s="128">
        <v>28.4</v>
      </c>
      <c r="L834" s="128" t="s">
        <v>4298</v>
      </c>
      <c r="M834" s="128" t="s">
        <v>2779</v>
      </c>
      <c r="N834" s="128" t="s">
        <v>4299</v>
      </c>
      <c r="O834" s="128">
        <v>491</v>
      </c>
      <c r="P834" s="128">
        <v>107</v>
      </c>
      <c r="Q834" s="128">
        <v>93</v>
      </c>
      <c r="R834" s="128">
        <v>199</v>
      </c>
      <c r="S834" s="128">
        <v>51</v>
      </c>
      <c r="T834" s="128">
        <v>52</v>
      </c>
      <c r="U834" s="128">
        <v>502</v>
      </c>
      <c r="V834" s="128" t="s">
        <v>1547</v>
      </c>
    </row>
    <row r="835" spans="1:22" x14ac:dyDescent="0.35">
      <c r="A835" s="118">
        <v>834</v>
      </c>
      <c r="B835" s="128" t="s">
        <v>170</v>
      </c>
      <c r="C835" s="128" t="s">
        <v>6248</v>
      </c>
      <c r="D835" s="128" t="s">
        <v>4300</v>
      </c>
      <c r="E835" s="128" t="s">
        <v>4301</v>
      </c>
      <c r="F835" s="128">
        <v>2007</v>
      </c>
      <c r="G835" s="128">
        <v>96</v>
      </c>
      <c r="H835" s="128">
        <v>9</v>
      </c>
      <c r="I835" s="128">
        <v>105</v>
      </c>
      <c r="J835" s="128" t="s">
        <v>4302</v>
      </c>
      <c r="K835" s="128">
        <v>18.600000000000001</v>
      </c>
      <c r="L835" s="128" t="s">
        <v>4303</v>
      </c>
      <c r="M835" s="128" t="s">
        <v>4304</v>
      </c>
      <c r="N835" s="128" t="s">
        <v>4305</v>
      </c>
      <c r="O835" s="128">
        <v>481</v>
      </c>
      <c r="P835" s="128">
        <v>107</v>
      </c>
      <c r="Q835" s="128">
        <v>88</v>
      </c>
      <c r="R835" s="128">
        <v>200</v>
      </c>
      <c r="S835" s="128">
        <v>46</v>
      </c>
      <c r="T835" s="128">
        <v>51</v>
      </c>
      <c r="U835" s="128">
        <v>492</v>
      </c>
      <c r="V835" s="128" t="s">
        <v>1547</v>
      </c>
    </row>
    <row r="836" spans="1:22" x14ac:dyDescent="0.35">
      <c r="A836" s="118">
        <v>835</v>
      </c>
      <c r="B836" s="128" t="s">
        <v>170</v>
      </c>
      <c r="C836" s="128" t="s">
        <v>6248</v>
      </c>
      <c r="D836" s="128" t="s">
        <v>4306</v>
      </c>
      <c r="E836" s="128" t="s">
        <v>4307</v>
      </c>
      <c r="F836" s="128">
        <v>2007</v>
      </c>
      <c r="G836" s="128">
        <v>40</v>
      </c>
      <c r="H836" s="128">
        <v>2</v>
      </c>
      <c r="I836" s="128">
        <v>42</v>
      </c>
      <c r="J836" s="128" t="s">
        <v>4294</v>
      </c>
      <c r="K836" s="128">
        <v>31.8</v>
      </c>
      <c r="L836" s="128" t="s">
        <v>4308</v>
      </c>
      <c r="M836" s="128" t="s">
        <v>3691</v>
      </c>
      <c r="N836" s="128" t="s">
        <v>2835</v>
      </c>
      <c r="O836" s="128">
        <v>583</v>
      </c>
      <c r="P836" s="128">
        <v>121</v>
      </c>
      <c r="Q836" s="128">
        <v>108</v>
      </c>
      <c r="R836" s="128">
        <v>230</v>
      </c>
      <c r="S836" s="128">
        <v>66</v>
      </c>
      <c r="T836" s="128">
        <v>69</v>
      </c>
      <c r="U836" s="128">
        <v>594</v>
      </c>
      <c r="V836" s="128" t="s">
        <v>1547</v>
      </c>
    </row>
    <row r="837" spans="1:22" x14ac:dyDescent="0.35">
      <c r="A837" s="118">
        <v>836</v>
      </c>
      <c r="B837" s="128" t="s">
        <v>170</v>
      </c>
      <c r="C837" s="128" t="s">
        <v>6248</v>
      </c>
      <c r="D837" s="128" t="s">
        <v>2391</v>
      </c>
      <c r="E837" s="128" t="s">
        <v>4309</v>
      </c>
      <c r="F837" s="128">
        <v>2016</v>
      </c>
      <c r="G837" s="128">
        <v>0</v>
      </c>
      <c r="H837" s="128">
        <v>24</v>
      </c>
      <c r="I837" s="128">
        <v>24</v>
      </c>
      <c r="J837" s="128" t="s">
        <v>4310</v>
      </c>
      <c r="K837" s="128">
        <v>0.3</v>
      </c>
      <c r="L837" s="128" t="s">
        <v>4311</v>
      </c>
      <c r="M837" s="128" t="s">
        <v>4312</v>
      </c>
      <c r="N837" s="128" t="s">
        <v>2532</v>
      </c>
      <c r="O837" s="128">
        <v>425</v>
      </c>
      <c r="P837" s="128">
        <v>100</v>
      </c>
      <c r="Q837" s="128">
        <v>80</v>
      </c>
      <c r="R837" s="128">
        <v>185</v>
      </c>
      <c r="S837" s="128">
        <v>40</v>
      </c>
      <c r="T837" s="128">
        <v>50</v>
      </c>
      <c r="U837" s="128">
        <v>455</v>
      </c>
      <c r="V837" s="128" t="s">
        <v>2643</v>
      </c>
    </row>
    <row r="838" spans="1:22" x14ac:dyDescent="0.35">
      <c r="A838" s="118">
        <v>837</v>
      </c>
      <c r="B838" s="128" t="s">
        <v>170</v>
      </c>
      <c r="C838" s="128" t="s">
        <v>294</v>
      </c>
      <c r="D838" s="128" t="s">
        <v>4313</v>
      </c>
      <c r="E838" s="128" t="s">
        <v>4314</v>
      </c>
      <c r="F838" s="128">
        <v>1990</v>
      </c>
      <c r="G838" s="128">
        <v>60</v>
      </c>
      <c r="H838" s="128">
        <v>6</v>
      </c>
      <c r="I838" s="128">
        <v>66</v>
      </c>
      <c r="J838" s="128" t="s">
        <v>4315</v>
      </c>
      <c r="K838" s="128">
        <v>11.6</v>
      </c>
      <c r="L838" s="128" t="s">
        <v>4316</v>
      </c>
      <c r="M838" s="128" t="s">
        <v>4317</v>
      </c>
      <c r="N838" s="128" t="s">
        <v>4318</v>
      </c>
      <c r="O838" s="128">
        <v>741</v>
      </c>
      <c r="P838" s="128">
        <v>150</v>
      </c>
      <c r="Q838" s="128">
        <v>135</v>
      </c>
      <c r="R838" s="128">
        <v>305</v>
      </c>
      <c r="S838" s="128">
        <v>77</v>
      </c>
      <c r="T838" s="128">
        <v>82</v>
      </c>
      <c r="U838" s="128">
        <v>749</v>
      </c>
      <c r="V838" s="128" t="s">
        <v>2702</v>
      </c>
    </row>
    <row r="839" spans="1:22" x14ac:dyDescent="0.35">
      <c r="A839" s="118">
        <v>838</v>
      </c>
      <c r="B839" s="128" t="s">
        <v>170</v>
      </c>
      <c r="C839" s="128" t="s">
        <v>294</v>
      </c>
      <c r="D839" s="128" t="s">
        <v>4319</v>
      </c>
      <c r="E839" s="128" t="s">
        <v>4320</v>
      </c>
      <c r="F839" s="128">
        <v>1990</v>
      </c>
      <c r="G839" s="128">
        <v>81</v>
      </c>
      <c r="H839" s="128">
        <v>10</v>
      </c>
      <c r="I839" s="128">
        <v>91</v>
      </c>
      <c r="J839" s="128" t="s">
        <v>4321</v>
      </c>
      <c r="K839" s="128">
        <v>33.6</v>
      </c>
      <c r="L839" s="128" t="s">
        <v>4322</v>
      </c>
      <c r="M839" s="128" t="s">
        <v>4323</v>
      </c>
      <c r="N839" s="128" t="s">
        <v>4324</v>
      </c>
      <c r="O839" s="128">
        <v>579</v>
      </c>
      <c r="P839" s="128">
        <v>129</v>
      </c>
      <c r="Q839" s="128">
        <v>102</v>
      </c>
      <c r="R839" s="128">
        <v>233</v>
      </c>
      <c r="S839" s="128">
        <v>62</v>
      </c>
      <c r="T839" s="128">
        <v>61</v>
      </c>
      <c r="U839" s="128">
        <v>587</v>
      </c>
      <c r="V839" s="128" t="s">
        <v>1547</v>
      </c>
    </row>
    <row r="840" spans="1:22" x14ac:dyDescent="0.35">
      <c r="A840" s="118">
        <v>839</v>
      </c>
      <c r="B840" s="128" t="s">
        <v>170</v>
      </c>
      <c r="C840" s="128" t="s">
        <v>294</v>
      </c>
      <c r="D840" s="128" t="s">
        <v>2391</v>
      </c>
      <c r="E840" s="128" t="s">
        <v>4325</v>
      </c>
      <c r="F840" s="128">
        <v>2007</v>
      </c>
      <c r="G840" s="128">
        <v>69</v>
      </c>
      <c r="H840" s="128">
        <v>3</v>
      </c>
      <c r="I840" s="128">
        <v>72</v>
      </c>
      <c r="J840" s="128" t="s">
        <v>4326</v>
      </c>
      <c r="K840" s="128">
        <v>44</v>
      </c>
      <c r="L840" s="128" t="s">
        <v>2438</v>
      </c>
      <c r="M840" s="128" t="s">
        <v>4327</v>
      </c>
      <c r="N840" s="128" t="s">
        <v>4328</v>
      </c>
      <c r="O840" s="128">
        <v>586</v>
      </c>
      <c r="P840" s="128">
        <v>129</v>
      </c>
      <c r="Q840" s="128">
        <v>104</v>
      </c>
      <c r="R840" s="128">
        <v>238</v>
      </c>
      <c r="S840" s="128">
        <v>64</v>
      </c>
      <c r="T840" s="128">
        <v>63</v>
      </c>
      <c r="U840" s="128">
        <v>598</v>
      </c>
      <c r="V840" s="128" t="s">
        <v>1547</v>
      </c>
    </row>
    <row r="841" spans="1:22" x14ac:dyDescent="0.35">
      <c r="A841" s="118">
        <v>840</v>
      </c>
      <c r="B841" s="128" t="s">
        <v>170</v>
      </c>
      <c r="C841" s="128" t="s">
        <v>294</v>
      </c>
      <c r="D841" s="128" t="s">
        <v>4329</v>
      </c>
      <c r="E841" s="128" t="s">
        <v>4330</v>
      </c>
      <c r="F841" s="128">
        <v>2007</v>
      </c>
      <c r="G841" s="128">
        <v>68</v>
      </c>
      <c r="H841" s="128">
        <v>2</v>
      </c>
      <c r="I841" s="128">
        <v>70</v>
      </c>
      <c r="J841" s="128" t="s">
        <v>4331</v>
      </c>
      <c r="K841" s="128">
        <v>13</v>
      </c>
      <c r="L841" s="128" t="s">
        <v>4332</v>
      </c>
      <c r="M841" s="128" t="s">
        <v>4333</v>
      </c>
      <c r="N841" s="128" t="s">
        <v>4328</v>
      </c>
      <c r="O841" s="128">
        <v>552</v>
      </c>
      <c r="P841" s="128">
        <v>120</v>
      </c>
      <c r="Q841" s="128">
        <v>101</v>
      </c>
      <c r="R841" s="128">
        <v>213</v>
      </c>
      <c r="S841" s="128">
        <v>68</v>
      </c>
      <c r="T841" s="128">
        <v>60</v>
      </c>
      <c r="U841" s="128">
        <v>562</v>
      </c>
      <c r="V841" s="128" t="s">
        <v>1547</v>
      </c>
    </row>
    <row r="842" spans="1:22" x14ac:dyDescent="0.35">
      <c r="A842" s="118">
        <v>841</v>
      </c>
      <c r="B842" s="128" t="s">
        <v>170</v>
      </c>
      <c r="C842" s="128" t="s">
        <v>294</v>
      </c>
      <c r="D842" s="128" t="s">
        <v>4334</v>
      </c>
      <c r="E842" s="128" t="s">
        <v>4335</v>
      </c>
      <c r="F842" s="128">
        <v>2007</v>
      </c>
      <c r="G842" s="128">
        <v>89</v>
      </c>
      <c r="H842" s="128">
        <v>14</v>
      </c>
      <c r="I842" s="128">
        <v>103</v>
      </c>
      <c r="J842" s="128" t="s">
        <v>4336</v>
      </c>
      <c r="K842" s="128">
        <v>58.1</v>
      </c>
      <c r="L842" s="128" t="s">
        <v>4337</v>
      </c>
      <c r="M842" s="128" t="s">
        <v>4338</v>
      </c>
      <c r="N842" s="128" t="s">
        <v>4339</v>
      </c>
      <c r="O842" s="128">
        <v>611</v>
      </c>
      <c r="P842" s="128">
        <v>132</v>
      </c>
      <c r="Q842" s="128">
        <v>109</v>
      </c>
      <c r="R842" s="128">
        <v>246</v>
      </c>
      <c r="S842" s="128">
        <v>68</v>
      </c>
      <c r="T842" s="128">
        <v>65</v>
      </c>
      <c r="U842" s="128">
        <v>620</v>
      </c>
      <c r="V842" s="128" t="s">
        <v>1547</v>
      </c>
    </row>
    <row r="843" spans="1:22" x14ac:dyDescent="0.35">
      <c r="A843" s="118">
        <v>842</v>
      </c>
      <c r="B843" s="128" t="s">
        <v>170</v>
      </c>
      <c r="C843" s="128" t="s">
        <v>294</v>
      </c>
      <c r="D843" s="128" t="s">
        <v>4340</v>
      </c>
      <c r="E843" s="128" t="s">
        <v>4341</v>
      </c>
      <c r="F843" s="128">
        <v>2007</v>
      </c>
      <c r="G843" s="128">
        <v>52</v>
      </c>
      <c r="H843" s="128">
        <v>0</v>
      </c>
      <c r="I843" s="128">
        <v>52</v>
      </c>
      <c r="J843" s="128" t="s">
        <v>4342</v>
      </c>
      <c r="K843" s="128">
        <v>7.6</v>
      </c>
      <c r="L843" s="128" t="s">
        <v>4343</v>
      </c>
      <c r="M843" s="128" t="s">
        <v>4344</v>
      </c>
      <c r="N843" s="128" t="s">
        <v>4345</v>
      </c>
      <c r="O843" s="128">
        <v>544</v>
      </c>
      <c r="P843" s="128">
        <v>120</v>
      </c>
      <c r="Q843" s="128">
        <v>101</v>
      </c>
      <c r="R843" s="128">
        <v>214</v>
      </c>
      <c r="S843" s="128">
        <v>61</v>
      </c>
      <c r="T843" s="128">
        <v>62</v>
      </c>
      <c r="U843" s="128">
        <v>558</v>
      </c>
      <c r="V843" s="128" t="s">
        <v>1547</v>
      </c>
    </row>
    <row r="844" spans="1:22" x14ac:dyDescent="0.35">
      <c r="A844" s="118">
        <v>843</v>
      </c>
      <c r="B844" s="128" t="s">
        <v>170</v>
      </c>
      <c r="C844" s="128" t="s">
        <v>294</v>
      </c>
      <c r="D844" s="128" t="s">
        <v>4313</v>
      </c>
      <c r="E844" s="128" t="s">
        <v>4346</v>
      </c>
      <c r="F844" s="128">
        <v>2011</v>
      </c>
      <c r="G844" s="128">
        <v>37</v>
      </c>
      <c r="H844" s="128">
        <v>0</v>
      </c>
      <c r="I844" s="128">
        <v>37</v>
      </c>
      <c r="J844" s="128" t="s">
        <v>4347</v>
      </c>
      <c r="K844" s="128">
        <v>13.6</v>
      </c>
      <c r="L844" s="128" t="s">
        <v>2691</v>
      </c>
      <c r="M844" s="128" t="s">
        <v>4348</v>
      </c>
      <c r="N844" s="128" t="s">
        <v>3870</v>
      </c>
      <c r="O844" s="128">
        <v>531</v>
      </c>
      <c r="P844" s="128">
        <v>119</v>
      </c>
      <c r="Q844" s="128">
        <v>98</v>
      </c>
      <c r="R844" s="128">
        <v>213</v>
      </c>
      <c r="S844" s="128">
        <v>51</v>
      </c>
      <c r="T844" s="128">
        <v>61</v>
      </c>
      <c r="U844" s="128">
        <v>542</v>
      </c>
      <c r="V844" s="128" t="s">
        <v>1547</v>
      </c>
    </row>
    <row r="845" spans="1:22" x14ac:dyDescent="0.35">
      <c r="A845" s="118">
        <v>844</v>
      </c>
      <c r="B845" s="128" t="s">
        <v>170</v>
      </c>
      <c r="C845" s="128" t="s">
        <v>294</v>
      </c>
      <c r="D845" s="128" t="s">
        <v>4340</v>
      </c>
      <c r="E845" s="128" t="s">
        <v>373</v>
      </c>
      <c r="F845" s="128">
        <v>2010</v>
      </c>
      <c r="G845" s="128">
        <v>55</v>
      </c>
      <c r="H845" s="128">
        <v>7</v>
      </c>
      <c r="I845" s="128">
        <v>72</v>
      </c>
      <c r="J845" s="128" t="s">
        <v>4349</v>
      </c>
      <c r="K845" s="128">
        <v>12.3</v>
      </c>
      <c r="L845" s="128" t="s">
        <v>3450</v>
      </c>
      <c r="M845" s="128" t="s">
        <v>4350</v>
      </c>
      <c r="N845" s="128" t="s">
        <v>2408</v>
      </c>
      <c r="O845" s="128">
        <v>734</v>
      </c>
      <c r="P845" s="128">
        <v>143</v>
      </c>
      <c r="Q845" s="128">
        <v>135</v>
      </c>
      <c r="R845" s="128">
        <v>308</v>
      </c>
      <c r="S845" s="128">
        <v>79</v>
      </c>
      <c r="T845" s="128">
        <v>80</v>
      </c>
      <c r="U845" s="128">
        <v>745</v>
      </c>
      <c r="V845" s="128" t="s">
        <v>2702</v>
      </c>
    </row>
    <row r="846" spans="1:22" x14ac:dyDescent="0.35">
      <c r="A846" s="118">
        <v>845</v>
      </c>
      <c r="B846" s="128" t="s">
        <v>170</v>
      </c>
      <c r="C846" s="128" t="s">
        <v>294</v>
      </c>
      <c r="D846" s="128" t="s">
        <v>4340</v>
      </c>
      <c r="E846" s="128" t="s">
        <v>4351</v>
      </c>
      <c r="F846" s="128">
        <v>2010</v>
      </c>
      <c r="G846" s="128">
        <v>28</v>
      </c>
      <c r="H846" s="128">
        <v>1</v>
      </c>
      <c r="I846" s="128">
        <v>29</v>
      </c>
      <c r="J846" s="128" t="s">
        <v>4352</v>
      </c>
      <c r="K846" s="128">
        <v>11.5</v>
      </c>
      <c r="L846" s="128" t="s">
        <v>4353</v>
      </c>
      <c r="M846" s="128" t="s">
        <v>2516</v>
      </c>
      <c r="N846" s="128" t="s">
        <v>4354</v>
      </c>
      <c r="O846" s="128">
        <v>488</v>
      </c>
      <c r="P846" s="128">
        <v>106</v>
      </c>
      <c r="Q846" s="128">
        <v>86</v>
      </c>
      <c r="R846" s="128">
        <v>211</v>
      </c>
      <c r="S846" s="128">
        <v>42</v>
      </c>
      <c r="T846" s="128">
        <v>52</v>
      </c>
      <c r="U846" s="128">
        <v>497</v>
      </c>
      <c r="V846" s="128" t="s">
        <v>1547</v>
      </c>
    </row>
    <row r="847" spans="1:22" x14ac:dyDescent="0.35">
      <c r="A847" s="118">
        <v>846</v>
      </c>
      <c r="B847" s="128" t="s">
        <v>170</v>
      </c>
      <c r="C847" s="128" t="s">
        <v>294</v>
      </c>
      <c r="D847" s="128" t="s">
        <v>4319</v>
      </c>
      <c r="E847" s="128" t="s">
        <v>1108</v>
      </c>
      <c r="F847" s="128">
        <v>2011</v>
      </c>
      <c r="G847" s="128">
        <v>55</v>
      </c>
      <c r="H847" s="128">
        <v>6</v>
      </c>
      <c r="I847" s="128">
        <v>61</v>
      </c>
      <c r="J847" s="128" t="s">
        <v>4355</v>
      </c>
      <c r="K847" s="128">
        <v>44.6</v>
      </c>
      <c r="L847" s="128" t="s">
        <v>4356</v>
      </c>
      <c r="M847" s="128" t="s">
        <v>3119</v>
      </c>
      <c r="N847" s="128" t="s">
        <v>4357</v>
      </c>
      <c r="O847" s="128">
        <v>499</v>
      </c>
      <c r="P847" s="128">
        <v>110</v>
      </c>
      <c r="Q847" s="128">
        <v>91</v>
      </c>
      <c r="R847" s="128">
        <v>205</v>
      </c>
      <c r="S847" s="128">
        <v>48</v>
      </c>
      <c r="T847" s="128">
        <v>57</v>
      </c>
      <c r="U847" s="128">
        <v>511</v>
      </c>
      <c r="V847" s="128" t="s">
        <v>1547</v>
      </c>
    </row>
    <row r="848" spans="1:22" x14ac:dyDescent="0.35">
      <c r="A848" s="118">
        <v>847</v>
      </c>
      <c r="B848" s="128" t="s">
        <v>170</v>
      </c>
      <c r="C848" s="128" t="s">
        <v>294</v>
      </c>
      <c r="D848" s="128" t="s">
        <v>4329</v>
      </c>
      <c r="E848" s="128" t="s">
        <v>1107</v>
      </c>
      <c r="F848" s="128">
        <v>2015</v>
      </c>
      <c r="G848" s="128">
        <v>23</v>
      </c>
      <c r="H848" s="128">
        <v>3</v>
      </c>
      <c r="I848" s="128">
        <v>26</v>
      </c>
      <c r="J848" s="128" t="s">
        <v>4358</v>
      </c>
      <c r="K848" s="128">
        <v>8.8000000000000007</v>
      </c>
      <c r="L848" s="128" t="s">
        <v>4359</v>
      </c>
      <c r="M848" s="128" t="s">
        <v>4360</v>
      </c>
      <c r="N848" s="128" t="s">
        <v>2681</v>
      </c>
      <c r="O848" s="128">
        <v>528</v>
      </c>
      <c r="P848" s="128">
        <v>119</v>
      </c>
      <c r="Q848" s="128">
        <v>97</v>
      </c>
      <c r="R848" s="128">
        <v>210</v>
      </c>
      <c r="S848" s="128">
        <v>51</v>
      </c>
      <c r="T848" s="128">
        <v>61</v>
      </c>
      <c r="U848" s="128">
        <v>538</v>
      </c>
      <c r="V848" s="128" t="s">
        <v>1547</v>
      </c>
    </row>
    <row r="849" spans="1:22" x14ac:dyDescent="0.35">
      <c r="A849" s="118">
        <v>848</v>
      </c>
      <c r="B849" s="128" t="s">
        <v>170</v>
      </c>
      <c r="C849" s="128" t="s">
        <v>6249</v>
      </c>
      <c r="D849" s="128" t="s">
        <v>4361</v>
      </c>
      <c r="E849" s="128" t="s">
        <v>1152</v>
      </c>
      <c r="F849" s="128">
        <v>1981</v>
      </c>
      <c r="G849" s="128">
        <v>145</v>
      </c>
      <c r="H849" s="128">
        <v>25</v>
      </c>
      <c r="I849" s="128">
        <v>170</v>
      </c>
      <c r="J849" s="128" t="s">
        <v>3879</v>
      </c>
      <c r="K849" s="128" t="s">
        <v>4362</v>
      </c>
      <c r="L849" s="128" t="s">
        <v>4363</v>
      </c>
      <c r="M849" s="128" t="s">
        <v>4364</v>
      </c>
      <c r="N849" s="128" t="s">
        <v>4365</v>
      </c>
      <c r="O849" s="128">
        <v>627</v>
      </c>
      <c r="P849" s="128">
        <v>122</v>
      </c>
      <c r="Q849" s="128">
        <v>113</v>
      </c>
      <c r="R849" s="128">
        <v>253</v>
      </c>
      <c r="S849" s="128">
        <v>66</v>
      </c>
      <c r="T849" s="128">
        <v>80</v>
      </c>
      <c r="U849" s="128">
        <v>634</v>
      </c>
      <c r="V849" s="128" t="s">
        <v>1547</v>
      </c>
    </row>
    <row r="850" spans="1:22" x14ac:dyDescent="0.35">
      <c r="A850" s="118">
        <v>849</v>
      </c>
      <c r="B850" s="128" t="s">
        <v>170</v>
      </c>
      <c r="C850" s="128" t="s">
        <v>6249</v>
      </c>
      <c r="D850" s="128" t="s">
        <v>4366</v>
      </c>
      <c r="E850" s="128" t="s">
        <v>4367</v>
      </c>
      <c r="F850" s="128">
        <v>1993</v>
      </c>
      <c r="G850" s="128">
        <v>128</v>
      </c>
      <c r="H850" s="128">
        <v>20</v>
      </c>
      <c r="I850" s="128">
        <v>148</v>
      </c>
      <c r="J850" s="128" t="s">
        <v>3879</v>
      </c>
      <c r="K850" s="128" t="s">
        <v>4368</v>
      </c>
      <c r="L850" s="128" t="s">
        <v>1577</v>
      </c>
      <c r="M850" s="128" t="s">
        <v>1620</v>
      </c>
      <c r="N850" s="128" t="s">
        <v>4369</v>
      </c>
      <c r="O850" s="128">
        <v>622</v>
      </c>
      <c r="P850" s="128">
        <v>131</v>
      </c>
      <c r="Q850" s="128">
        <v>103</v>
      </c>
      <c r="R850" s="128">
        <v>239</v>
      </c>
      <c r="S850" s="128">
        <v>76</v>
      </c>
      <c r="T850" s="128">
        <v>80</v>
      </c>
      <c r="U850" s="128">
        <v>629</v>
      </c>
      <c r="V850" s="128" t="s">
        <v>1547</v>
      </c>
    </row>
    <row r="851" spans="1:22" x14ac:dyDescent="0.35">
      <c r="A851" s="118">
        <v>850</v>
      </c>
      <c r="B851" s="128" t="s">
        <v>170</v>
      </c>
      <c r="C851" s="128" t="s">
        <v>6249</v>
      </c>
      <c r="D851" s="128" t="s">
        <v>1809</v>
      </c>
      <c r="E851" s="128" t="s">
        <v>1147</v>
      </c>
      <c r="F851" s="128">
        <v>1981</v>
      </c>
      <c r="G851" s="128">
        <v>38</v>
      </c>
      <c r="H851" s="128">
        <v>3</v>
      </c>
      <c r="I851" s="128">
        <v>41</v>
      </c>
      <c r="J851" s="128" t="s">
        <v>3879</v>
      </c>
      <c r="K851" s="128" t="s">
        <v>4370</v>
      </c>
      <c r="L851" s="128" t="s">
        <v>4371</v>
      </c>
      <c r="M851" s="128" t="s">
        <v>4372</v>
      </c>
      <c r="N851" s="128" t="s">
        <v>4364</v>
      </c>
      <c r="O851" s="128">
        <v>752</v>
      </c>
      <c r="P851" s="128">
        <v>148</v>
      </c>
      <c r="Q851" s="128">
        <v>124</v>
      </c>
      <c r="R851" s="128">
        <v>300</v>
      </c>
      <c r="S851" s="128">
        <v>90</v>
      </c>
      <c r="T851" s="128">
        <v>102</v>
      </c>
      <c r="U851" s="128">
        <v>764</v>
      </c>
      <c r="V851" s="128" t="s">
        <v>2702</v>
      </c>
    </row>
    <row r="852" spans="1:22" x14ac:dyDescent="0.35">
      <c r="A852" s="118">
        <v>851</v>
      </c>
      <c r="B852" s="128" t="s">
        <v>170</v>
      </c>
      <c r="C852" s="128" t="s">
        <v>6249</v>
      </c>
      <c r="D852" s="128" t="s">
        <v>1809</v>
      </c>
      <c r="E852" s="128" t="s">
        <v>1146</v>
      </c>
      <c r="F852" s="128">
        <v>1990</v>
      </c>
      <c r="G852" s="128">
        <v>41</v>
      </c>
      <c r="H852" s="128">
        <v>4</v>
      </c>
      <c r="I852" s="128">
        <v>45</v>
      </c>
      <c r="J852" s="128" t="s">
        <v>3879</v>
      </c>
      <c r="K852" s="128" t="s">
        <v>4373</v>
      </c>
      <c r="L852" s="128" t="s">
        <v>4374</v>
      </c>
      <c r="M852" s="128" t="s">
        <v>2997</v>
      </c>
      <c r="N852" s="128" t="s">
        <v>3030</v>
      </c>
      <c r="O852" s="128">
        <v>570</v>
      </c>
      <c r="P852" s="128">
        <v>122</v>
      </c>
      <c r="Q852" s="128">
        <v>102</v>
      </c>
      <c r="R852" s="128">
        <v>194</v>
      </c>
      <c r="S852" s="128">
        <v>80</v>
      </c>
      <c r="T852" s="128">
        <v>80</v>
      </c>
      <c r="U852" s="128">
        <v>578</v>
      </c>
      <c r="V852" s="128" t="s">
        <v>1547</v>
      </c>
    </row>
    <row r="853" spans="1:22" x14ac:dyDescent="0.35">
      <c r="A853" s="118">
        <v>852</v>
      </c>
      <c r="B853" s="128" t="s">
        <v>170</v>
      </c>
      <c r="C853" s="128" t="s">
        <v>6249</v>
      </c>
      <c r="D853" s="128" t="s">
        <v>1517</v>
      </c>
      <c r="E853" s="128" t="s">
        <v>1149</v>
      </c>
      <c r="F853" s="128">
        <v>1981</v>
      </c>
      <c r="G853" s="128">
        <v>66</v>
      </c>
      <c r="H853" s="128">
        <v>5</v>
      </c>
      <c r="I853" s="128">
        <v>71</v>
      </c>
      <c r="J853" s="128" t="s">
        <v>3879</v>
      </c>
      <c r="K853" s="128" t="s">
        <v>4375</v>
      </c>
      <c r="L853" s="128" t="s">
        <v>3922</v>
      </c>
      <c r="M853" s="128" t="s">
        <v>1823</v>
      </c>
      <c r="N853" s="128" t="s">
        <v>2086</v>
      </c>
      <c r="O853" s="128">
        <v>474</v>
      </c>
      <c r="P853" s="128">
        <v>108</v>
      </c>
      <c r="Q853" s="128">
        <v>88</v>
      </c>
      <c r="R853" s="128">
        <v>201</v>
      </c>
      <c r="S853" s="128">
        <v>43</v>
      </c>
      <c r="T853" s="128">
        <v>51</v>
      </c>
      <c r="U853" s="128">
        <v>491</v>
      </c>
      <c r="V853" s="128" t="s">
        <v>1547</v>
      </c>
    </row>
    <row r="854" spans="1:22" x14ac:dyDescent="0.35">
      <c r="A854" s="118">
        <v>853</v>
      </c>
      <c r="B854" s="128" t="s">
        <v>170</v>
      </c>
      <c r="C854" s="128" t="s">
        <v>6249</v>
      </c>
      <c r="D854" s="128" t="s">
        <v>1517</v>
      </c>
      <c r="E854" s="128" t="s">
        <v>4376</v>
      </c>
      <c r="F854" s="128">
        <v>1981</v>
      </c>
      <c r="G854" s="128">
        <v>35</v>
      </c>
      <c r="H854" s="128">
        <v>5</v>
      </c>
      <c r="I854" s="128">
        <v>40</v>
      </c>
      <c r="J854" s="128" t="s">
        <v>3879</v>
      </c>
      <c r="K854" s="128" t="s">
        <v>4377</v>
      </c>
      <c r="L854" s="128" t="s">
        <v>1643</v>
      </c>
      <c r="M854" s="128" t="s">
        <v>2233</v>
      </c>
      <c r="N854" s="128" t="s">
        <v>1581</v>
      </c>
      <c r="O854" s="128">
        <v>535</v>
      </c>
      <c r="P854" s="128">
        <v>117</v>
      </c>
      <c r="Q854" s="128">
        <v>103</v>
      </c>
      <c r="R854" s="128">
        <v>193</v>
      </c>
      <c r="S854" s="128">
        <v>75</v>
      </c>
      <c r="T854" s="128">
        <v>56</v>
      </c>
      <c r="U854" s="128">
        <v>544</v>
      </c>
      <c r="V854" s="128" t="s">
        <v>1547</v>
      </c>
    </row>
    <row r="855" spans="1:22" x14ac:dyDescent="0.35">
      <c r="A855" s="118">
        <v>854</v>
      </c>
      <c r="B855" s="128" t="s">
        <v>170</v>
      </c>
      <c r="C855" s="128" t="s">
        <v>6249</v>
      </c>
      <c r="D855" s="128" t="s">
        <v>1641</v>
      </c>
      <c r="E855" s="128" t="s">
        <v>1145</v>
      </c>
      <c r="F855" s="128">
        <v>1983</v>
      </c>
      <c r="G855" s="128">
        <v>38</v>
      </c>
      <c r="H855" s="128">
        <v>1</v>
      </c>
      <c r="I855" s="128">
        <v>39</v>
      </c>
      <c r="J855" s="128" t="s">
        <v>3879</v>
      </c>
      <c r="K855" s="128" t="s">
        <v>4378</v>
      </c>
      <c r="L855" s="128" t="s">
        <v>4379</v>
      </c>
      <c r="M855" s="128" t="s">
        <v>4380</v>
      </c>
      <c r="N855" s="128" t="s">
        <v>4381</v>
      </c>
      <c r="O855" s="128">
        <v>548</v>
      </c>
      <c r="P855" s="128">
        <v>118</v>
      </c>
      <c r="Q855" s="128">
        <v>102</v>
      </c>
      <c r="R855" s="128">
        <v>195</v>
      </c>
      <c r="S855" s="128">
        <v>76</v>
      </c>
      <c r="T855" s="128">
        <v>80</v>
      </c>
      <c r="U855" s="128">
        <v>571</v>
      </c>
      <c r="V855" s="128" t="s">
        <v>1547</v>
      </c>
    </row>
    <row r="856" spans="1:22" x14ac:dyDescent="0.35">
      <c r="A856" s="118">
        <v>855</v>
      </c>
      <c r="B856" s="128" t="s">
        <v>170</v>
      </c>
      <c r="C856" s="128" t="s">
        <v>6249</v>
      </c>
      <c r="D856" s="128" t="s">
        <v>1641</v>
      </c>
      <c r="E856" s="128" t="s">
        <v>1144</v>
      </c>
      <c r="F856" s="128">
        <v>1971</v>
      </c>
      <c r="G856" s="128">
        <v>42</v>
      </c>
      <c r="H856" s="128">
        <v>3</v>
      </c>
      <c r="I856" s="128">
        <v>45</v>
      </c>
      <c r="J856" s="128" t="s">
        <v>3879</v>
      </c>
      <c r="K856" s="128" t="s">
        <v>4382</v>
      </c>
      <c r="L856" s="128" t="s">
        <v>4383</v>
      </c>
      <c r="M856" s="128" t="s">
        <v>4384</v>
      </c>
      <c r="N856" s="128" t="s">
        <v>2252</v>
      </c>
      <c r="O856" s="128">
        <v>563</v>
      </c>
      <c r="P856" s="128">
        <v>116</v>
      </c>
      <c r="Q856" s="128">
        <v>100</v>
      </c>
      <c r="R856" s="128">
        <v>194</v>
      </c>
      <c r="S856" s="128">
        <v>80</v>
      </c>
      <c r="T856" s="128">
        <v>80</v>
      </c>
      <c r="U856" s="128">
        <v>570</v>
      </c>
      <c r="V856" s="128" t="s">
        <v>1547</v>
      </c>
    </row>
    <row r="857" spans="1:22" x14ac:dyDescent="0.35">
      <c r="A857" s="118">
        <v>856</v>
      </c>
      <c r="B857" s="128" t="s">
        <v>170</v>
      </c>
      <c r="C857" s="128" t="s">
        <v>6249</v>
      </c>
      <c r="D857" s="128" t="s">
        <v>1809</v>
      </c>
      <c r="E857" s="128" t="s">
        <v>1150</v>
      </c>
      <c r="F857" s="128">
        <v>2010</v>
      </c>
      <c r="G857" s="128">
        <v>53</v>
      </c>
      <c r="H857" s="128">
        <v>1</v>
      </c>
      <c r="I857" s="128">
        <v>54</v>
      </c>
      <c r="J857" s="128" t="s">
        <v>3879</v>
      </c>
      <c r="K857" s="128">
        <v>54</v>
      </c>
      <c r="L857" s="128" t="s">
        <v>4385</v>
      </c>
      <c r="M857" s="128" t="s">
        <v>1536</v>
      </c>
      <c r="N857" s="128" t="s">
        <v>4386</v>
      </c>
      <c r="O857" s="128">
        <v>480</v>
      </c>
      <c r="P857" s="128">
        <v>104</v>
      </c>
      <c r="Q857" s="128">
        <v>97</v>
      </c>
      <c r="R857" s="128">
        <v>196</v>
      </c>
      <c r="S857" s="128">
        <v>42</v>
      </c>
      <c r="T857" s="128">
        <v>52</v>
      </c>
      <c r="U857" s="128">
        <v>491</v>
      </c>
      <c r="V857" s="128" t="s">
        <v>1547</v>
      </c>
    </row>
    <row r="858" spans="1:22" x14ac:dyDescent="0.35">
      <c r="A858" s="118">
        <v>857</v>
      </c>
      <c r="B858" s="128" t="s">
        <v>170</v>
      </c>
      <c r="C858" s="128" t="s">
        <v>6249</v>
      </c>
      <c r="D858" s="128" t="s">
        <v>1641</v>
      </c>
      <c r="E858" s="128" t="s">
        <v>1143</v>
      </c>
      <c r="F858" s="128">
        <v>2009</v>
      </c>
      <c r="G858" s="128">
        <v>18</v>
      </c>
      <c r="H858" s="128">
        <v>1</v>
      </c>
      <c r="I858" s="128">
        <v>19</v>
      </c>
      <c r="J858" s="128" t="s">
        <v>3879</v>
      </c>
      <c r="K858" s="128">
        <v>48</v>
      </c>
      <c r="L858" s="128" t="s">
        <v>1649</v>
      </c>
      <c r="M858" s="128" t="s">
        <v>4387</v>
      </c>
      <c r="N858" s="128" t="s">
        <v>4388</v>
      </c>
      <c r="O858" s="128">
        <v>548</v>
      </c>
      <c r="P858" s="128">
        <v>116</v>
      </c>
      <c r="Q858" s="128">
        <v>97</v>
      </c>
      <c r="R858" s="128">
        <v>193</v>
      </c>
      <c r="S858" s="128">
        <v>72</v>
      </c>
      <c r="T858" s="128">
        <v>80</v>
      </c>
      <c r="U858" s="128">
        <v>558</v>
      </c>
      <c r="V858" s="128" t="s">
        <v>1547</v>
      </c>
    </row>
    <row r="859" spans="1:22" x14ac:dyDescent="0.35">
      <c r="A859" s="118">
        <v>858</v>
      </c>
      <c r="B859" s="128" t="s">
        <v>170</v>
      </c>
      <c r="C859" s="128" t="s">
        <v>6250</v>
      </c>
      <c r="D859" s="128" t="s">
        <v>4389</v>
      </c>
      <c r="E859" s="128" t="s">
        <v>4390</v>
      </c>
      <c r="F859" s="128">
        <v>1985</v>
      </c>
      <c r="G859" s="128">
        <v>34</v>
      </c>
      <c r="H859" s="128">
        <v>2</v>
      </c>
      <c r="I859" s="128">
        <v>36</v>
      </c>
      <c r="J859" s="128" t="s">
        <v>3879</v>
      </c>
      <c r="K859" s="128">
        <v>20.05</v>
      </c>
      <c r="L859" s="128" t="s">
        <v>4391</v>
      </c>
      <c r="M859" s="128" t="s">
        <v>1899</v>
      </c>
      <c r="N859" s="128" t="s">
        <v>4258</v>
      </c>
      <c r="O859" s="128">
        <v>730</v>
      </c>
      <c r="P859" s="128">
        <v>131</v>
      </c>
      <c r="Q859" s="128">
        <v>127</v>
      </c>
      <c r="R859" s="128">
        <v>309</v>
      </c>
      <c r="S859" s="128">
        <v>82</v>
      </c>
      <c r="T859" s="128">
        <v>91</v>
      </c>
      <c r="U859" s="128">
        <v>740</v>
      </c>
      <c r="V859" s="128" t="s">
        <v>2702</v>
      </c>
    </row>
    <row r="860" spans="1:22" x14ac:dyDescent="0.35">
      <c r="A860" s="118">
        <v>859</v>
      </c>
      <c r="B860" s="128" t="s">
        <v>170</v>
      </c>
      <c r="C860" s="128" t="s">
        <v>6250</v>
      </c>
      <c r="D860" s="128" t="s">
        <v>4389</v>
      </c>
      <c r="E860" s="128" t="s">
        <v>4392</v>
      </c>
      <c r="F860" s="128">
        <v>1994</v>
      </c>
      <c r="G860" s="128">
        <v>52</v>
      </c>
      <c r="H860" s="128">
        <v>7</v>
      </c>
      <c r="I860" s="128">
        <v>59</v>
      </c>
      <c r="J860" s="128" t="s">
        <v>3879</v>
      </c>
      <c r="K860" s="128">
        <v>25.05</v>
      </c>
      <c r="L860" s="128" t="s">
        <v>4393</v>
      </c>
      <c r="M860" s="128" t="s">
        <v>4394</v>
      </c>
      <c r="N860" s="128" t="s">
        <v>4273</v>
      </c>
      <c r="O860" s="128">
        <v>625</v>
      </c>
      <c r="P860" s="128">
        <v>121</v>
      </c>
      <c r="Q860" s="128">
        <v>106</v>
      </c>
      <c r="R860" s="128">
        <v>252</v>
      </c>
      <c r="S860" s="128">
        <v>76</v>
      </c>
      <c r="T860" s="128">
        <v>76</v>
      </c>
      <c r="U860" s="128">
        <v>631</v>
      </c>
      <c r="V860" s="128" t="s">
        <v>1547</v>
      </c>
    </row>
    <row r="861" spans="1:22" x14ac:dyDescent="0.35">
      <c r="A861" s="118">
        <v>860</v>
      </c>
      <c r="B861" s="128" t="s">
        <v>170</v>
      </c>
      <c r="C861" s="128" t="s">
        <v>6250</v>
      </c>
      <c r="D861" s="128" t="s">
        <v>1517</v>
      </c>
      <c r="E861" s="128" t="s">
        <v>4395</v>
      </c>
      <c r="F861" s="128">
        <v>1985</v>
      </c>
      <c r="G861" s="128">
        <v>43</v>
      </c>
      <c r="H861" s="128">
        <v>4</v>
      </c>
      <c r="I861" s="128">
        <v>47</v>
      </c>
      <c r="J861" s="128" t="s">
        <v>3879</v>
      </c>
      <c r="K861" s="128">
        <v>41.08</v>
      </c>
      <c r="L861" s="128" t="s">
        <v>4396</v>
      </c>
      <c r="M861" s="128" t="s">
        <v>4174</v>
      </c>
      <c r="N861" s="128" t="s">
        <v>3033</v>
      </c>
      <c r="O861" s="128">
        <v>635</v>
      </c>
      <c r="P861" s="128">
        <v>120</v>
      </c>
      <c r="Q861" s="128">
        <v>104</v>
      </c>
      <c r="R861" s="128">
        <v>272</v>
      </c>
      <c r="S861" s="128">
        <v>73</v>
      </c>
      <c r="T861" s="128">
        <v>72</v>
      </c>
      <c r="U861" s="128">
        <v>641</v>
      </c>
      <c r="V861" s="128" t="s">
        <v>1547</v>
      </c>
    </row>
    <row r="862" spans="1:22" x14ac:dyDescent="0.35">
      <c r="A862" s="118">
        <v>861</v>
      </c>
      <c r="B862" s="128" t="s">
        <v>170</v>
      </c>
      <c r="C862" s="128" t="s">
        <v>6250</v>
      </c>
      <c r="D862" s="128" t="s">
        <v>1517</v>
      </c>
      <c r="E862" s="128" t="s">
        <v>4397</v>
      </c>
      <c r="F862" s="128">
        <v>1994</v>
      </c>
      <c r="G862" s="128">
        <v>60</v>
      </c>
      <c r="H862" s="128">
        <v>1</v>
      </c>
      <c r="I862" s="128">
        <v>61</v>
      </c>
      <c r="J862" s="128" t="s">
        <v>3879</v>
      </c>
      <c r="K862" s="128">
        <v>20.079999999999998</v>
      </c>
      <c r="L862" s="128" t="s">
        <v>1621</v>
      </c>
      <c r="M862" s="128" t="s">
        <v>1530</v>
      </c>
      <c r="N862" s="128" t="s">
        <v>1886</v>
      </c>
      <c r="O862" s="128">
        <v>665</v>
      </c>
      <c r="P862" s="128">
        <v>126</v>
      </c>
      <c r="Q862" s="128">
        <v>108</v>
      </c>
      <c r="R862" s="128">
        <v>281</v>
      </c>
      <c r="S862" s="128">
        <v>78</v>
      </c>
      <c r="T862" s="128">
        <v>77</v>
      </c>
      <c r="U862" s="128">
        <v>670</v>
      </c>
      <c r="V862" s="128" t="s">
        <v>1547</v>
      </c>
    </row>
    <row r="863" spans="1:22" x14ac:dyDescent="0.35">
      <c r="A863" s="118">
        <v>862</v>
      </c>
      <c r="B863" s="128" t="s">
        <v>170</v>
      </c>
      <c r="C863" s="128" t="s">
        <v>6250</v>
      </c>
      <c r="D863" s="128" t="s">
        <v>4398</v>
      </c>
      <c r="E863" s="128" t="s">
        <v>540</v>
      </c>
      <c r="F863" s="128">
        <v>1990</v>
      </c>
      <c r="G863" s="128">
        <v>32</v>
      </c>
      <c r="H863" s="128">
        <v>2</v>
      </c>
      <c r="I863" s="128">
        <v>34</v>
      </c>
      <c r="J863" s="128" t="s">
        <v>3879</v>
      </c>
      <c r="K863" s="128">
        <v>17.079999999999998</v>
      </c>
      <c r="L863" s="128" t="s">
        <v>4399</v>
      </c>
      <c r="M863" s="128" t="s">
        <v>4400</v>
      </c>
      <c r="N863" s="128" t="s">
        <v>3910</v>
      </c>
      <c r="O863" s="128">
        <v>614</v>
      </c>
      <c r="P863" s="128">
        <v>126</v>
      </c>
      <c r="Q863" s="128">
        <v>103</v>
      </c>
      <c r="R863" s="128">
        <v>237</v>
      </c>
      <c r="S863" s="128">
        <v>76</v>
      </c>
      <c r="T863" s="128">
        <v>77</v>
      </c>
      <c r="U863" s="128">
        <v>619</v>
      </c>
      <c r="V863" s="128" t="s">
        <v>1547</v>
      </c>
    </row>
    <row r="864" spans="1:22" x14ac:dyDescent="0.35">
      <c r="A864" s="118">
        <v>863</v>
      </c>
      <c r="B864" s="128" t="s">
        <v>170</v>
      </c>
      <c r="C864" s="128" t="s">
        <v>6250</v>
      </c>
      <c r="D864" s="128" t="s">
        <v>4398</v>
      </c>
      <c r="E864" s="128" t="s">
        <v>4401</v>
      </c>
      <c r="F864" s="128">
        <v>2009</v>
      </c>
      <c r="G864" s="128">
        <v>30</v>
      </c>
      <c r="H864" s="128">
        <v>0</v>
      </c>
      <c r="I864" s="128">
        <v>30</v>
      </c>
      <c r="J864" s="128" t="s">
        <v>3879</v>
      </c>
      <c r="K864" s="128">
        <v>24</v>
      </c>
      <c r="L864" s="128" t="s">
        <v>2305</v>
      </c>
      <c r="M864" s="128" t="s">
        <v>4402</v>
      </c>
      <c r="N864" s="128" t="s">
        <v>1912</v>
      </c>
      <c r="O864" s="128">
        <v>537</v>
      </c>
      <c r="P864" s="128">
        <v>101</v>
      </c>
      <c r="Q864" s="128">
        <v>101</v>
      </c>
      <c r="R864" s="128">
        <v>196</v>
      </c>
      <c r="S864" s="128">
        <v>73</v>
      </c>
      <c r="T864" s="128">
        <v>73</v>
      </c>
      <c r="U864" s="128">
        <v>544</v>
      </c>
      <c r="V864" s="128" t="s">
        <v>1547</v>
      </c>
    </row>
    <row r="865" spans="1:22" x14ac:dyDescent="0.35">
      <c r="A865" s="118">
        <v>864</v>
      </c>
      <c r="B865" s="128" t="s">
        <v>170</v>
      </c>
      <c r="C865" s="128" t="s">
        <v>6250</v>
      </c>
      <c r="D865" s="128" t="s">
        <v>4398</v>
      </c>
      <c r="E865" s="128" t="s">
        <v>4403</v>
      </c>
      <c r="F865" s="128">
        <v>2009</v>
      </c>
      <c r="G865" s="128">
        <v>28</v>
      </c>
      <c r="H865" s="128">
        <v>1</v>
      </c>
      <c r="I865" s="128">
        <v>29</v>
      </c>
      <c r="J865" s="128" t="s">
        <v>4404</v>
      </c>
      <c r="K865" s="128">
        <v>14.04</v>
      </c>
      <c r="L865" s="128" t="s">
        <v>4405</v>
      </c>
      <c r="M865" s="128" t="s">
        <v>4406</v>
      </c>
      <c r="N865" s="128" t="s">
        <v>4407</v>
      </c>
      <c r="O865" s="128">
        <v>559</v>
      </c>
      <c r="P865" s="128">
        <v>121</v>
      </c>
      <c r="Q865" s="128">
        <v>113</v>
      </c>
      <c r="R865" s="128">
        <v>199</v>
      </c>
      <c r="S865" s="128">
        <v>66</v>
      </c>
      <c r="T865" s="128">
        <v>68</v>
      </c>
      <c r="U865" s="128">
        <v>567</v>
      </c>
      <c r="V865" s="128" t="s">
        <v>1547</v>
      </c>
    </row>
    <row r="866" spans="1:22" x14ac:dyDescent="0.35">
      <c r="A866" s="118">
        <v>865</v>
      </c>
      <c r="B866" s="128" t="s">
        <v>170</v>
      </c>
      <c r="C866" s="128" t="s">
        <v>6250</v>
      </c>
      <c r="D866" s="128" t="s">
        <v>3904</v>
      </c>
      <c r="E866" s="128" t="s">
        <v>1175</v>
      </c>
      <c r="F866" s="128">
        <v>2008</v>
      </c>
      <c r="G866" s="128">
        <v>70</v>
      </c>
      <c r="H866" s="128">
        <v>8</v>
      </c>
      <c r="I866" s="128">
        <v>78</v>
      </c>
      <c r="J866" s="128" t="s">
        <v>3879</v>
      </c>
      <c r="K866" s="128">
        <v>40.35</v>
      </c>
      <c r="L866" s="128" t="s">
        <v>4408</v>
      </c>
      <c r="M866" s="128" t="s">
        <v>4409</v>
      </c>
      <c r="N866" s="128" t="s">
        <v>4410</v>
      </c>
      <c r="O866" s="128">
        <v>560</v>
      </c>
      <c r="P866" s="128">
        <v>120</v>
      </c>
      <c r="Q866" s="128">
        <v>105</v>
      </c>
      <c r="R866" s="128">
        <v>217</v>
      </c>
      <c r="S866" s="128">
        <v>63</v>
      </c>
      <c r="T866" s="128">
        <v>64</v>
      </c>
      <c r="U866" s="128">
        <v>569</v>
      </c>
      <c r="V866" s="128" t="s">
        <v>1547</v>
      </c>
    </row>
    <row r="867" spans="1:22" x14ac:dyDescent="0.35">
      <c r="A867" s="118">
        <v>866</v>
      </c>
      <c r="B867" s="128" t="s">
        <v>170</v>
      </c>
      <c r="C867" s="128" t="s">
        <v>6250</v>
      </c>
      <c r="D867" s="128" t="s">
        <v>3904</v>
      </c>
      <c r="E867" s="128" t="s">
        <v>4411</v>
      </c>
      <c r="F867" s="128">
        <v>2009</v>
      </c>
      <c r="G867" s="128">
        <v>34</v>
      </c>
      <c r="H867" s="128">
        <v>3</v>
      </c>
      <c r="I867" s="128">
        <v>37</v>
      </c>
      <c r="J867" s="128" t="s">
        <v>3879</v>
      </c>
      <c r="K867" s="128">
        <v>63.03</v>
      </c>
      <c r="L867" s="128" t="s">
        <v>1530</v>
      </c>
      <c r="M867" s="128" t="s">
        <v>1776</v>
      </c>
      <c r="N867" s="128" t="s">
        <v>4412</v>
      </c>
      <c r="O867" s="128">
        <v>550</v>
      </c>
      <c r="P867" s="128">
        <v>120</v>
      </c>
      <c r="Q867" s="128">
        <v>100</v>
      </c>
      <c r="R867" s="128">
        <v>203</v>
      </c>
      <c r="S867" s="128">
        <v>69</v>
      </c>
      <c r="T867" s="128">
        <v>67</v>
      </c>
      <c r="U867" s="128">
        <v>559</v>
      </c>
      <c r="V867" s="128" t="s">
        <v>1547</v>
      </c>
    </row>
    <row r="868" spans="1:22" x14ac:dyDescent="0.35">
      <c r="A868" s="118">
        <v>867</v>
      </c>
      <c r="B868" s="128" t="s">
        <v>170</v>
      </c>
      <c r="C868" s="128" t="s">
        <v>6250</v>
      </c>
      <c r="D868" s="128" t="s">
        <v>4413</v>
      </c>
      <c r="E868" s="128" t="s">
        <v>4414</v>
      </c>
      <c r="F868" s="128">
        <v>2008</v>
      </c>
      <c r="G868" s="128">
        <v>27</v>
      </c>
      <c r="H868" s="128">
        <v>0</v>
      </c>
      <c r="I868" s="128">
        <v>27</v>
      </c>
      <c r="J868" s="128" t="s">
        <v>4404</v>
      </c>
      <c r="K868" s="128">
        <v>21.03</v>
      </c>
      <c r="L868" s="128" t="s">
        <v>4415</v>
      </c>
      <c r="M868" s="128" t="s">
        <v>1615</v>
      </c>
      <c r="N868" s="128" t="s">
        <v>1600</v>
      </c>
      <c r="O868" s="128">
        <v>491</v>
      </c>
      <c r="P868" s="128">
        <v>104</v>
      </c>
      <c r="Q868" s="128">
        <v>100</v>
      </c>
      <c r="R868" s="128">
        <v>194</v>
      </c>
      <c r="S868" s="128">
        <v>42</v>
      </c>
      <c r="T868" s="128">
        <v>60</v>
      </c>
      <c r="U868" s="128">
        <v>500</v>
      </c>
      <c r="V868" s="128" t="s">
        <v>1547</v>
      </c>
    </row>
    <row r="869" spans="1:22" x14ac:dyDescent="0.35">
      <c r="A869" s="118">
        <v>868</v>
      </c>
      <c r="B869" s="128" t="s">
        <v>170</v>
      </c>
      <c r="C869" s="128" t="s">
        <v>6250</v>
      </c>
      <c r="D869" s="128" t="s">
        <v>4413</v>
      </c>
      <c r="E869" s="128" t="s">
        <v>419</v>
      </c>
      <c r="F869" s="128">
        <v>2008</v>
      </c>
      <c r="G869" s="128">
        <v>21</v>
      </c>
      <c r="H869" s="128">
        <v>1</v>
      </c>
      <c r="I869" s="128">
        <v>22</v>
      </c>
      <c r="J869" s="128" t="s">
        <v>4404</v>
      </c>
      <c r="K869" s="128">
        <v>14.08</v>
      </c>
      <c r="L869" s="128" t="s">
        <v>4416</v>
      </c>
      <c r="M869" s="128" t="s">
        <v>1604</v>
      </c>
      <c r="N869" s="128" t="s">
        <v>4417</v>
      </c>
      <c r="O869" s="128">
        <v>540</v>
      </c>
      <c r="P869" s="128">
        <v>118</v>
      </c>
      <c r="Q869" s="128">
        <v>105</v>
      </c>
      <c r="R869" s="128">
        <v>203</v>
      </c>
      <c r="S869" s="128">
        <v>61</v>
      </c>
      <c r="T869" s="128">
        <v>60</v>
      </c>
      <c r="U869" s="128">
        <v>547</v>
      </c>
      <c r="V869" s="128" t="s">
        <v>1547</v>
      </c>
    </row>
    <row r="870" spans="1:22" x14ac:dyDescent="0.35">
      <c r="A870" s="118">
        <v>869</v>
      </c>
      <c r="B870" s="128" t="s">
        <v>170</v>
      </c>
      <c r="C870" s="128" t="s">
        <v>6250</v>
      </c>
      <c r="D870" s="128" t="s">
        <v>4413</v>
      </c>
      <c r="E870" s="128" t="s">
        <v>4418</v>
      </c>
      <c r="F870" s="128">
        <v>1990</v>
      </c>
      <c r="G870" s="128">
        <v>40</v>
      </c>
      <c r="H870" s="128">
        <v>2</v>
      </c>
      <c r="I870" s="128">
        <v>42</v>
      </c>
      <c r="J870" s="128" t="s">
        <v>4404</v>
      </c>
      <c r="K870" s="128">
        <v>21.03</v>
      </c>
      <c r="L870" s="128" t="s">
        <v>4419</v>
      </c>
      <c r="M870" s="128" t="s">
        <v>4420</v>
      </c>
      <c r="N870" s="128" t="s">
        <v>1577</v>
      </c>
      <c r="O870" s="128">
        <v>600</v>
      </c>
      <c r="P870" s="128">
        <v>114</v>
      </c>
      <c r="Q870" s="128">
        <v>100</v>
      </c>
      <c r="R870" s="128">
        <v>261</v>
      </c>
      <c r="S870" s="128">
        <v>66</v>
      </c>
      <c r="T870" s="128">
        <v>65</v>
      </c>
      <c r="U870" s="128">
        <v>606</v>
      </c>
      <c r="V870" s="128" t="s">
        <v>1547</v>
      </c>
    </row>
    <row r="871" spans="1:22" x14ac:dyDescent="0.35">
      <c r="A871" s="118">
        <v>870</v>
      </c>
      <c r="B871" s="128" t="s">
        <v>170</v>
      </c>
      <c r="C871" s="128" t="s">
        <v>6250</v>
      </c>
      <c r="D871" s="128" t="s">
        <v>1883</v>
      </c>
      <c r="E871" s="128" t="s">
        <v>4421</v>
      </c>
      <c r="F871" s="128">
        <v>1998</v>
      </c>
      <c r="G871" s="128">
        <v>62</v>
      </c>
      <c r="H871" s="128">
        <v>0</v>
      </c>
      <c r="I871" s="128">
        <v>62</v>
      </c>
      <c r="J871" s="128" t="s">
        <v>2088</v>
      </c>
      <c r="K871" s="128" t="s">
        <v>4422</v>
      </c>
      <c r="L871" s="128" t="s">
        <v>4423</v>
      </c>
      <c r="M871" s="128" t="s">
        <v>4424</v>
      </c>
      <c r="N871" s="128" t="s">
        <v>4425</v>
      </c>
      <c r="O871" s="128">
        <v>660</v>
      </c>
      <c r="P871" s="128">
        <v>116</v>
      </c>
      <c r="Q871" s="128">
        <v>106</v>
      </c>
      <c r="R871" s="128">
        <v>290</v>
      </c>
      <c r="S871" s="128">
        <v>75</v>
      </c>
      <c r="T871" s="128">
        <v>76</v>
      </c>
      <c r="U871" s="128">
        <v>663</v>
      </c>
      <c r="V871" s="128" t="s">
        <v>1547</v>
      </c>
    </row>
    <row r="872" spans="1:22" x14ac:dyDescent="0.35">
      <c r="A872" s="118">
        <v>871</v>
      </c>
      <c r="B872" s="128" t="s">
        <v>170</v>
      </c>
      <c r="C872" s="128" t="s">
        <v>6250</v>
      </c>
      <c r="D872" s="128" t="s">
        <v>1883</v>
      </c>
      <c r="E872" s="128" t="s">
        <v>4426</v>
      </c>
      <c r="F872" s="128">
        <v>1985</v>
      </c>
      <c r="G872" s="128">
        <v>121</v>
      </c>
      <c r="H872" s="128">
        <v>13</v>
      </c>
      <c r="I872" s="128">
        <v>134</v>
      </c>
      <c r="J872" s="128" t="s">
        <v>3879</v>
      </c>
      <c r="K872" s="128">
        <v>67.02</v>
      </c>
      <c r="L872" s="128" t="s">
        <v>4427</v>
      </c>
      <c r="M872" s="128" t="s">
        <v>4428</v>
      </c>
      <c r="N872" s="128" t="s">
        <v>1706</v>
      </c>
      <c r="O872" s="128">
        <v>474</v>
      </c>
      <c r="P872" s="128">
        <v>105</v>
      </c>
      <c r="Q872" s="128">
        <v>86</v>
      </c>
      <c r="R872" s="128">
        <v>200</v>
      </c>
      <c r="S872" s="128">
        <v>42</v>
      </c>
      <c r="T872" s="128">
        <v>52</v>
      </c>
      <c r="U872" s="128">
        <v>485</v>
      </c>
      <c r="V872" s="128" t="s">
        <v>1547</v>
      </c>
    </row>
    <row r="873" spans="1:22" x14ac:dyDescent="0.35">
      <c r="A873" s="118">
        <v>872</v>
      </c>
      <c r="B873" s="128" t="s">
        <v>170</v>
      </c>
      <c r="C873" s="128" t="s">
        <v>299</v>
      </c>
      <c r="D873" s="128" t="s">
        <v>1517</v>
      </c>
      <c r="E873" s="128" t="s">
        <v>4429</v>
      </c>
      <c r="F873" s="128">
        <v>1980</v>
      </c>
      <c r="G873" s="128">
        <v>62</v>
      </c>
      <c r="H873" s="128">
        <v>7</v>
      </c>
      <c r="I873" s="128">
        <v>69</v>
      </c>
      <c r="J873" s="128" t="s">
        <v>4430</v>
      </c>
      <c r="K873" s="128">
        <v>24.91</v>
      </c>
      <c r="L873" s="128" t="s">
        <v>1682</v>
      </c>
      <c r="M873" s="128" t="s">
        <v>2243</v>
      </c>
      <c r="N873" s="128" t="s">
        <v>4431</v>
      </c>
      <c r="O873" s="128">
        <v>756</v>
      </c>
      <c r="P873" s="128">
        <v>226</v>
      </c>
      <c r="Q873" s="128">
        <v>122</v>
      </c>
      <c r="R873" s="128">
        <v>91</v>
      </c>
      <c r="S873" s="128">
        <v>224</v>
      </c>
      <c r="T873" s="128">
        <v>101</v>
      </c>
      <c r="U873" s="128">
        <v>764</v>
      </c>
      <c r="V873" s="128" t="s">
        <v>1417</v>
      </c>
    </row>
    <row r="874" spans="1:22" x14ac:dyDescent="0.35">
      <c r="A874" s="118">
        <v>873</v>
      </c>
      <c r="B874" s="128" t="s">
        <v>170</v>
      </c>
      <c r="C874" s="128" t="s">
        <v>299</v>
      </c>
      <c r="D874" s="128" t="s">
        <v>1517</v>
      </c>
      <c r="E874" s="128" t="s">
        <v>4432</v>
      </c>
      <c r="F874" s="128">
        <v>1999</v>
      </c>
      <c r="G874" s="128">
        <v>62</v>
      </c>
      <c r="H874" s="128">
        <v>7</v>
      </c>
      <c r="I874" s="128">
        <v>69</v>
      </c>
      <c r="J874" s="128" t="s">
        <v>4430</v>
      </c>
      <c r="K874" s="128">
        <v>27.7</v>
      </c>
      <c r="L874" s="128" t="s">
        <v>4433</v>
      </c>
      <c r="M874" s="128" t="s">
        <v>4434</v>
      </c>
      <c r="N874" s="128" t="s">
        <v>2243</v>
      </c>
      <c r="O874" s="128">
        <v>582</v>
      </c>
      <c r="P874" s="128">
        <v>131</v>
      </c>
      <c r="Q874" s="128">
        <v>92</v>
      </c>
      <c r="R874" s="128">
        <v>101</v>
      </c>
      <c r="S874" s="128">
        <v>184</v>
      </c>
      <c r="T874" s="128">
        <v>82</v>
      </c>
      <c r="U874" s="128">
        <v>590</v>
      </c>
      <c r="V874" s="128" t="s">
        <v>1397</v>
      </c>
    </row>
    <row r="875" spans="1:22" x14ac:dyDescent="0.35">
      <c r="A875" s="118">
        <v>874</v>
      </c>
      <c r="B875" s="128" t="s">
        <v>170</v>
      </c>
      <c r="C875" s="128" t="s">
        <v>299</v>
      </c>
      <c r="D875" s="128" t="s">
        <v>4435</v>
      </c>
      <c r="E875" s="128" t="s">
        <v>4436</v>
      </c>
      <c r="F875" s="128">
        <v>1980</v>
      </c>
      <c r="G875" s="128">
        <v>67</v>
      </c>
      <c r="H875" s="128">
        <v>9</v>
      </c>
      <c r="I875" s="128">
        <v>76</v>
      </c>
      <c r="J875" s="128" t="s">
        <v>4430</v>
      </c>
      <c r="K875" s="128">
        <v>25.12</v>
      </c>
      <c r="L875" s="128" t="s">
        <v>2901</v>
      </c>
      <c r="M875" s="128" t="s">
        <v>1577</v>
      </c>
      <c r="N875" s="128" t="s">
        <v>1649</v>
      </c>
      <c r="O875" s="128">
        <v>530</v>
      </c>
      <c r="P875" s="128">
        <v>126</v>
      </c>
      <c r="Q875" s="128">
        <v>102</v>
      </c>
      <c r="R875" s="128">
        <v>69</v>
      </c>
      <c r="S875" s="128">
        <v>184</v>
      </c>
      <c r="T875" s="128">
        <v>57</v>
      </c>
      <c r="U875" s="128">
        <v>538</v>
      </c>
      <c r="V875" s="128" t="s">
        <v>1397</v>
      </c>
    </row>
    <row r="876" spans="1:22" x14ac:dyDescent="0.35">
      <c r="A876" s="118">
        <v>875</v>
      </c>
      <c r="B876" s="128" t="s">
        <v>170</v>
      </c>
      <c r="C876" s="128" t="s">
        <v>299</v>
      </c>
      <c r="D876" s="128" t="s">
        <v>4435</v>
      </c>
      <c r="E876" s="128" t="s">
        <v>4437</v>
      </c>
      <c r="F876" s="128">
        <v>1997</v>
      </c>
      <c r="G876" s="128">
        <v>75</v>
      </c>
      <c r="H876" s="128">
        <v>13</v>
      </c>
      <c r="I876" s="128">
        <v>88</v>
      </c>
      <c r="J876" s="128" t="s">
        <v>4430</v>
      </c>
      <c r="K876" s="128">
        <v>14.02</v>
      </c>
      <c r="L876" s="128" t="s">
        <v>4438</v>
      </c>
      <c r="M876" s="128" t="s">
        <v>1566</v>
      </c>
      <c r="N876" s="128" t="s">
        <v>4439</v>
      </c>
      <c r="O876" s="128">
        <v>567</v>
      </c>
      <c r="P876" s="128">
        <v>131</v>
      </c>
      <c r="Q876" s="128">
        <v>97</v>
      </c>
      <c r="R876" s="128">
        <v>101</v>
      </c>
      <c r="S876" s="128">
        <v>189</v>
      </c>
      <c r="T876" s="128">
        <v>57</v>
      </c>
      <c r="U876" s="128">
        <v>575</v>
      </c>
      <c r="V876" s="128" t="s">
        <v>1397</v>
      </c>
    </row>
    <row r="877" spans="1:22" x14ac:dyDescent="0.35">
      <c r="A877" s="118">
        <v>876</v>
      </c>
      <c r="B877" s="128" t="s">
        <v>170</v>
      </c>
      <c r="C877" s="128" t="s">
        <v>299</v>
      </c>
      <c r="D877" s="128" t="s">
        <v>4440</v>
      </c>
      <c r="E877" s="128" t="s">
        <v>4441</v>
      </c>
      <c r="F877" s="128">
        <v>1980</v>
      </c>
      <c r="G877" s="128">
        <v>79</v>
      </c>
      <c r="H877" s="128">
        <v>15</v>
      </c>
      <c r="I877" s="128">
        <v>94</v>
      </c>
      <c r="J877" s="128" t="s">
        <v>4430</v>
      </c>
      <c r="K877" s="128">
        <v>15.06</v>
      </c>
      <c r="L877" s="128" t="s">
        <v>4442</v>
      </c>
      <c r="M877" s="128" t="s">
        <v>4258</v>
      </c>
      <c r="N877" s="128" t="s">
        <v>4443</v>
      </c>
      <c r="O877" s="128">
        <v>587</v>
      </c>
      <c r="P877" s="128">
        <v>136</v>
      </c>
      <c r="Q877" s="128">
        <v>82</v>
      </c>
      <c r="R877" s="128">
        <v>101</v>
      </c>
      <c r="S877" s="128">
        <v>194</v>
      </c>
      <c r="T877" s="128">
        <v>82</v>
      </c>
      <c r="U877" s="128">
        <v>595</v>
      </c>
      <c r="V877" s="128" t="s">
        <v>1397</v>
      </c>
    </row>
    <row r="878" spans="1:22" x14ac:dyDescent="0.35">
      <c r="A878" s="118">
        <v>877</v>
      </c>
      <c r="B878" s="128" t="s">
        <v>170</v>
      </c>
      <c r="C878" s="128" t="s">
        <v>299</v>
      </c>
      <c r="D878" s="128" t="s">
        <v>4440</v>
      </c>
      <c r="E878" s="128" t="s">
        <v>4444</v>
      </c>
      <c r="F878" s="128">
        <v>2000</v>
      </c>
      <c r="G878" s="128">
        <v>59</v>
      </c>
      <c r="H878" s="128">
        <v>3</v>
      </c>
      <c r="I878" s="128">
        <v>62</v>
      </c>
      <c r="J878" s="128" t="s">
        <v>4430</v>
      </c>
      <c r="K878" s="128">
        <v>22.08</v>
      </c>
      <c r="L878" s="128" t="s">
        <v>4445</v>
      </c>
      <c r="M878" s="128" t="s">
        <v>4446</v>
      </c>
      <c r="N878" s="128" t="s">
        <v>4447</v>
      </c>
      <c r="O878" s="128">
        <v>545</v>
      </c>
      <c r="P878" s="128">
        <v>131</v>
      </c>
      <c r="Q878" s="128">
        <v>92</v>
      </c>
      <c r="R878" s="128">
        <v>79</v>
      </c>
      <c r="S878" s="128">
        <v>184</v>
      </c>
      <c r="T878" s="128">
        <v>67</v>
      </c>
      <c r="U878" s="128">
        <v>553</v>
      </c>
      <c r="V878" s="128" t="s">
        <v>1397</v>
      </c>
    </row>
    <row r="879" spans="1:22" x14ac:dyDescent="0.35">
      <c r="A879" s="118">
        <v>878</v>
      </c>
      <c r="B879" s="128" t="s">
        <v>170</v>
      </c>
      <c r="C879" s="128" t="s">
        <v>299</v>
      </c>
      <c r="D879" s="128" t="s">
        <v>4448</v>
      </c>
      <c r="E879" s="128" t="s">
        <v>4449</v>
      </c>
      <c r="F879" s="128">
        <v>1987</v>
      </c>
      <c r="G879" s="128">
        <v>53</v>
      </c>
      <c r="H879" s="128">
        <v>6</v>
      </c>
      <c r="I879" s="128">
        <v>59</v>
      </c>
      <c r="J879" s="128" t="s">
        <v>4430</v>
      </c>
      <c r="K879" s="128">
        <v>30.55</v>
      </c>
      <c r="L879" s="128" t="s">
        <v>4450</v>
      </c>
      <c r="M879" s="128" t="s">
        <v>4272</v>
      </c>
      <c r="N879" s="128" t="s">
        <v>4451</v>
      </c>
      <c r="O879" s="128">
        <v>565</v>
      </c>
      <c r="P879" s="128">
        <v>131</v>
      </c>
      <c r="Q879" s="128">
        <v>112</v>
      </c>
      <c r="R879" s="128">
        <v>79</v>
      </c>
      <c r="S879" s="128">
        <v>184</v>
      </c>
      <c r="T879" s="128">
        <v>67</v>
      </c>
      <c r="U879" s="128">
        <v>573</v>
      </c>
      <c r="V879" s="128" t="s">
        <v>1397</v>
      </c>
    </row>
    <row r="880" spans="1:22" x14ac:dyDescent="0.35">
      <c r="A880" s="118">
        <v>879</v>
      </c>
      <c r="B880" s="128" t="s">
        <v>170</v>
      </c>
      <c r="C880" s="128" t="s">
        <v>299</v>
      </c>
      <c r="D880" s="128" t="s">
        <v>4452</v>
      </c>
      <c r="E880" s="128" t="s">
        <v>4453</v>
      </c>
      <c r="F880" s="128">
        <v>2002</v>
      </c>
      <c r="G880" s="128">
        <v>127</v>
      </c>
      <c r="H880" s="128">
        <v>35</v>
      </c>
      <c r="I880" s="128">
        <v>162</v>
      </c>
      <c r="J880" s="128" t="s">
        <v>4430</v>
      </c>
      <c r="K880" s="128">
        <v>42.5</v>
      </c>
      <c r="L880" s="128" t="s">
        <v>4454</v>
      </c>
      <c r="M880" s="128" t="s">
        <v>4455</v>
      </c>
      <c r="N880" s="128" t="s">
        <v>4456</v>
      </c>
      <c r="O880" s="128">
        <v>580</v>
      </c>
      <c r="P880" s="128">
        <v>131</v>
      </c>
      <c r="Q880" s="128">
        <v>112</v>
      </c>
      <c r="R880" s="128">
        <v>89</v>
      </c>
      <c r="S880" s="128">
        <v>184</v>
      </c>
      <c r="T880" s="128">
        <v>72</v>
      </c>
      <c r="U880" s="128">
        <v>588</v>
      </c>
      <c r="V880" s="128" t="s">
        <v>1397</v>
      </c>
    </row>
    <row r="881" spans="1:22" x14ac:dyDescent="0.35">
      <c r="A881" s="118">
        <v>880</v>
      </c>
      <c r="B881" s="128" t="s">
        <v>170</v>
      </c>
      <c r="C881" s="128" t="s">
        <v>299</v>
      </c>
      <c r="D881" s="128" t="s">
        <v>1517</v>
      </c>
      <c r="E881" s="128" t="s">
        <v>1181</v>
      </c>
      <c r="F881" s="128">
        <v>2010</v>
      </c>
      <c r="G881" s="128">
        <v>0</v>
      </c>
      <c r="H881" s="128">
        <v>18</v>
      </c>
      <c r="I881" s="128">
        <v>18</v>
      </c>
      <c r="J881" s="128" t="s">
        <v>4457</v>
      </c>
      <c r="K881" s="128" t="s">
        <v>4458</v>
      </c>
      <c r="L881" s="128" t="s">
        <v>4459</v>
      </c>
      <c r="M881" s="128" t="s">
        <v>4460</v>
      </c>
      <c r="N881" s="128" t="s">
        <v>4461</v>
      </c>
      <c r="O881" s="128">
        <v>560</v>
      </c>
      <c r="P881" s="128">
        <v>126</v>
      </c>
      <c r="Q881" s="128">
        <v>112</v>
      </c>
      <c r="R881" s="128">
        <v>79</v>
      </c>
      <c r="S881" s="128">
        <v>184</v>
      </c>
      <c r="T881" s="128">
        <v>67</v>
      </c>
      <c r="U881" s="128">
        <v>568</v>
      </c>
      <c r="V881" s="128" t="s">
        <v>1397</v>
      </c>
    </row>
    <row r="882" spans="1:22" x14ac:dyDescent="0.35">
      <c r="A882" s="118">
        <v>881</v>
      </c>
      <c r="B882" s="128" t="s">
        <v>170</v>
      </c>
      <c r="C882" s="128" t="s">
        <v>299</v>
      </c>
      <c r="D882" s="128" t="s">
        <v>4440</v>
      </c>
      <c r="E882" s="128" t="s">
        <v>1180</v>
      </c>
      <c r="F882" s="128">
        <v>2014</v>
      </c>
      <c r="G882" s="128">
        <v>0</v>
      </c>
      <c r="H882" s="128">
        <v>24</v>
      </c>
      <c r="I882" s="128">
        <v>24</v>
      </c>
      <c r="J882" s="128" t="s">
        <v>4457</v>
      </c>
      <c r="K882" s="128" t="s">
        <v>4462</v>
      </c>
      <c r="L882" s="128" t="s">
        <v>4463</v>
      </c>
      <c r="M882" s="128" t="s">
        <v>4464</v>
      </c>
      <c r="N882" s="128" t="s">
        <v>4465</v>
      </c>
      <c r="O882" s="128">
        <v>570</v>
      </c>
      <c r="P882" s="128">
        <v>126</v>
      </c>
      <c r="Q882" s="128">
        <v>112</v>
      </c>
      <c r="R882" s="128">
        <v>89</v>
      </c>
      <c r="S882" s="128">
        <v>184</v>
      </c>
      <c r="T882" s="128">
        <v>67</v>
      </c>
      <c r="U882" s="128">
        <v>578</v>
      </c>
      <c r="V882" s="128" t="s">
        <v>1397</v>
      </c>
    </row>
    <row r="883" spans="1:22" x14ac:dyDescent="0.35">
      <c r="A883" s="118">
        <v>882</v>
      </c>
      <c r="B883" s="128" t="s">
        <v>170</v>
      </c>
      <c r="C883" s="128" t="s">
        <v>300</v>
      </c>
      <c r="D883" s="128" t="s">
        <v>1517</v>
      </c>
      <c r="E883" s="128" t="s">
        <v>1203</v>
      </c>
      <c r="F883" s="128">
        <v>1980</v>
      </c>
      <c r="G883" s="128">
        <v>46</v>
      </c>
      <c r="H883" s="128">
        <v>3</v>
      </c>
      <c r="I883" s="128">
        <v>49</v>
      </c>
      <c r="J883" s="128" t="s">
        <v>4430</v>
      </c>
      <c r="K883" s="128">
        <v>32</v>
      </c>
      <c r="L883" s="128" t="s">
        <v>4466</v>
      </c>
      <c r="M883" s="128" t="s">
        <v>4467</v>
      </c>
      <c r="N883" s="128" t="s">
        <v>3053</v>
      </c>
      <c r="O883" s="128">
        <v>723</v>
      </c>
      <c r="P883" s="128">
        <v>145</v>
      </c>
      <c r="Q883" s="128">
        <v>137</v>
      </c>
      <c r="R883" s="128">
        <v>102</v>
      </c>
      <c r="S883" s="128">
        <v>237</v>
      </c>
      <c r="T883" s="128">
        <v>112</v>
      </c>
      <c r="U883" s="128">
        <v>733</v>
      </c>
      <c r="V883" s="128" t="s">
        <v>1417</v>
      </c>
    </row>
    <row r="884" spans="1:22" x14ac:dyDescent="0.35">
      <c r="A884" s="118">
        <v>883</v>
      </c>
      <c r="B884" s="128" t="s">
        <v>170</v>
      </c>
      <c r="C884" s="128" t="s">
        <v>300</v>
      </c>
      <c r="D884" s="128" t="s">
        <v>1517</v>
      </c>
      <c r="E884" s="128" t="s">
        <v>1202</v>
      </c>
      <c r="F884" s="128">
        <v>1999</v>
      </c>
      <c r="G884" s="128">
        <v>41</v>
      </c>
      <c r="H884" s="128">
        <v>7</v>
      </c>
      <c r="I884" s="128">
        <v>48</v>
      </c>
      <c r="J884" s="128" t="s">
        <v>4430</v>
      </c>
      <c r="K884" s="128">
        <v>34</v>
      </c>
      <c r="L884" s="128" t="s">
        <v>2959</v>
      </c>
      <c r="M884" s="128" t="s">
        <v>4439</v>
      </c>
      <c r="N884" s="128" t="s">
        <v>4468</v>
      </c>
      <c r="O884" s="128">
        <v>640</v>
      </c>
      <c r="P884" s="128">
        <v>145</v>
      </c>
      <c r="Q884" s="128">
        <v>112</v>
      </c>
      <c r="R884" s="128">
        <v>102</v>
      </c>
      <c r="S884" s="128">
        <v>204</v>
      </c>
      <c r="T884" s="128">
        <v>87</v>
      </c>
      <c r="U884" s="128">
        <v>650</v>
      </c>
      <c r="V884" s="128" t="s">
        <v>1397</v>
      </c>
    </row>
    <row r="885" spans="1:22" x14ac:dyDescent="0.35">
      <c r="A885" s="118">
        <v>884</v>
      </c>
      <c r="B885" s="128" t="s">
        <v>170</v>
      </c>
      <c r="C885" s="128" t="s">
        <v>300</v>
      </c>
      <c r="D885" s="128" t="s">
        <v>4440</v>
      </c>
      <c r="E885" s="128" t="s">
        <v>1201</v>
      </c>
      <c r="F885" s="128">
        <v>2002</v>
      </c>
      <c r="G885" s="128">
        <v>72</v>
      </c>
      <c r="H885" s="128">
        <v>9</v>
      </c>
      <c r="I885" s="128">
        <v>81</v>
      </c>
      <c r="J885" s="128" t="s">
        <v>4430</v>
      </c>
      <c r="K885" s="128">
        <v>37</v>
      </c>
      <c r="L885" s="128" t="s">
        <v>1614</v>
      </c>
      <c r="M885" s="128" t="s">
        <v>4469</v>
      </c>
      <c r="N885" s="128" t="s">
        <v>4470</v>
      </c>
      <c r="O885" s="128">
        <v>620</v>
      </c>
      <c r="P885" s="128">
        <v>145</v>
      </c>
      <c r="Q885" s="128">
        <v>112</v>
      </c>
      <c r="R885" s="128">
        <v>102</v>
      </c>
      <c r="S885" s="128">
        <v>189</v>
      </c>
      <c r="T885" s="128">
        <v>82</v>
      </c>
      <c r="U885" s="128">
        <v>630</v>
      </c>
      <c r="V885" s="128" t="s">
        <v>1397</v>
      </c>
    </row>
    <row r="886" spans="1:22" x14ac:dyDescent="0.35">
      <c r="A886" s="118">
        <v>885</v>
      </c>
      <c r="B886" s="128" t="s">
        <v>170</v>
      </c>
      <c r="C886" s="128" t="s">
        <v>300</v>
      </c>
      <c r="D886" s="128" t="s">
        <v>4471</v>
      </c>
      <c r="E886" s="128" t="s">
        <v>1200</v>
      </c>
      <c r="F886" s="128">
        <v>2000</v>
      </c>
      <c r="G886" s="128">
        <v>72</v>
      </c>
      <c r="H886" s="128">
        <v>6</v>
      </c>
      <c r="I886" s="128">
        <v>78</v>
      </c>
      <c r="J886" s="128" t="s">
        <v>4430</v>
      </c>
      <c r="K886" s="128">
        <v>33</v>
      </c>
      <c r="L886" s="128" t="s">
        <v>4472</v>
      </c>
      <c r="M886" s="128" t="s">
        <v>4473</v>
      </c>
      <c r="N886" s="128" t="s">
        <v>1880</v>
      </c>
      <c r="O886" s="128">
        <v>593</v>
      </c>
      <c r="P886" s="128">
        <v>145</v>
      </c>
      <c r="Q886" s="128">
        <v>102</v>
      </c>
      <c r="R886" s="128">
        <v>90</v>
      </c>
      <c r="S886" s="128">
        <v>189</v>
      </c>
      <c r="T886" s="128">
        <v>77</v>
      </c>
      <c r="U886" s="128">
        <v>603</v>
      </c>
      <c r="V886" s="128" t="s">
        <v>1397</v>
      </c>
    </row>
    <row r="887" spans="1:22" x14ac:dyDescent="0.35">
      <c r="A887" s="118">
        <v>886</v>
      </c>
      <c r="B887" s="128" t="s">
        <v>170</v>
      </c>
      <c r="C887" s="128" t="s">
        <v>300</v>
      </c>
      <c r="D887" s="128" t="s">
        <v>4471</v>
      </c>
      <c r="E887" s="128" t="s">
        <v>1192</v>
      </c>
      <c r="F887" s="128">
        <v>2002</v>
      </c>
      <c r="G887" s="128">
        <v>41</v>
      </c>
      <c r="H887" s="128">
        <v>5</v>
      </c>
      <c r="I887" s="128">
        <v>46</v>
      </c>
      <c r="J887" s="128" t="s">
        <v>4430</v>
      </c>
      <c r="K887" s="128">
        <v>24</v>
      </c>
      <c r="L887" s="128" t="s">
        <v>4474</v>
      </c>
      <c r="M887" s="128" t="s">
        <v>1773</v>
      </c>
      <c r="N887" s="128" t="s">
        <v>4475</v>
      </c>
      <c r="O887" s="128">
        <v>583</v>
      </c>
      <c r="P887" s="128">
        <v>145</v>
      </c>
      <c r="Q887" s="128">
        <v>102</v>
      </c>
      <c r="R887" s="128">
        <v>80</v>
      </c>
      <c r="S887" s="128">
        <v>189</v>
      </c>
      <c r="T887" s="128">
        <v>77</v>
      </c>
      <c r="U887" s="128">
        <v>593</v>
      </c>
      <c r="V887" s="128" t="s">
        <v>1397</v>
      </c>
    </row>
    <row r="888" spans="1:22" x14ac:dyDescent="0.35">
      <c r="A888" s="118">
        <v>887</v>
      </c>
      <c r="B888" s="128" t="s">
        <v>170</v>
      </c>
      <c r="C888" s="128" t="s">
        <v>300</v>
      </c>
      <c r="D888" s="128" t="s">
        <v>1945</v>
      </c>
      <c r="E888" s="128" t="s">
        <v>1199</v>
      </c>
      <c r="F888" s="128">
        <v>2007</v>
      </c>
      <c r="G888" s="128">
        <v>78</v>
      </c>
      <c r="H888" s="128">
        <v>17</v>
      </c>
      <c r="I888" s="128">
        <v>95</v>
      </c>
      <c r="J888" s="128" t="s">
        <v>4430</v>
      </c>
      <c r="K888" s="128">
        <v>31</v>
      </c>
      <c r="L888" s="128" t="s">
        <v>4476</v>
      </c>
      <c r="M888" s="128" t="s">
        <v>4477</v>
      </c>
      <c r="N888" s="128" t="s">
        <v>2883</v>
      </c>
      <c r="O888" s="128">
        <v>588</v>
      </c>
      <c r="P888" s="128">
        <v>145</v>
      </c>
      <c r="Q888" s="128">
        <v>102</v>
      </c>
      <c r="R888" s="128">
        <v>80</v>
      </c>
      <c r="S888" s="128">
        <v>189</v>
      </c>
      <c r="T888" s="128">
        <v>82</v>
      </c>
      <c r="U888" s="128">
        <v>598</v>
      </c>
      <c r="V888" s="128" t="s">
        <v>1397</v>
      </c>
    </row>
    <row r="889" spans="1:22" x14ac:dyDescent="0.35">
      <c r="A889" s="118">
        <v>888</v>
      </c>
      <c r="B889" s="128" t="s">
        <v>170</v>
      </c>
      <c r="C889" s="128" t="s">
        <v>300</v>
      </c>
      <c r="D889" s="128" t="s">
        <v>1945</v>
      </c>
      <c r="E889" s="128" t="s">
        <v>1198</v>
      </c>
      <c r="F889" s="128">
        <v>2007</v>
      </c>
      <c r="G889" s="128">
        <v>55</v>
      </c>
      <c r="H889" s="128">
        <v>4</v>
      </c>
      <c r="I889" s="128">
        <v>59</v>
      </c>
      <c r="J889" s="128" t="s">
        <v>4430</v>
      </c>
      <c r="K889" s="128">
        <v>41</v>
      </c>
      <c r="L889" s="128" t="s">
        <v>4478</v>
      </c>
      <c r="M889" s="128" t="s">
        <v>4479</v>
      </c>
      <c r="N889" s="128" t="s">
        <v>4480</v>
      </c>
      <c r="O889" s="128">
        <v>592</v>
      </c>
      <c r="P889" s="128">
        <v>129</v>
      </c>
      <c r="Q889" s="128">
        <v>102</v>
      </c>
      <c r="R889" s="128">
        <v>100</v>
      </c>
      <c r="S889" s="128">
        <v>189</v>
      </c>
      <c r="T889" s="128">
        <v>81</v>
      </c>
      <c r="U889" s="128">
        <v>601</v>
      </c>
      <c r="V889" s="128" t="s">
        <v>1397</v>
      </c>
    </row>
    <row r="890" spans="1:22" x14ac:dyDescent="0.35">
      <c r="A890" s="118">
        <v>889</v>
      </c>
      <c r="B890" s="128" t="s">
        <v>170</v>
      </c>
      <c r="C890" s="128" t="s">
        <v>300</v>
      </c>
      <c r="D890" s="128" t="s">
        <v>4481</v>
      </c>
      <c r="E890" s="128" t="s">
        <v>1197</v>
      </c>
      <c r="F890" s="128">
        <v>2000</v>
      </c>
      <c r="G890" s="128">
        <v>62</v>
      </c>
      <c r="H890" s="128">
        <v>1</v>
      </c>
      <c r="I890" s="128">
        <v>63</v>
      </c>
      <c r="J890" s="128" t="s">
        <v>4430</v>
      </c>
      <c r="K890" s="128">
        <v>126</v>
      </c>
      <c r="L890" s="128" t="s">
        <v>1979</v>
      </c>
      <c r="M890" s="128" t="s">
        <v>4482</v>
      </c>
      <c r="N890" s="128" t="s">
        <v>1647</v>
      </c>
      <c r="O890" s="128">
        <v>594</v>
      </c>
      <c r="P890" s="128">
        <v>134</v>
      </c>
      <c r="Q890" s="128">
        <v>102</v>
      </c>
      <c r="R890" s="128">
        <v>102</v>
      </c>
      <c r="S890" s="128">
        <v>189</v>
      </c>
      <c r="T890" s="128">
        <v>76</v>
      </c>
      <c r="U890" s="128">
        <v>603</v>
      </c>
      <c r="V890" s="128" t="s">
        <v>1397</v>
      </c>
    </row>
    <row r="891" spans="1:22" x14ac:dyDescent="0.35">
      <c r="A891" s="118">
        <v>890</v>
      </c>
      <c r="B891" s="128" t="s">
        <v>170</v>
      </c>
      <c r="C891" s="128" t="s">
        <v>300</v>
      </c>
      <c r="D891" s="128" t="s">
        <v>4481</v>
      </c>
      <c r="E891" s="128" t="s">
        <v>1196</v>
      </c>
      <c r="F891" s="128">
        <v>2000</v>
      </c>
      <c r="G891" s="128">
        <v>56</v>
      </c>
      <c r="H891" s="128">
        <v>4</v>
      </c>
      <c r="I891" s="128">
        <v>60</v>
      </c>
      <c r="J891" s="128" t="s">
        <v>4430</v>
      </c>
      <c r="K891" s="128">
        <v>128</v>
      </c>
      <c r="L891" s="128" t="s">
        <v>1634</v>
      </c>
      <c r="M891" s="128" t="s">
        <v>4238</v>
      </c>
      <c r="N891" s="128" t="s">
        <v>4483</v>
      </c>
      <c r="O891" s="128">
        <v>599</v>
      </c>
      <c r="P891" s="128">
        <v>134</v>
      </c>
      <c r="Q891" s="128">
        <v>102</v>
      </c>
      <c r="R891" s="128">
        <v>102</v>
      </c>
      <c r="S891" s="128">
        <v>189</v>
      </c>
      <c r="T891" s="128">
        <v>81</v>
      </c>
      <c r="U891" s="128">
        <v>608</v>
      </c>
      <c r="V891" s="128" t="s">
        <v>1397</v>
      </c>
    </row>
    <row r="892" spans="1:22" x14ac:dyDescent="0.35">
      <c r="A892" s="118">
        <v>891</v>
      </c>
      <c r="B892" s="128" t="s">
        <v>170</v>
      </c>
      <c r="C892" s="128" t="s">
        <v>300</v>
      </c>
      <c r="D892" s="128" t="s">
        <v>2161</v>
      </c>
      <c r="E892" s="128" t="s">
        <v>1195</v>
      </c>
      <c r="F892" s="128">
        <v>2007</v>
      </c>
      <c r="G892" s="128">
        <v>55</v>
      </c>
      <c r="H892" s="128">
        <v>14</v>
      </c>
      <c r="I892" s="128">
        <v>69</v>
      </c>
      <c r="J892" s="128" t="s">
        <v>4430</v>
      </c>
      <c r="K892" s="128">
        <v>64</v>
      </c>
      <c r="L892" s="128" t="s">
        <v>4484</v>
      </c>
      <c r="M892" s="128" t="s">
        <v>2125</v>
      </c>
      <c r="N892" s="128" t="s">
        <v>2923</v>
      </c>
      <c r="O892" s="128">
        <v>599</v>
      </c>
      <c r="P892" s="128">
        <v>134</v>
      </c>
      <c r="Q892" s="128">
        <v>107</v>
      </c>
      <c r="R892" s="128">
        <v>102</v>
      </c>
      <c r="S892" s="128">
        <v>189</v>
      </c>
      <c r="T892" s="128">
        <v>76</v>
      </c>
      <c r="U892" s="128">
        <v>608</v>
      </c>
      <c r="V892" s="128" t="s">
        <v>1397</v>
      </c>
    </row>
    <row r="893" spans="1:22" x14ac:dyDescent="0.35">
      <c r="A893" s="118">
        <v>892</v>
      </c>
      <c r="B893" s="128" t="s">
        <v>170</v>
      </c>
      <c r="C893" s="128" t="s">
        <v>300</v>
      </c>
      <c r="D893" s="128" t="s">
        <v>4485</v>
      </c>
      <c r="E893" s="128" t="s">
        <v>1194</v>
      </c>
      <c r="F893" s="128">
        <v>1997</v>
      </c>
      <c r="G893" s="128">
        <v>47</v>
      </c>
      <c r="H893" s="128">
        <v>8</v>
      </c>
      <c r="I893" s="128">
        <v>55</v>
      </c>
      <c r="J893" s="128" t="s">
        <v>4430</v>
      </c>
      <c r="K893" s="128">
        <v>128</v>
      </c>
      <c r="L893" s="128" t="s">
        <v>4486</v>
      </c>
      <c r="M893" s="128" t="s">
        <v>3253</v>
      </c>
      <c r="N893" s="128" t="s">
        <v>4415</v>
      </c>
      <c r="O893" s="128">
        <v>610</v>
      </c>
      <c r="P893" s="128">
        <v>145</v>
      </c>
      <c r="Q893" s="128">
        <v>107</v>
      </c>
      <c r="R893" s="128">
        <v>102</v>
      </c>
      <c r="S893" s="128">
        <v>189</v>
      </c>
      <c r="T893" s="128">
        <v>76</v>
      </c>
      <c r="U893" s="128">
        <v>619</v>
      </c>
      <c r="V893" s="128" t="s">
        <v>1397</v>
      </c>
    </row>
    <row r="894" spans="1:22" x14ac:dyDescent="0.35">
      <c r="A894" s="118">
        <v>893</v>
      </c>
      <c r="B894" s="128" t="s">
        <v>170</v>
      </c>
      <c r="C894" s="128" t="s">
        <v>300</v>
      </c>
      <c r="D894" s="128" t="s">
        <v>4485</v>
      </c>
      <c r="E894" s="128" t="s">
        <v>1193</v>
      </c>
      <c r="F894" s="128">
        <v>2004</v>
      </c>
      <c r="G894" s="128">
        <v>69</v>
      </c>
      <c r="H894" s="128">
        <v>15</v>
      </c>
      <c r="I894" s="128">
        <v>84</v>
      </c>
      <c r="J894" s="128" t="s">
        <v>4430</v>
      </c>
      <c r="K894" s="128">
        <v>140</v>
      </c>
      <c r="L894" s="128" t="s">
        <v>4487</v>
      </c>
      <c r="M894" s="128" t="s">
        <v>4388</v>
      </c>
      <c r="N894" s="128" t="s">
        <v>2967</v>
      </c>
      <c r="O894" s="128">
        <v>620</v>
      </c>
      <c r="P894" s="128">
        <v>145</v>
      </c>
      <c r="Q894" s="128">
        <v>117</v>
      </c>
      <c r="R894" s="128">
        <v>102</v>
      </c>
      <c r="S894" s="128">
        <v>184</v>
      </c>
      <c r="T894" s="128">
        <v>81</v>
      </c>
      <c r="U894" s="128">
        <v>629</v>
      </c>
      <c r="V894" s="128" t="s">
        <v>1397</v>
      </c>
    </row>
    <row r="895" spans="1:22" x14ac:dyDescent="0.35">
      <c r="A895" s="118">
        <v>894</v>
      </c>
      <c r="B895" s="128" t="s">
        <v>170</v>
      </c>
      <c r="C895" s="128" t="s">
        <v>300</v>
      </c>
      <c r="D895" s="128" t="s">
        <v>1517</v>
      </c>
      <c r="E895" s="128" t="s">
        <v>1191</v>
      </c>
      <c r="F895" s="128">
        <v>2004</v>
      </c>
      <c r="G895" s="128">
        <v>0</v>
      </c>
      <c r="H895" s="128">
        <v>22</v>
      </c>
      <c r="I895" s="128">
        <v>22</v>
      </c>
      <c r="J895" s="128" t="s">
        <v>4488</v>
      </c>
      <c r="K895" s="128" t="s">
        <v>4489</v>
      </c>
      <c r="L895" s="128" t="s">
        <v>3218</v>
      </c>
      <c r="M895" s="128" t="s">
        <v>3081</v>
      </c>
      <c r="N895" s="128" t="s">
        <v>4490</v>
      </c>
      <c r="O895" s="128">
        <v>599</v>
      </c>
      <c r="P895" s="128">
        <v>134</v>
      </c>
      <c r="Q895" s="128">
        <v>112</v>
      </c>
      <c r="R895" s="128">
        <v>102</v>
      </c>
      <c r="S895" s="128">
        <v>184</v>
      </c>
      <c r="T895" s="128">
        <v>76</v>
      </c>
      <c r="U895" s="128">
        <v>608</v>
      </c>
      <c r="V895" s="128" t="s">
        <v>1397</v>
      </c>
    </row>
    <row r="896" spans="1:22" x14ac:dyDescent="0.35">
      <c r="A896" s="118">
        <v>895</v>
      </c>
      <c r="B896" s="128" t="s">
        <v>170</v>
      </c>
      <c r="C896" s="128" t="s">
        <v>300</v>
      </c>
      <c r="D896" s="128" t="s">
        <v>2161</v>
      </c>
      <c r="E896" s="128" t="s">
        <v>4491</v>
      </c>
      <c r="F896" s="128">
        <v>2023</v>
      </c>
      <c r="G896" s="128">
        <v>56</v>
      </c>
      <c r="H896" s="128">
        <v>5</v>
      </c>
      <c r="I896" s="128">
        <v>61</v>
      </c>
      <c r="J896" s="128" t="s">
        <v>4430</v>
      </c>
      <c r="K896" s="128">
        <v>70</v>
      </c>
      <c r="L896" s="128" t="s">
        <v>4492</v>
      </c>
      <c r="M896" s="128" t="s">
        <v>1856</v>
      </c>
      <c r="N896" s="128" t="s">
        <v>4493</v>
      </c>
      <c r="O896" s="128">
        <v>240</v>
      </c>
      <c r="P896" s="128">
        <v>67</v>
      </c>
      <c r="Q896" s="128">
        <v>42</v>
      </c>
      <c r="R896" s="128">
        <v>42</v>
      </c>
      <c r="S896" s="128">
        <v>62</v>
      </c>
      <c r="T896" s="128">
        <v>36</v>
      </c>
      <c r="U896" s="128">
        <v>249</v>
      </c>
      <c r="V896" s="128" t="s">
        <v>1396</v>
      </c>
    </row>
    <row r="897" spans="1:23" x14ac:dyDescent="0.35">
      <c r="A897" s="118">
        <v>896</v>
      </c>
      <c r="B897" s="128" t="s">
        <v>170</v>
      </c>
      <c r="C897" s="128" t="s">
        <v>6251</v>
      </c>
      <c r="D897" s="128" t="s">
        <v>1942</v>
      </c>
      <c r="E897" s="128" t="s">
        <v>1121</v>
      </c>
      <c r="F897" s="128">
        <v>2006</v>
      </c>
      <c r="G897" s="128">
        <v>50</v>
      </c>
      <c r="H897" s="128">
        <v>2</v>
      </c>
      <c r="I897" s="128">
        <v>52</v>
      </c>
      <c r="J897" s="128" t="s">
        <v>4494</v>
      </c>
      <c r="K897" s="128">
        <v>3</v>
      </c>
      <c r="L897" s="128" t="s">
        <v>4495</v>
      </c>
      <c r="M897" s="128" t="s">
        <v>1702</v>
      </c>
      <c r="N897" s="128" t="s">
        <v>4273</v>
      </c>
      <c r="O897" s="128">
        <v>446</v>
      </c>
      <c r="P897" s="128">
        <v>100</v>
      </c>
      <c r="Q897" s="128">
        <v>80</v>
      </c>
      <c r="R897" s="128">
        <v>175</v>
      </c>
      <c r="S897" s="128">
        <v>55</v>
      </c>
      <c r="T897" s="128">
        <v>60</v>
      </c>
      <c r="U897" s="128">
        <v>470</v>
      </c>
      <c r="V897" s="128" t="s">
        <v>1397</v>
      </c>
      <c r="W897" s="117" t="s">
        <v>1547</v>
      </c>
    </row>
    <row r="898" spans="1:23" x14ac:dyDescent="0.35">
      <c r="A898" s="118">
        <v>897</v>
      </c>
      <c r="B898" s="128" t="s">
        <v>170</v>
      </c>
      <c r="C898" s="128" t="s">
        <v>6251</v>
      </c>
      <c r="D898" s="128" t="s">
        <v>1942</v>
      </c>
      <c r="E898" s="128" t="s">
        <v>1120</v>
      </c>
      <c r="F898" s="128">
        <v>2008</v>
      </c>
      <c r="G898" s="128">
        <v>41</v>
      </c>
      <c r="H898" s="128">
        <v>2</v>
      </c>
      <c r="I898" s="128">
        <v>43</v>
      </c>
      <c r="J898" s="128" t="s">
        <v>4494</v>
      </c>
      <c r="K898" s="128">
        <v>3</v>
      </c>
      <c r="L898" s="128" t="s">
        <v>4496</v>
      </c>
      <c r="M898" s="128" t="s">
        <v>4497</v>
      </c>
      <c r="N898" s="128" t="s">
        <v>4498</v>
      </c>
      <c r="O898" s="128">
        <v>395</v>
      </c>
      <c r="P898" s="128">
        <v>75</v>
      </c>
      <c r="Q898" s="128">
        <v>80</v>
      </c>
      <c r="R898" s="128">
        <v>140</v>
      </c>
      <c r="S898" s="128">
        <v>55</v>
      </c>
      <c r="T898" s="128">
        <v>50</v>
      </c>
      <c r="U898" s="128">
        <v>400</v>
      </c>
      <c r="V898" s="128" t="s">
        <v>1416</v>
      </c>
      <c r="W898" s="117" t="s">
        <v>2643</v>
      </c>
    </row>
    <row r="899" spans="1:23" x14ac:dyDescent="0.35">
      <c r="A899" s="118">
        <v>898</v>
      </c>
      <c r="B899" s="128" t="s">
        <v>170</v>
      </c>
      <c r="C899" s="128" t="s">
        <v>6251</v>
      </c>
      <c r="D899" s="128" t="s">
        <v>1942</v>
      </c>
      <c r="E899" s="128" t="s">
        <v>4499</v>
      </c>
      <c r="F899" s="128">
        <v>2008</v>
      </c>
      <c r="G899" s="128">
        <v>29</v>
      </c>
      <c r="H899" s="128">
        <v>1</v>
      </c>
      <c r="I899" s="128">
        <v>30</v>
      </c>
      <c r="J899" s="128" t="s">
        <v>4494</v>
      </c>
      <c r="K899" s="128">
        <v>3</v>
      </c>
      <c r="L899" s="128" t="s">
        <v>4500</v>
      </c>
      <c r="M899" s="128" t="s">
        <v>4501</v>
      </c>
      <c r="N899" s="128" t="s">
        <v>1559</v>
      </c>
      <c r="O899" s="128">
        <v>445</v>
      </c>
      <c r="P899" s="128">
        <v>100</v>
      </c>
      <c r="Q899" s="128">
        <v>80</v>
      </c>
      <c r="R899" s="128">
        <v>175</v>
      </c>
      <c r="S899" s="128">
        <v>55</v>
      </c>
      <c r="T899" s="128">
        <v>60</v>
      </c>
      <c r="U899" s="128">
        <v>470</v>
      </c>
      <c r="V899" s="128" t="s">
        <v>1397</v>
      </c>
      <c r="W899" s="117" t="s">
        <v>1547</v>
      </c>
    </row>
    <row r="900" spans="1:23" x14ac:dyDescent="0.35">
      <c r="A900" s="118">
        <v>899</v>
      </c>
      <c r="B900" s="128" t="s">
        <v>170</v>
      </c>
      <c r="C900" s="128" t="s">
        <v>6251</v>
      </c>
      <c r="D900" s="128" t="s">
        <v>1517</v>
      </c>
      <c r="E900" s="128" t="s">
        <v>4502</v>
      </c>
      <c r="F900" s="128">
        <v>2006</v>
      </c>
      <c r="G900" s="128">
        <v>44</v>
      </c>
      <c r="H900" s="128">
        <v>4</v>
      </c>
      <c r="I900" s="128">
        <v>48</v>
      </c>
      <c r="J900" s="128" t="s">
        <v>4494</v>
      </c>
      <c r="K900" s="128">
        <v>3</v>
      </c>
      <c r="L900" s="128" t="s">
        <v>4503</v>
      </c>
      <c r="M900" s="128" t="s">
        <v>4504</v>
      </c>
      <c r="N900" s="128" t="s">
        <v>4505</v>
      </c>
      <c r="O900" s="128">
        <v>370</v>
      </c>
      <c r="P900" s="128">
        <v>75</v>
      </c>
      <c r="Q900" s="128">
        <v>65</v>
      </c>
      <c r="R900" s="128">
        <v>140</v>
      </c>
      <c r="S900" s="128">
        <v>50</v>
      </c>
      <c r="T900" s="128">
        <v>50</v>
      </c>
      <c r="U900" s="128">
        <v>380</v>
      </c>
      <c r="V900" s="128" t="s">
        <v>1416</v>
      </c>
      <c r="W900" s="117" t="s">
        <v>2643</v>
      </c>
    </row>
    <row r="901" spans="1:23" x14ac:dyDescent="0.35">
      <c r="A901" s="118">
        <v>900</v>
      </c>
      <c r="B901" s="128" t="s">
        <v>170</v>
      </c>
      <c r="C901" s="128" t="s">
        <v>6251</v>
      </c>
      <c r="D901" s="128" t="s">
        <v>1517</v>
      </c>
      <c r="E901" s="128" t="s">
        <v>4506</v>
      </c>
      <c r="F901" s="128">
        <v>2008</v>
      </c>
      <c r="G901" s="128">
        <v>36</v>
      </c>
      <c r="H901" s="128">
        <v>2</v>
      </c>
      <c r="I901" s="128">
        <v>38</v>
      </c>
      <c r="J901" s="128" t="s">
        <v>4494</v>
      </c>
      <c r="K901" s="128">
        <v>3</v>
      </c>
      <c r="L901" s="128" t="s">
        <v>1959</v>
      </c>
      <c r="M901" s="128" t="s">
        <v>4280</v>
      </c>
      <c r="N901" s="128" t="s">
        <v>1876</v>
      </c>
      <c r="O901" s="128">
        <v>465</v>
      </c>
      <c r="P901" s="128">
        <v>100</v>
      </c>
      <c r="Q901" s="128">
        <v>80</v>
      </c>
      <c r="R901" s="128">
        <v>175</v>
      </c>
      <c r="S901" s="128">
        <v>55</v>
      </c>
      <c r="T901" s="128">
        <v>60</v>
      </c>
      <c r="U901" s="128">
        <v>470</v>
      </c>
      <c r="V901" s="128" t="s">
        <v>1397</v>
      </c>
      <c r="W901" s="117" t="s">
        <v>1547</v>
      </c>
    </row>
    <row r="902" spans="1:23" x14ac:dyDescent="0.35">
      <c r="A902" s="118">
        <v>901</v>
      </c>
      <c r="B902" s="128" t="s">
        <v>170</v>
      </c>
      <c r="C902" s="128" t="s">
        <v>6251</v>
      </c>
      <c r="D902" s="128" t="s">
        <v>1517</v>
      </c>
      <c r="E902" s="128" t="s">
        <v>4507</v>
      </c>
      <c r="F902" s="128">
        <v>2010</v>
      </c>
      <c r="G902" s="128">
        <v>39</v>
      </c>
      <c r="H902" s="128">
        <v>1</v>
      </c>
      <c r="I902" s="128">
        <v>40</v>
      </c>
      <c r="J902" s="128" t="s">
        <v>4494</v>
      </c>
      <c r="K902" s="128">
        <v>3</v>
      </c>
      <c r="L902" s="128" t="s">
        <v>4234</v>
      </c>
      <c r="M902" s="128" t="s">
        <v>4501</v>
      </c>
      <c r="N902" s="128" t="s">
        <v>2928</v>
      </c>
      <c r="O902" s="128">
        <v>445</v>
      </c>
      <c r="P902" s="128">
        <v>100</v>
      </c>
      <c r="Q902" s="128">
        <v>80</v>
      </c>
      <c r="R902" s="128">
        <v>175</v>
      </c>
      <c r="S902" s="128">
        <v>45</v>
      </c>
      <c r="T902" s="128">
        <v>50</v>
      </c>
      <c r="U902" s="128">
        <v>450</v>
      </c>
      <c r="V902" s="128" t="s">
        <v>1416</v>
      </c>
      <c r="W902" s="117" t="s">
        <v>2643</v>
      </c>
    </row>
    <row r="903" spans="1:23" x14ac:dyDescent="0.35">
      <c r="A903" s="118">
        <v>902</v>
      </c>
      <c r="B903" s="128" t="s">
        <v>170</v>
      </c>
      <c r="C903" s="128" t="s">
        <v>6251</v>
      </c>
      <c r="D903" s="128" t="s">
        <v>4508</v>
      </c>
      <c r="E903" s="128" t="s">
        <v>4509</v>
      </c>
      <c r="F903" s="128">
        <v>2008</v>
      </c>
      <c r="G903" s="128">
        <v>55</v>
      </c>
      <c r="H903" s="128">
        <v>2</v>
      </c>
      <c r="I903" s="128">
        <v>57</v>
      </c>
      <c r="J903" s="128" t="s">
        <v>4494</v>
      </c>
      <c r="K903" s="128">
        <v>7</v>
      </c>
      <c r="L903" s="128" t="s">
        <v>4258</v>
      </c>
      <c r="M903" s="128" t="s">
        <v>4510</v>
      </c>
      <c r="N903" s="128" t="s">
        <v>3292</v>
      </c>
      <c r="O903" s="128">
        <v>705</v>
      </c>
      <c r="P903" s="128">
        <v>165</v>
      </c>
      <c r="Q903" s="128">
        <v>115</v>
      </c>
      <c r="R903" s="128">
        <v>250</v>
      </c>
      <c r="S903" s="128">
        <v>70</v>
      </c>
      <c r="T903" s="128">
        <v>105</v>
      </c>
      <c r="U903" s="128">
        <v>705</v>
      </c>
      <c r="V903" s="128" t="s">
        <v>1417</v>
      </c>
      <c r="W903" s="117" t="s">
        <v>2702</v>
      </c>
    </row>
    <row r="904" spans="1:23" x14ac:dyDescent="0.35">
      <c r="A904" s="118">
        <v>903</v>
      </c>
      <c r="B904" s="128" t="s">
        <v>170</v>
      </c>
      <c r="C904" s="128" t="s">
        <v>6251</v>
      </c>
      <c r="D904" s="128" t="s">
        <v>4508</v>
      </c>
      <c r="E904" s="128" t="s">
        <v>4511</v>
      </c>
      <c r="F904" s="128">
        <v>2012</v>
      </c>
      <c r="G904" s="128">
        <v>34</v>
      </c>
      <c r="H904" s="128">
        <v>0</v>
      </c>
      <c r="I904" s="128">
        <v>34</v>
      </c>
      <c r="J904" s="128" t="s">
        <v>4494</v>
      </c>
      <c r="K904" s="128">
        <v>7</v>
      </c>
      <c r="L904" s="128" t="s">
        <v>4416</v>
      </c>
      <c r="M904" s="128" t="s">
        <v>4512</v>
      </c>
      <c r="N904" s="128" t="s">
        <v>4513</v>
      </c>
      <c r="O904" s="128">
        <v>298</v>
      </c>
      <c r="P904" s="128">
        <v>70</v>
      </c>
      <c r="Q904" s="128">
        <v>46</v>
      </c>
      <c r="R904" s="128">
        <v>100</v>
      </c>
      <c r="S904" s="128">
        <v>45</v>
      </c>
      <c r="T904" s="128">
        <v>45</v>
      </c>
      <c r="U904" s="128">
        <v>306</v>
      </c>
      <c r="V904" s="128" t="s">
        <v>1416</v>
      </c>
      <c r="W904" s="117" t="s">
        <v>2643</v>
      </c>
    </row>
    <row r="905" spans="1:23" x14ac:dyDescent="0.35">
      <c r="A905" s="118">
        <v>904</v>
      </c>
      <c r="B905" s="128" t="s">
        <v>170</v>
      </c>
      <c r="C905" s="128" t="s">
        <v>6251</v>
      </c>
      <c r="D905" s="128" t="s">
        <v>4514</v>
      </c>
      <c r="E905" s="128" t="s">
        <v>540</v>
      </c>
      <c r="F905" s="128">
        <v>2010</v>
      </c>
      <c r="G905" s="128">
        <v>42</v>
      </c>
      <c r="H905" s="128">
        <v>1</v>
      </c>
      <c r="I905" s="128">
        <v>43</v>
      </c>
      <c r="J905" s="128" t="s">
        <v>4494</v>
      </c>
      <c r="K905" s="128">
        <v>5</v>
      </c>
      <c r="L905" s="128" t="s">
        <v>4515</v>
      </c>
      <c r="M905" s="128" t="s">
        <v>1580</v>
      </c>
      <c r="N905" s="128" t="s">
        <v>1566</v>
      </c>
      <c r="O905" s="128">
        <v>298</v>
      </c>
      <c r="P905" s="128">
        <v>70</v>
      </c>
      <c r="Q905" s="128">
        <v>46</v>
      </c>
      <c r="R905" s="128">
        <v>100</v>
      </c>
      <c r="S905" s="128">
        <v>45</v>
      </c>
      <c r="T905" s="128">
        <v>45</v>
      </c>
      <c r="U905" s="128">
        <v>306</v>
      </c>
      <c r="V905" s="128" t="s">
        <v>1416</v>
      </c>
      <c r="W905" s="117" t="s">
        <v>2643</v>
      </c>
    </row>
    <row r="906" spans="1:23" x14ac:dyDescent="0.35">
      <c r="A906" s="118">
        <v>905</v>
      </c>
      <c r="B906" s="128" t="s">
        <v>170</v>
      </c>
      <c r="C906" s="128" t="s">
        <v>6251</v>
      </c>
      <c r="D906" s="128" t="s">
        <v>4514</v>
      </c>
      <c r="E906" s="128" t="s">
        <v>539</v>
      </c>
      <c r="F906" s="128">
        <v>2012</v>
      </c>
      <c r="G906" s="128">
        <v>45</v>
      </c>
      <c r="H906" s="128">
        <v>2</v>
      </c>
      <c r="I906" s="128">
        <v>47</v>
      </c>
      <c r="J906" s="128" t="s">
        <v>4494</v>
      </c>
      <c r="K906" s="128">
        <v>5</v>
      </c>
      <c r="L906" s="128" t="s">
        <v>1650</v>
      </c>
      <c r="M906" s="128" t="s">
        <v>4516</v>
      </c>
      <c r="N906" s="128" t="s">
        <v>4381</v>
      </c>
      <c r="O906" s="128">
        <v>435</v>
      </c>
      <c r="P906" s="128">
        <v>100</v>
      </c>
      <c r="Q906" s="128">
        <v>80</v>
      </c>
      <c r="R906" s="128">
        <v>160</v>
      </c>
      <c r="S906" s="128">
        <v>55</v>
      </c>
      <c r="T906" s="128">
        <v>45</v>
      </c>
      <c r="U906" s="128">
        <v>440</v>
      </c>
      <c r="V906" s="128" t="s">
        <v>1416</v>
      </c>
      <c r="W906" s="117" t="s">
        <v>2643</v>
      </c>
    </row>
    <row r="907" spans="1:23" x14ac:dyDescent="0.35">
      <c r="A907" s="118">
        <v>906</v>
      </c>
      <c r="B907" s="128" t="s">
        <v>170</v>
      </c>
      <c r="C907" s="128" t="s">
        <v>298</v>
      </c>
      <c r="D907" s="128" t="s">
        <v>1517</v>
      </c>
      <c r="E907" s="128" t="s">
        <v>1175</v>
      </c>
      <c r="F907" s="128">
        <v>1984</v>
      </c>
      <c r="G907" s="128">
        <v>26</v>
      </c>
      <c r="H907" s="128">
        <v>3</v>
      </c>
      <c r="I907" s="128">
        <v>29</v>
      </c>
      <c r="J907" s="128" t="s">
        <v>4494</v>
      </c>
      <c r="K907" s="128">
        <v>14</v>
      </c>
      <c r="L907" s="128" t="s">
        <v>1681</v>
      </c>
      <c r="M907" s="128" t="s">
        <v>4517</v>
      </c>
      <c r="N907" s="128" t="s">
        <v>1647</v>
      </c>
      <c r="O907" s="128">
        <v>465</v>
      </c>
      <c r="P907" s="128">
        <v>100</v>
      </c>
      <c r="Q907" s="128">
        <v>80</v>
      </c>
      <c r="R907" s="128">
        <v>175</v>
      </c>
      <c r="S907" s="128">
        <v>60</v>
      </c>
      <c r="T907" s="128">
        <v>55</v>
      </c>
      <c r="U907" s="128">
        <v>470</v>
      </c>
      <c r="V907" s="128" t="s">
        <v>1397</v>
      </c>
      <c r="W907" s="117" t="s">
        <v>1547</v>
      </c>
    </row>
    <row r="908" spans="1:23" x14ac:dyDescent="0.35">
      <c r="A908" s="118">
        <v>907</v>
      </c>
      <c r="B908" s="128" t="s">
        <v>170</v>
      </c>
      <c r="C908" s="128" t="s">
        <v>298</v>
      </c>
      <c r="D908" s="128" t="s">
        <v>1517</v>
      </c>
      <c r="E908" s="128" t="s">
        <v>1176</v>
      </c>
      <c r="F908" s="128">
        <v>1995</v>
      </c>
      <c r="G908" s="128">
        <v>32</v>
      </c>
      <c r="H908" s="128">
        <v>3</v>
      </c>
      <c r="I908" s="128">
        <v>35</v>
      </c>
      <c r="J908" s="128" t="s">
        <v>4494</v>
      </c>
      <c r="K908" s="128">
        <v>14</v>
      </c>
      <c r="L908" s="128" t="s">
        <v>4518</v>
      </c>
      <c r="M908" s="128" t="s">
        <v>4519</v>
      </c>
      <c r="N908" s="128" t="s">
        <v>1876</v>
      </c>
      <c r="O908" s="128">
        <v>390</v>
      </c>
      <c r="P908" s="128">
        <v>75</v>
      </c>
      <c r="Q908" s="128">
        <v>65</v>
      </c>
      <c r="R908" s="128">
        <v>150</v>
      </c>
      <c r="S908" s="128">
        <v>60</v>
      </c>
      <c r="T908" s="128">
        <v>50</v>
      </c>
      <c r="U908" s="128">
        <v>400</v>
      </c>
      <c r="V908" s="128" t="s">
        <v>1416</v>
      </c>
      <c r="W908" s="117" t="s">
        <v>2643</v>
      </c>
    </row>
    <row r="909" spans="1:23" x14ac:dyDescent="0.35">
      <c r="A909" s="118">
        <v>908</v>
      </c>
      <c r="B909" s="128" t="s">
        <v>170</v>
      </c>
      <c r="C909" s="128" t="s">
        <v>298</v>
      </c>
      <c r="D909" s="128" t="s">
        <v>4520</v>
      </c>
      <c r="E909" s="128" t="s">
        <v>1173</v>
      </c>
      <c r="F909" s="128">
        <v>2002</v>
      </c>
      <c r="G909" s="128">
        <v>43</v>
      </c>
      <c r="H909" s="128">
        <v>4</v>
      </c>
      <c r="I909" s="128">
        <v>47</v>
      </c>
      <c r="J909" s="128" t="s">
        <v>4494</v>
      </c>
      <c r="K909" s="128">
        <v>12</v>
      </c>
      <c r="L909" s="128" t="s">
        <v>2046</v>
      </c>
      <c r="M909" s="128" t="s">
        <v>1979</v>
      </c>
      <c r="N909" s="128" t="s">
        <v>4521</v>
      </c>
      <c r="O909" s="128">
        <v>470</v>
      </c>
      <c r="P909" s="128">
        <v>100</v>
      </c>
      <c r="Q909" s="128">
        <v>80</v>
      </c>
      <c r="R909" s="128">
        <v>175</v>
      </c>
      <c r="S909" s="128">
        <v>55</v>
      </c>
      <c r="T909" s="128">
        <v>60</v>
      </c>
      <c r="U909" s="128">
        <v>470</v>
      </c>
      <c r="V909" s="128" t="s">
        <v>1397</v>
      </c>
      <c r="W909" s="117" t="s">
        <v>1547</v>
      </c>
    </row>
    <row r="910" spans="1:23" x14ac:dyDescent="0.35">
      <c r="A910" s="118">
        <v>909</v>
      </c>
      <c r="B910" s="128" t="s">
        <v>170</v>
      </c>
      <c r="C910" s="128" t="s">
        <v>298</v>
      </c>
      <c r="D910" s="128" t="s">
        <v>4520</v>
      </c>
      <c r="E910" s="128" t="s">
        <v>472</v>
      </c>
      <c r="F910" s="128">
        <v>2011</v>
      </c>
      <c r="G910" s="128">
        <v>29</v>
      </c>
      <c r="H910" s="128">
        <v>3</v>
      </c>
      <c r="I910" s="128">
        <v>32</v>
      </c>
      <c r="J910" s="128" t="s">
        <v>4494</v>
      </c>
      <c r="K910" s="128">
        <v>27.2</v>
      </c>
      <c r="L910" s="128" t="s">
        <v>4522</v>
      </c>
      <c r="M910" s="128" t="s">
        <v>1580</v>
      </c>
      <c r="N910" s="128" t="s">
        <v>3907</v>
      </c>
      <c r="O910" s="128">
        <v>390</v>
      </c>
      <c r="P910" s="128">
        <v>75</v>
      </c>
      <c r="Q910" s="128">
        <v>65</v>
      </c>
      <c r="R910" s="128">
        <v>150</v>
      </c>
      <c r="S910" s="128">
        <v>45</v>
      </c>
      <c r="T910" s="128">
        <v>60</v>
      </c>
      <c r="U910" s="128">
        <v>395</v>
      </c>
      <c r="V910" s="128" t="s">
        <v>1416</v>
      </c>
      <c r="W910" s="117" t="s">
        <v>2643</v>
      </c>
    </row>
    <row r="911" spans="1:23" x14ac:dyDescent="0.35">
      <c r="A911" s="118">
        <v>910</v>
      </c>
      <c r="B911" s="128" t="s">
        <v>170</v>
      </c>
      <c r="C911" s="128" t="s">
        <v>298</v>
      </c>
      <c r="D911" s="128" t="s">
        <v>503</v>
      </c>
      <c r="E911" s="128" t="s">
        <v>1178</v>
      </c>
      <c r="F911" s="128">
        <v>2011</v>
      </c>
      <c r="G911" s="128">
        <v>32</v>
      </c>
      <c r="H911" s="128">
        <v>0</v>
      </c>
      <c r="I911" s="128">
        <v>32</v>
      </c>
      <c r="J911" s="128" t="s">
        <v>4494</v>
      </c>
      <c r="K911" s="128">
        <v>10</v>
      </c>
      <c r="L911" s="128" t="s">
        <v>4523</v>
      </c>
      <c r="M911" s="128" t="s">
        <v>4524</v>
      </c>
      <c r="N911" s="128" t="s">
        <v>4525</v>
      </c>
      <c r="O911" s="128">
        <v>445</v>
      </c>
      <c r="P911" s="128">
        <v>100</v>
      </c>
      <c r="Q911" s="128">
        <v>80</v>
      </c>
      <c r="R911" s="128">
        <v>175</v>
      </c>
      <c r="S911" s="128">
        <v>40</v>
      </c>
      <c r="T911" s="128">
        <v>50</v>
      </c>
      <c r="U911" s="128">
        <v>445</v>
      </c>
      <c r="V911" s="128" t="s">
        <v>1416</v>
      </c>
      <c r="W911" s="117" t="s">
        <v>2643</v>
      </c>
    </row>
    <row r="912" spans="1:23" x14ac:dyDescent="0.35">
      <c r="A912" s="118">
        <v>911</v>
      </c>
      <c r="B912" s="128" t="s">
        <v>170</v>
      </c>
      <c r="C912" s="128" t="s">
        <v>298</v>
      </c>
      <c r="D912" s="128" t="s">
        <v>503</v>
      </c>
      <c r="E912" s="128" t="s">
        <v>1179</v>
      </c>
      <c r="F912" s="128">
        <v>2005</v>
      </c>
      <c r="G912" s="128">
        <v>40</v>
      </c>
      <c r="H912" s="128">
        <v>2</v>
      </c>
      <c r="I912" s="128">
        <v>42</v>
      </c>
      <c r="J912" s="128" t="s">
        <v>4494</v>
      </c>
      <c r="K912" s="128">
        <v>22.8</v>
      </c>
      <c r="L912" s="128" t="s">
        <v>4526</v>
      </c>
      <c r="M912" s="128" t="s">
        <v>4474</v>
      </c>
      <c r="N912" s="128" t="s">
        <v>4492</v>
      </c>
      <c r="O912" s="128">
        <v>705</v>
      </c>
      <c r="P912" s="128">
        <v>155</v>
      </c>
      <c r="Q912" s="128">
        <v>120</v>
      </c>
      <c r="R912" s="128">
        <v>250</v>
      </c>
      <c r="S912" s="128">
        <v>75</v>
      </c>
      <c r="T912" s="128">
        <v>105</v>
      </c>
      <c r="U912" s="128">
        <v>705</v>
      </c>
      <c r="V912" s="128" t="s">
        <v>1417</v>
      </c>
      <c r="W912" s="117" t="s">
        <v>2702</v>
      </c>
    </row>
    <row r="913" spans="1:23" x14ac:dyDescent="0.35">
      <c r="A913" s="118">
        <v>912</v>
      </c>
      <c r="B913" s="128" t="s">
        <v>170</v>
      </c>
      <c r="C913" s="128" t="s">
        <v>298</v>
      </c>
      <c r="D913" s="128" t="s">
        <v>4527</v>
      </c>
      <c r="E913" s="128" t="s">
        <v>1177</v>
      </c>
      <c r="F913" s="128">
        <v>2010</v>
      </c>
      <c r="G913" s="128">
        <v>50</v>
      </c>
      <c r="H913" s="128">
        <v>1</v>
      </c>
      <c r="I913" s="128">
        <v>51</v>
      </c>
      <c r="J913" s="128" t="s">
        <v>4494</v>
      </c>
      <c r="K913" s="128">
        <v>10</v>
      </c>
      <c r="L913" s="128" t="s">
        <v>3243</v>
      </c>
      <c r="M913" s="128" t="s">
        <v>4528</v>
      </c>
      <c r="N913" s="128" t="s">
        <v>4496</v>
      </c>
      <c r="O913" s="128">
        <v>465</v>
      </c>
      <c r="P913" s="128">
        <v>100</v>
      </c>
      <c r="Q913" s="128">
        <v>80</v>
      </c>
      <c r="R913" s="128">
        <v>175</v>
      </c>
      <c r="S913" s="128">
        <v>50</v>
      </c>
      <c r="T913" s="128">
        <v>60</v>
      </c>
      <c r="U913" s="128">
        <v>465</v>
      </c>
      <c r="V913" s="128" t="s">
        <v>1397</v>
      </c>
      <c r="W913" s="117" t="s">
        <v>1547</v>
      </c>
    </row>
    <row r="914" spans="1:23" x14ac:dyDescent="0.35">
      <c r="A914" s="118">
        <v>913</v>
      </c>
      <c r="B914" s="128" t="s">
        <v>170</v>
      </c>
      <c r="C914" s="128" t="s">
        <v>298</v>
      </c>
      <c r="D914" s="128" t="s">
        <v>4527</v>
      </c>
      <c r="E914" s="128" t="s">
        <v>1060</v>
      </c>
      <c r="F914" s="128">
        <v>2002</v>
      </c>
      <c r="G914" s="128">
        <v>10</v>
      </c>
      <c r="H914" s="128">
        <v>6</v>
      </c>
      <c r="I914" s="128">
        <v>16</v>
      </c>
      <c r="J914" s="128" t="s">
        <v>4494</v>
      </c>
      <c r="K914" s="128">
        <v>35.200000000000003</v>
      </c>
      <c r="L914" s="128" t="s">
        <v>4529</v>
      </c>
      <c r="M914" s="128" t="s">
        <v>4530</v>
      </c>
      <c r="N914" s="128" t="s">
        <v>4168</v>
      </c>
      <c r="O914" s="128">
        <v>450</v>
      </c>
      <c r="P914" s="128">
        <v>100</v>
      </c>
      <c r="Q914" s="128">
        <v>80</v>
      </c>
      <c r="R914" s="128">
        <v>175</v>
      </c>
      <c r="S914" s="128">
        <v>55</v>
      </c>
      <c r="T914" s="128">
        <v>60</v>
      </c>
      <c r="U914" s="128">
        <v>470</v>
      </c>
      <c r="V914" s="128" t="s">
        <v>1397</v>
      </c>
      <c r="W914" s="117" t="s">
        <v>1547</v>
      </c>
    </row>
    <row r="915" spans="1:23" x14ac:dyDescent="0.35">
      <c r="A915" s="118">
        <v>914</v>
      </c>
      <c r="B915" s="128" t="s">
        <v>170</v>
      </c>
      <c r="C915" s="128" t="s">
        <v>298</v>
      </c>
      <c r="D915" s="128" t="s">
        <v>4531</v>
      </c>
      <c r="E915" s="128" t="s">
        <v>1121</v>
      </c>
      <c r="F915" s="128">
        <v>2002</v>
      </c>
      <c r="G915" s="128">
        <v>32</v>
      </c>
      <c r="H915" s="128">
        <v>2</v>
      </c>
      <c r="I915" s="128">
        <v>34</v>
      </c>
      <c r="J915" s="128" t="s">
        <v>4494</v>
      </c>
      <c r="K915" s="128">
        <v>27.2</v>
      </c>
      <c r="L915" s="128" t="s">
        <v>4532</v>
      </c>
      <c r="M915" s="128" t="s">
        <v>4533</v>
      </c>
      <c r="N915" s="128" t="s">
        <v>1634</v>
      </c>
      <c r="O915" s="128">
        <v>465</v>
      </c>
      <c r="P915" s="128">
        <v>100</v>
      </c>
      <c r="Q915" s="128">
        <v>80</v>
      </c>
      <c r="R915" s="128">
        <v>175</v>
      </c>
      <c r="S915" s="128">
        <v>55</v>
      </c>
      <c r="T915" s="128">
        <v>60</v>
      </c>
      <c r="U915" s="128">
        <v>470</v>
      </c>
      <c r="V915" s="128" t="s">
        <v>1397</v>
      </c>
      <c r="W915" s="117" t="s">
        <v>1547</v>
      </c>
    </row>
    <row r="916" spans="1:23" x14ac:dyDescent="0.35">
      <c r="A916" s="118">
        <v>915</v>
      </c>
      <c r="B916" s="128" t="s">
        <v>170</v>
      </c>
      <c r="C916" s="128" t="s">
        <v>298</v>
      </c>
      <c r="D916" s="128" t="s">
        <v>4531</v>
      </c>
      <c r="E916" s="128" t="s">
        <v>1120</v>
      </c>
      <c r="F916" s="128">
        <v>2002</v>
      </c>
      <c r="G916" s="128">
        <v>27</v>
      </c>
      <c r="H916" s="128">
        <v>2</v>
      </c>
      <c r="I916" s="128">
        <v>29</v>
      </c>
      <c r="J916" s="128" t="s">
        <v>4494</v>
      </c>
      <c r="K916" s="128">
        <v>18</v>
      </c>
      <c r="L916" s="128" t="s">
        <v>4534</v>
      </c>
      <c r="M916" s="128" t="s">
        <v>4535</v>
      </c>
      <c r="N916" s="128" t="s">
        <v>4536</v>
      </c>
      <c r="O916" s="128">
        <v>445</v>
      </c>
      <c r="P916" s="128">
        <v>100</v>
      </c>
      <c r="Q916" s="128">
        <v>80</v>
      </c>
      <c r="R916" s="128">
        <v>175</v>
      </c>
      <c r="S916" s="128">
        <v>40</v>
      </c>
      <c r="T916" s="128">
        <v>50</v>
      </c>
      <c r="U916" s="128">
        <v>445</v>
      </c>
      <c r="V916" s="128" t="s">
        <v>1416</v>
      </c>
      <c r="W916" s="117" t="s">
        <v>2643</v>
      </c>
    </row>
    <row r="917" spans="1:23" x14ac:dyDescent="0.35">
      <c r="A917" s="118">
        <v>916</v>
      </c>
      <c r="B917" s="128" t="s">
        <v>170</v>
      </c>
      <c r="C917" s="128" t="s">
        <v>298</v>
      </c>
      <c r="D917" s="128" t="s">
        <v>4537</v>
      </c>
      <c r="E917" s="128" t="s">
        <v>42</v>
      </c>
      <c r="F917" s="128">
        <v>2008</v>
      </c>
      <c r="G917" s="128">
        <v>41</v>
      </c>
      <c r="H917" s="128">
        <v>1</v>
      </c>
      <c r="I917" s="128">
        <v>42</v>
      </c>
      <c r="J917" s="128" t="s">
        <v>4494</v>
      </c>
      <c r="K917" s="128">
        <v>30</v>
      </c>
      <c r="L917" s="128" t="s">
        <v>1963</v>
      </c>
      <c r="M917" s="128" t="s">
        <v>4538</v>
      </c>
      <c r="N917" s="128" t="s">
        <v>2252</v>
      </c>
      <c r="O917" s="128">
        <v>375</v>
      </c>
      <c r="P917" s="128">
        <v>75</v>
      </c>
      <c r="Q917" s="128">
        <v>65</v>
      </c>
      <c r="R917" s="128">
        <v>150</v>
      </c>
      <c r="S917" s="128">
        <v>40</v>
      </c>
      <c r="T917" s="128">
        <v>45</v>
      </c>
      <c r="U917" s="128">
        <v>375</v>
      </c>
      <c r="V917" s="128" t="s">
        <v>1416</v>
      </c>
      <c r="W917" s="117" t="s">
        <v>2643</v>
      </c>
    </row>
    <row r="918" spans="1:23" x14ac:dyDescent="0.35">
      <c r="A918" s="118">
        <v>917</v>
      </c>
      <c r="B918" s="128" t="s">
        <v>170</v>
      </c>
      <c r="C918" s="128" t="s">
        <v>298</v>
      </c>
      <c r="D918" s="128" t="s">
        <v>4537</v>
      </c>
      <c r="E918" s="128" t="s">
        <v>435</v>
      </c>
      <c r="F918" s="128">
        <v>2005</v>
      </c>
      <c r="G918" s="128">
        <v>30</v>
      </c>
      <c r="H918" s="128">
        <v>0</v>
      </c>
      <c r="I918" s="128">
        <v>30</v>
      </c>
      <c r="J918" s="128" t="s">
        <v>4494</v>
      </c>
      <c r="K918" s="128">
        <v>13</v>
      </c>
      <c r="L918" s="128" t="s">
        <v>4539</v>
      </c>
      <c r="M918" s="128" t="s">
        <v>2375</v>
      </c>
      <c r="N918" s="128" t="s">
        <v>1856</v>
      </c>
      <c r="O918" s="128">
        <v>445</v>
      </c>
      <c r="P918" s="128">
        <v>100</v>
      </c>
      <c r="Q918" s="128">
        <v>80</v>
      </c>
      <c r="R918" s="128">
        <v>175</v>
      </c>
      <c r="S918" s="128">
        <v>45</v>
      </c>
      <c r="T918" s="128">
        <v>50</v>
      </c>
      <c r="U918" s="128">
        <v>450</v>
      </c>
      <c r="V918" s="128" t="s">
        <v>1416</v>
      </c>
      <c r="W918" s="117" t="s">
        <v>2643</v>
      </c>
    </row>
    <row r="919" spans="1:23" x14ac:dyDescent="0.35">
      <c r="A919" s="118">
        <v>918</v>
      </c>
      <c r="B919" s="128" t="s">
        <v>170</v>
      </c>
      <c r="C919" s="128" t="s">
        <v>298</v>
      </c>
      <c r="D919" s="128" t="s">
        <v>4540</v>
      </c>
      <c r="E919" s="128" t="s">
        <v>1061</v>
      </c>
      <c r="F919" s="128">
        <v>2007</v>
      </c>
      <c r="G919" s="128">
        <v>19</v>
      </c>
      <c r="H919" s="128">
        <v>0</v>
      </c>
      <c r="I919" s="128">
        <v>19</v>
      </c>
      <c r="J919" s="128" t="s">
        <v>4494</v>
      </c>
      <c r="K919" s="128">
        <v>41.2</v>
      </c>
      <c r="L919" s="128" t="s">
        <v>4536</v>
      </c>
      <c r="M919" s="128" t="s">
        <v>2305</v>
      </c>
      <c r="N919" s="128" t="s">
        <v>2268</v>
      </c>
      <c r="O919" s="128">
        <v>460</v>
      </c>
      <c r="P919" s="128">
        <v>100</v>
      </c>
      <c r="Q919" s="128">
        <v>80</v>
      </c>
      <c r="R919" s="128">
        <v>175</v>
      </c>
      <c r="S919" s="128">
        <v>50</v>
      </c>
      <c r="T919" s="128">
        <v>55</v>
      </c>
      <c r="U919" s="128">
        <v>460</v>
      </c>
      <c r="V919" s="128" t="s">
        <v>1397</v>
      </c>
      <c r="W919" s="117" t="s">
        <v>1547</v>
      </c>
    </row>
    <row r="920" spans="1:23" x14ac:dyDescent="0.35">
      <c r="A920" s="118">
        <v>919</v>
      </c>
      <c r="B920" s="128" t="s">
        <v>170</v>
      </c>
      <c r="C920" s="128" t="s">
        <v>298</v>
      </c>
      <c r="D920" s="128" t="s">
        <v>4541</v>
      </c>
      <c r="E920" s="128" t="s">
        <v>483</v>
      </c>
      <c r="F920" s="128">
        <v>2007</v>
      </c>
      <c r="G920" s="128">
        <v>28</v>
      </c>
      <c r="H920" s="128">
        <v>3</v>
      </c>
      <c r="I920" s="128">
        <v>31</v>
      </c>
      <c r="J920" s="128" t="s">
        <v>4494</v>
      </c>
      <c r="K920" s="128">
        <v>49.2</v>
      </c>
      <c r="L920" s="128" t="s">
        <v>4542</v>
      </c>
      <c r="M920" s="128" t="s">
        <v>4543</v>
      </c>
      <c r="N920" s="128" t="s">
        <v>4544</v>
      </c>
      <c r="O920" s="128">
        <v>460</v>
      </c>
      <c r="P920" s="128">
        <v>100</v>
      </c>
      <c r="Q920" s="128">
        <v>80</v>
      </c>
      <c r="R920" s="128">
        <v>175</v>
      </c>
      <c r="S920" s="128">
        <v>50</v>
      </c>
      <c r="T920" s="128">
        <v>55</v>
      </c>
      <c r="U920" s="128">
        <v>460</v>
      </c>
      <c r="V920" s="128" t="s">
        <v>1397</v>
      </c>
      <c r="W920" s="117" t="s">
        <v>1547</v>
      </c>
    </row>
    <row r="921" spans="1:23" x14ac:dyDescent="0.35">
      <c r="A921" s="118">
        <v>920</v>
      </c>
      <c r="B921" s="128" t="s">
        <v>170</v>
      </c>
      <c r="C921" s="128" t="s">
        <v>298</v>
      </c>
      <c r="D921" s="128" t="s">
        <v>4545</v>
      </c>
      <c r="E921" s="128" t="s">
        <v>1066</v>
      </c>
      <c r="F921" s="128">
        <v>2008</v>
      </c>
      <c r="G921" s="128">
        <v>24</v>
      </c>
      <c r="H921" s="128">
        <v>6</v>
      </c>
      <c r="I921" s="128">
        <v>30</v>
      </c>
      <c r="J921" s="128" t="s">
        <v>4494</v>
      </c>
      <c r="K921" s="128">
        <v>28</v>
      </c>
      <c r="L921" s="128" t="s">
        <v>4546</v>
      </c>
      <c r="M921" s="128" t="s">
        <v>4547</v>
      </c>
      <c r="N921" s="128" t="s">
        <v>4548</v>
      </c>
      <c r="O921" s="128">
        <v>445</v>
      </c>
      <c r="P921" s="128">
        <v>100</v>
      </c>
      <c r="Q921" s="128">
        <v>80</v>
      </c>
      <c r="R921" s="128">
        <v>175</v>
      </c>
      <c r="S921" s="128">
        <v>40</v>
      </c>
      <c r="T921" s="128">
        <v>50</v>
      </c>
      <c r="U921" s="128">
        <v>445</v>
      </c>
      <c r="V921" s="128" t="s">
        <v>1416</v>
      </c>
      <c r="W921" s="117" t="s">
        <v>2643</v>
      </c>
    </row>
    <row r="922" spans="1:23" x14ac:dyDescent="0.35">
      <c r="A922" s="118">
        <v>921</v>
      </c>
      <c r="B922" s="128" t="s">
        <v>170</v>
      </c>
      <c r="C922" s="128" t="s">
        <v>298</v>
      </c>
      <c r="D922" s="128" t="s">
        <v>4545</v>
      </c>
      <c r="E922" s="128" t="s">
        <v>1174</v>
      </c>
      <c r="F922" s="128">
        <v>2008</v>
      </c>
      <c r="G922" s="128">
        <v>43</v>
      </c>
      <c r="H922" s="128">
        <v>1</v>
      </c>
      <c r="I922" s="128">
        <v>44</v>
      </c>
      <c r="J922" s="128" t="s">
        <v>4494</v>
      </c>
      <c r="K922" s="128">
        <v>14</v>
      </c>
      <c r="L922" s="128" t="s">
        <v>4549</v>
      </c>
      <c r="M922" s="128" t="s">
        <v>2072</v>
      </c>
      <c r="N922" s="128" t="s">
        <v>4550</v>
      </c>
      <c r="O922" s="128">
        <v>370</v>
      </c>
      <c r="P922" s="128">
        <v>75</v>
      </c>
      <c r="Q922" s="128">
        <v>65</v>
      </c>
      <c r="R922" s="128">
        <v>140</v>
      </c>
      <c r="S922" s="128">
        <v>45</v>
      </c>
      <c r="T922" s="128">
        <v>55</v>
      </c>
      <c r="U922" s="128">
        <v>380</v>
      </c>
      <c r="V922" s="128" t="s">
        <v>1416</v>
      </c>
      <c r="W922" s="117" t="s">
        <v>2643</v>
      </c>
    </row>
    <row r="923" spans="1:23" x14ac:dyDescent="0.35">
      <c r="A923" s="118">
        <v>922</v>
      </c>
      <c r="B923" s="128" t="s">
        <v>170</v>
      </c>
      <c r="C923" s="128" t="s">
        <v>298</v>
      </c>
      <c r="D923" s="128" t="s">
        <v>1101</v>
      </c>
      <c r="E923" s="128" t="s">
        <v>455</v>
      </c>
      <c r="F923" s="128">
        <v>2008</v>
      </c>
      <c r="G923" s="128">
        <v>53</v>
      </c>
      <c r="H923" s="128">
        <v>3</v>
      </c>
      <c r="I923" s="128">
        <v>56</v>
      </c>
      <c r="J923" s="128" t="s">
        <v>4494</v>
      </c>
      <c r="K923" s="128">
        <v>30</v>
      </c>
      <c r="L923" s="128" t="s">
        <v>3063</v>
      </c>
      <c r="M923" s="128" t="s">
        <v>4551</v>
      </c>
      <c r="N923" s="128" t="s">
        <v>4552</v>
      </c>
      <c r="O923" s="128">
        <v>460</v>
      </c>
      <c r="P923" s="128">
        <v>100</v>
      </c>
      <c r="Q923" s="128">
        <v>80</v>
      </c>
      <c r="R923" s="128">
        <v>175</v>
      </c>
      <c r="S923" s="128">
        <v>55</v>
      </c>
      <c r="T923" s="128">
        <v>55</v>
      </c>
      <c r="U923" s="128">
        <v>465</v>
      </c>
      <c r="V923" s="128" t="s">
        <v>1397</v>
      </c>
      <c r="W923" s="117" t="s">
        <v>1547</v>
      </c>
    </row>
    <row r="924" spans="1:23" x14ac:dyDescent="0.35">
      <c r="A924" s="118">
        <v>923</v>
      </c>
      <c r="B924" s="128" t="s">
        <v>165</v>
      </c>
      <c r="C924" s="128" t="s">
        <v>298</v>
      </c>
      <c r="D924" s="128" t="s">
        <v>4541</v>
      </c>
      <c r="E924" s="128" t="s">
        <v>920</v>
      </c>
      <c r="F924" s="128">
        <v>2021</v>
      </c>
      <c r="G924" s="128">
        <v>0</v>
      </c>
      <c r="H924" s="128">
        <v>20</v>
      </c>
      <c r="I924" s="128">
        <v>20</v>
      </c>
      <c r="J924" s="128" t="s">
        <v>4494</v>
      </c>
      <c r="K924" s="128">
        <v>5.16</v>
      </c>
      <c r="L924" s="128" t="s">
        <v>4553</v>
      </c>
      <c r="M924" s="128" t="s">
        <v>4554</v>
      </c>
      <c r="N924" s="128" t="s">
        <v>4555</v>
      </c>
      <c r="O924" s="128">
        <v>390</v>
      </c>
      <c r="P924" s="128">
        <v>75</v>
      </c>
      <c r="Q924" s="128">
        <v>65</v>
      </c>
      <c r="R924" s="128">
        <v>150</v>
      </c>
      <c r="S924" s="128">
        <v>45</v>
      </c>
      <c r="T924" s="128">
        <v>60</v>
      </c>
      <c r="U924" s="128">
        <v>395</v>
      </c>
      <c r="V924" s="128" t="s">
        <v>1416</v>
      </c>
      <c r="W924" s="117" t="s">
        <v>2643</v>
      </c>
    </row>
    <row r="925" spans="1:23" x14ac:dyDescent="0.35">
      <c r="A925" s="118">
        <v>924</v>
      </c>
      <c r="B925" s="128" t="s">
        <v>165</v>
      </c>
      <c r="C925" s="128" t="s">
        <v>224</v>
      </c>
      <c r="D925" s="128" t="s">
        <v>4556</v>
      </c>
      <c r="E925" s="128" t="s">
        <v>647</v>
      </c>
      <c r="F925" s="128">
        <v>1985</v>
      </c>
      <c r="G925" s="128">
        <v>190</v>
      </c>
      <c r="H925" s="128">
        <v>21</v>
      </c>
      <c r="I925" s="128">
        <v>211</v>
      </c>
      <c r="J925" s="128" t="s">
        <v>2965</v>
      </c>
      <c r="K925" s="128">
        <v>226.45</v>
      </c>
      <c r="L925" s="128" t="s">
        <v>4557</v>
      </c>
      <c r="M925" s="128" t="s">
        <v>1591</v>
      </c>
      <c r="N925" s="128" t="s">
        <v>4558</v>
      </c>
      <c r="O925" s="128">
        <v>565</v>
      </c>
      <c r="P925" s="128">
        <v>112</v>
      </c>
      <c r="Q925" s="128">
        <v>95</v>
      </c>
      <c r="R925" s="128">
        <v>250</v>
      </c>
      <c r="S925" s="128">
        <v>66</v>
      </c>
      <c r="T925" s="128">
        <v>56</v>
      </c>
      <c r="U925" s="128">
        <v>579</v>
      </c>
      <c r="V925" s="128" t="s">
        <v>1547</v>
      </c>
    </row>
    <row r="926" spans="1:23" x14ac:dyDescent="0.35">
      <c r="A926" s="118">
        <v>925</v>
      </c>
      <c r="B926" s="128" t="s">
        <v>165</v>
      </c>
      <c r="C926" s="128" t="s">
        <v>224</v>
      </c>
      <c r="D926" s="128" t="s">
        <v>1667</v>
      </c>
      <c r="E926" s="128" t="s">
        <v>646</v>
      </c>
      <c r="F926" s="128">
        <v>1985</v>
      </c>
      <c r="G926" s="128">
        <v>140</v>
      </c>
      <c r="H926" s="128">
        <v>10</v>
      </c>
      <c r="I926" s="128">
        <v>150</v>
      </c>
      <c r="J926" s="128" t="s">
        <v>1509</v>
      </c>
      <c r="K926" s="128">
        <v>155.71</v>
      </c>
      <c r="L926" s="128" t="s">
        <v>4559</v>
      </c>
      <c r="M926" s="128" t="s">
        <v>4560</v>
      </c>
      <c r="N926" s="128" t="s">
        <v>4561</v>
      </c>
      <c r="O926" s="128">
        <v>787</v>
      </c>
      <c r="P926" s="128">
        <v>147</v>
      </c>
      <c r="Q926" s="128">
        <v>124</v>
      </c>
      <c r="R926" s="128">
        <v>345</v>
      </c>
      <c r="S926" s="128">
        <v>89</v>
      </c>
      <c r="T926" s="128">
        <v>97</v>
      </c>
      <c r="U926" s="128">
        <v>802</v>
      </c>
      <c r="V926" s="128" t="s">
        <v>2702</v>
      </c>
    </row>
    <row r="927" spans="1:23" x14ac:dyDescent="0.35">
      <c r="A927" s="118">
        <v>926</v>
      </c>
      <c r="B927" s="128" t="s">
        <v>165</v>
      </c>
      <c r="C927" s="128" t="s">
        <v>224</v>
      </c>
      <c r="D927" s="128" t="s">
        <v>4562</v>
      </c>
      <c r="E927" s="128" t="s">
        <v>442</v>
      </c>
      <c r="F927" s="128">
        <v>1985</v>
      </c>
      <c r="G927" s="128">
        <v>118</v>
      </c>
      <c r="H927" s="128">
        <v>14</v>
      </c>
      <c r="I927" s="128">
        <v>132</v>
      </c>
      <c r="J927" s="128" t="s">
        <v>1509</v>
      </c>
      <c r="K927" s="128">
        <v>145.19999999999999</v>
      </c>
      <c r="L927" s="128" t="s">
        <v>4563</v>
      </c>
      <c r="M927" s="128" t="s">
        <v>4564</v>
      </c>
      <c r="N927" s="128" t="s">
        <v>4565</v>
      </c>
      <c r="O927" s="128">
        <v>500</v>
      </c>
      <c r="P927" s="128">
        <v>108</v>
      </c>
      <c r="Q927" s="128">
        <v>90</v>
      </c>
      <c r="R927" s="128">
        <v>207</v>
      </c>
      <c r="S927" s="128">
        <v>63</v>
      </c>
      <c r="T927" s="128">
        <v>57</v>
      </c>
      <c r="U927" s="128">
        <v>525</v>
      </c>
      <c r="V927" s="128" t="s">
        <v>1547</v>
      </c>
    </row>
    <row r="928" spans="1:23" x14ac:dyDescent="0.35">
      <c r="A928" s="118">
        <v>927</v>
      </c>
      <c r="B928" s="128" t="s">
        <v>165</v>
      </c>
      <c r="C928" s="128" t="s">
        <v>224</v>
      </c>
      <c r="D928" s="128" t="s">
        <v>1685</v>
      </c>
      <c r="E928" s="128" t="s">
        <v>645</v>
      </c>
      <c r="F928" s="128">
        <v>1985</v>
      </c>
      <c r="G928" s="128">
        <v>107</v>
      </c>
      <c r="H928" s="128">
        <v>0</v>
      </c>
      <c r="I928" s="128">
        <v>107</v>
      </c>
      <c r="J928" s="128" t="s">
        <v>2965</v>
      </c>
      <c r="K928" s="128">
        <v>83.6</v>
      </c>
      <c r="L928" s="128" t="s">
        <v>4369</v>
      </c>
      <c r="M928" s="128" t="s">
        <v>4566</v>
      </c>
      <c r="N928" s="128" t="s">
        <v>1798</v>
      </c>
      <c r="O928" s="128">
        <v>502</v>
      </c>
      <c r="P928" s="128">
        <v>103</v>
      </c>
      <c r="Q928" s="128">
        <v>90</v>
      </c>
      <c r="R928" s="128">
        <v>212</v>
      </c>
      <c r="S928" s="128">
        <v>56</v>
      </c>
      <c r="T928" s="128">
        <v>56</v>
      </c>
      <c r="U928" s="128">
        <v>517</v>
      </c>
      <c r="V928" s="128" t="s">
        <v>1547</v>
      </c>
    </row>
    <row r="929" spans="1:22" x14ac:dyDescent="0.35">
      <c r="A929" s="118">
        <v>928</v>
      </c>
      <c r="B929" s="128" t="s">
        <v>165</v>
      </c>
      <c r="C929" s="128" t="s">
        <v>224</v>
      </c>
      <c r="D929" s="128" t="s">
        <v>4567</v>
      </c>
      <c r="E929" s="128" t="s">
        <v>474</v>
      </c>
      <c r="F929" s="128">
        <v>1985</v>
      </c>
      <c r="G929" s="128">
        <v>78</v>
      </c>
      <c r="H929" s="128">
        <v>12</v>
      </c>
      <c r="I929" s="128">
        <v>90</v>
      </c>
      <c r="J929" s="128" t="s">
        <v>1509</v>
      </c>
      <c r="K929" s="128">
        <v>89.21</v>
      </c>
      <c r="L929" s="128" t="s">
        <v>3908</v>
      </c>
      <c r="M929" s="128" t="s">
        <v>4568</v>
      </c>
      <c r="N929" s="128" t="s">
        <v>4569</v>
      </c>
      <c r="O929" s="128">
        <v>496</v>
      </c>
      <c r="P929" s="128">
        <v>102</v>
      </c>
      <c r="Q929" s="128">
        <v>88</v>
      </c>
      <c r="R929" s="128">
        <v>204</v>
      </c>
      <c r="S929" s="128">
        <v>57</v>
      </c>
      <c r="T929" s="128">
        <v>56</v>
      </c>
      <c r="U929" s="128">
        <v>507</v>
      </c>
      <c r="V929" s="128" t="s">
        <v>1547</v>
      </c>
    </row>
    <row r="930" spans="1:22" x14ac:dyDescent="0.35">
      <c r="A930" s="118">
        <v>929</v>
      </c>
      <c r="B930" s="128" t="s">
        <v>165</v>
      </c>
      <c r="C930" s="128" t="s">
        <v>224</v>
      </c>
      <c r="D930" s="128" t="s">
        <v>4562</v>
      </c>
      <c r="E930" s="128" t="s">
        <v>643</v>
      </c>
      <c r="F930" s="128">
        <v>2014</v>
      </c>
      <c r="G930" s="128">
        <v>62</v>
      </c>
      <c r="H930" s="128">
        <v>8</v>
      </c>
      <c r="I930" s="128">
        <v>70</v>
      </c>
      <c r="J930" s="128" t="s">
        <v>2965</v>
      </c>
      <c r="K930" s="128">
        <v>52</v>
      </c>
      <c r="L930" s="128" t="s">
        <v>4570</v>
      </c>
      <c r="M930" s="128" t="s">
        <v>4571</v>
      </c>
      <c r="N930" s="128" t="s">
        <v>1576</v>
      </c>
      <c r="O930" s="128">
        <v>327</v>
      </c>
      <c r="P930" s="128">
        <v>82</v>
      </c>
      <c r="Q930" s="128">
        <v>58</v>
      </c>
      <c r="R930" s="128">
        <v>135</v>
      </c>
      <c r="S930" s="128">
        <v>26</v>
      </c>
      <c r="T930" s="128">
        <v>39</v>
      </c>
      <c r="U930" s="128">
        <v>340</v>
      </c>
      <c r="V930" s="128" t="s">
        <v>2643</v>
      </c>
    </row>
    <row r="931" spans="1:22" x14ac:dyDescent="0.35">
      <c r="A931" s="118">
        <v>930</v>
      </c>
      <c r="B931" s="128" t="s">
        <v>165</v>
      </c>
      <c r="C931" s="128" t="s">
        <v>224</v>
      </c>
      <c r="D931" s="128" t="s">
        <v>1517</v>
      </c>
      <c r="E931" s="128" t="s">
        <v>4572</v>
      </c>
      <c r="F931" s="128">
        <v>2012</v>
      </c>
      <c r="G931" s="128">
        <v>0</v>
      </c>
      <c r="H931" s="128">
        <v>32</v>
      </c>
      <c r="I931" s="128">
        <v>32</v>
      </c>
      <c r="J931" s="128" t="s">
        <v>4573</v>
      </c>
      <c r="K931" s="128">
        <v>9</v>
      </c>
      <c r="L931" s="128" t="s">
        <v>4574</v>
      </c>
      <c r="M931" s="128" t="s">
        <v>2331</v>
      </c>
      <c r="N931" s="128" t="s">
        <v>4575</v>
      </c>
      <c r="O931" s="128">
        <v>330</v>
      </c>
      <c r="P931" s="128">
        <v>87</v>
      </c>
      <c r="Q931" s="128">
        <v>58</v>
      </c>
      <c r="R931" s="128">
        <v>123</v>
      </c>
      <c r="S931" s="128">
        <v>31</v>
      </c>
      <c r="T931" s="128">
        <v>40</v>
      </c>
      <c r="U931" s="128">
        <v>339</v>
      </c>
      <c r="V931" s="128" t="s">
        <v>2643</v>
      </c>
    </row>
    <row r="932" spans="1:22" x14ac:dyDescent="0.35">
      <c r="A932" s="118">
        <v>931</v>
      </c>
      <c r="B932" s="128" t="s">
        <v>165</v>
      </c>
      <c r="C932" s="128" t="s">
        <v>224</v>
      </c>
      <c r="D932" s="128" t="s">
        <v>1667</v>
      </c>
      <c r="E932" s="128" t="s">
        <v>4576</v>
      </c>
      <c r="F932" s="128">
        <v>2014</v>
      </c>
      <c r="G932" s="128">
        <v>0</v>
      </c>
      <c r="H932" s="128">
        <v>32</v>
      </c>
      <c r="I932" s="128">
        <v>32</v>
      </c>
      <c r="J932" s="128" t="s">
        <v>4573</v>
      </c>
      <c r="K932" s="128">
        <v>10</v>
      </c>
      <c r="L932" s="128" t="s">
        <v>4577</v>
      </c>
      <c r="M932" s="128" t="s">
        <v>432</v>
      </c>
      <c r="N932" s="128" t="s">
        <v>4578</v>
      </c>
      <c r="O932" s="128">
        <v>327</v>
      </c>
      <c r="P932" s="128">
        <v>82</v>
      </c>
      <c r="Q932" s="128">
        <v>53</v>
      </c>
      <c r="R932" s="128">
        <v>131</v>
      </c>
      <c r="S932" s="128">
        <v>35</v>
      </c>
      <c r="T932" s="128">
        <v>36</v>
      </c>
      <c r="U932" s="128">
        <v>337</v>
      </c>
      <c r="V932" s="128" t="s">
        <v>2643</v>
      </c>
    </row>
    <row r="933" spans="1:22" x14ac:dyDescent="0.35">
      <c r="A933" s="118">
        <v>932</v>
      </c>
      <c r="B933" s="128" t="s">
        <v>165</v>
      </c>
      <c r="C933" s="128" t="s">
        <v>226</v>
      </c>
      <c r="D933" s="128" t="s">
        <v>4579</v>
      </c>
      <c r="E933" s="128" t="s">
        <v>662</v>
      </c>
      <c r="F933" s="128">
        <v>1980</v>
      </c>
      <c r="G933" s="128">
        <v>51</v>
      </c>
      <c r="H933" s="128">
        <v>8</v>
      </c>
      <c r="I933" s="128">
        <v>59</v>
      </c>
      <c r="J933" s="128" t="s">
        <v>2965</v>
      </c>
      <c r="K933" s="128">
        <v>47.1</v>
      </c>
      <c r="L933" s="128" t="s">
        <v>4580</v>
      </c>
      <c r="M933" s="128" t="s">
        <v>4581</v>
      </c>
      <c r="N933" s="128" t="s">
        <v>4582</v>
      </c>
      <c r="O933" s="128">
        <v>730</v>
      </c>
      <c r="P933" s="128">
        <v>153</v>
      </c>
      <c r="Q933" s="128">
        <v>114</v>
      </c>
      <c r="R933" s="128">
        <v>311</v>
      </c>
      <c r="S933" s="128">
        <v>66</v>
      </c>
      <c r="T933" s="128">
        <v>101</v>
      </c>
      <c r="U933" s="128">
        <v>745</v>
      </c>
      <c r="V933" s="128" t="s">
        <v>2702</v>
      </c>
    </row>
    <row r="934" spans="1:22" x14ac:dyDescent="0.35">
      <c r="A934" s="118">
        <v>933</v>
      </c>
      <c r="B934" s="128" t="s">
        <v>165</v>
      </c>
      <c r="C934" s="128" t="s">
        <v>226</v>
      </c>
      <c r="D934" s="128" t="s">
        <v>1517</v>
      </c>
      <c r="E934" s="128" t="s">
        <v>661</v>
      </c>
      <c r="F934" s="128">
        <v>1980</v>
      </c>
      <c r="G934" s="128">
        <v>103</v>
      </c>
      <c r="H934" s="128">
        <v>8</v>
      </c>
      <c r="I934" s="128">
        <v>111</v>
      </c>
      <c r="J934" s="128" t="s">
        <v>2965</v>
      </c>
      <c r="K934" s="128">
        <v>275.3</v>
      </c>
      <c r="L934" s="128" t="s">
        <v>4583</v>
      </c>
      <c r="M934" s="128" t="s">
        <v>4584</v>
      </c>
      <c r="N934" s="128" t="s">
        <v>4585</v>
      </c>
      <c r="O934" s="128">
        <v>867</v>
      </c>
      <c r="P934" s="128">
        <v>177</v>
      </c>
      <c r="Q934" s="128">
        <v>132</v>
      </c>
      <c r="R934" s="128">
        <v>353</v>
      </c>
      <c r="S934" s="128">
        <v>88</v>
      </c>
      <c r="T934" s="128">
        <v>126</v>
      </c>
      <c r="U934" s="128">
        <v>876</v>
      </c>
      <c r="V934" s="128" t="s">
        <v>2702</v>
      </c>
    </row>
    <row r="935" spans="1:22" x14ac:dyDescent="0.35">
      <c r="A935" s="118">
        <v>934</v>
      </c>
      <c r="B935" s="128" t="s">
        <v>165</v>
      </c>
      <c r="C935" s="128" t="s">
        <v>226</v>
      </c>
      <c r="D935" s="128" t="s">
        <v>4586</v>
      </c>
      <c r="E935" s="128" t="s">
        <v>660</v>
      </c>
      <c r="F935" s="128">
        <v>1985</v>
      </c>
      <c r="G935" s="128">
        <v>308</v>
      </c>
      <c r="H935" s="128">
        <v>35</v>
      </c>
      <c r="I935" s="128">
        <v>343</v>
      </c>
      <c r="J935" s="128" t="s">
        <v>1509</v>
      </c>
      <c r="K935" s="128">
        <v>199</v>
      </c>
      <c r="L935" s="128" t="s">
        <v>2934</v>
      </c>
      <c r="M935" s="128" t="s">
        <v>4587</v>
      </c>
      <c r="N935" s="128" t="s">
        <v>4588</v>
      </c>
      <c r="O935" s="128">
        <v>525</v>
      </c>
      <c r="P935" s="128">
        <v>104</v>
      </c>
      <c r="Q935" s="128">
        <v>103</v>
      </c>
      <c r="R935" s="128">
        <v>204</v>
      </c>
      <c r="S935" s="128">
        <v>65</v>
      </c>
      <c r="T935" s="128">
        <v>62</v>
      </c>
      <c r="U935" s="128">
        <v>538</v>
      </c>
      <c r="V935" s="128" t="s">
        <v>1547</v>
      </c>
    </row>
    <row r="936" spans="1:22" x14ac:dyDescent="0.35">
      <c r="A936" s="118">
        <v>935</v>
      </c>
      <c r="B936" s="128" t="s">
        <v>165</v>
      </c>
      <c r="C936" s="128" t="s">
        <v>226</v>
      </c>
      <c r="D936" s="128" t="s">
        <v>4150</v>
      </c>
      <c r="E936" s="128" t="s">
        <v>423</v>
      </c>
      <c r="F936" s="128">
        <v>1985</v>
      </c>
      <c r="G936" s="128">
        <v>200</v>
      </c>
      <c r="H936" s="128">
        <v>29</v>
      </c>
      <c r="I936" s="128">
        <v>229</v>
      </c>
      <c r="J936" s="128" t="s">
        <v>1509</v>
      </c>
      <c r="K936" s="128">
        <v>275.3</v>
      </c>
      <c r="L936" s="128" t="s">
        <v>4589</v>
      </c>
      <c r="M936" s="128" t="s">
        <v>4590</v>
      </c>
      <c r="N936" s="128" t="s">
        <v>2244</v>
      </c>
      <c r="O936" s="128">
        <v>508</v>
      </c>
      <c r="P936" s="128">
        <v>97</v>
      </c>
      <c r="Q936" s="128">
        <v>98</v>
      </c>
      <c r="R936" s="128">
        <v>200</v>
      </c>
      <c r="S936" s="128">
        <v>59</v>
      </c>
      <c r="T936" s="128">
        <v>65</v>
      </c>
      <c r="U936" s="128">
        <v>519</v>
      </c>
      <c r="V936" s="128" t="s">
        <v>1547</v>
      </c>
    </row>
    <row r="937" spans="1:22" x14ac:dyDescent="0.35">
      <c r="A937" s="118">
        <v>936</v>
      </c>
      <c r="B937" s="128" t="s">
        <v>165</v>
      </c>
      <c r="C937" s="128" t="s">
        <v>226</v>
      </c>
      <c r="D937" s="128" t="s">
        <v>4150</v>
      </c>
      <c r="E937" s="128" t="s">
        <v>422</v>
      </c>
      <c r="F937" s="128">
        <v>1985</v>
      </c>
      <c r="G937" s="128">
        <v>280</v>
      </c>
      <c r="H937" s="128">
        <v>39</v>
      </c>
      <c r="I937" s="128">
        <v>319</v>
      </c>
      <c r="J937" s="128" t="s">
        <v>1509</v>
      </c>
      <c r="K937" s="128">
        <v>315.8</v>
      </c>
      <c r="L937" s="128" t="s">
        <v>4591</v>
      </c>
      <c r="M937" s="128" t="s">
        <v>1949</v>
      </c>
      <c r="N937" s="128" t="s">
        <v>4592</v>
      </c>
      <c r="O937" s="128">
        <v>405</v>
      </c>
      <c r="P937" s="128">
        <v>82</v>
      </c>
      <c r="Q937" s="128">
        <v>71</v>
      </c>
      <c r="R937" s="128">
        <v>174</v>
      </c>
      <c r="S937" s="128">
        <v>41</v>
      </c>
      <c r="T937" s="128">
        <v>46</v>
      </c>
      <c r="U937" s="128">
        <v>414</v>
      </c>
      <c r="V937" s="128" t="s">
        <v>2643</v>
      </c>
    </row>
    <row r="938" spans="1:22" x14ac:dyDescent="0.35">
      <c r="A938" s="118">
        <v>937</v>
      </c>
      <c r="B938" s="128" t="s">
        <v>165</v>
      </c>
      <c r="C938" s="128" t="s">
        <v>226</v>
      </c>
      <c r="D938" s="128" t="s">
        <v>1513</v>
      </c>
      <c r="E938" s="128" t="s">
        <v>658</v>
      </c>
      <c r="F938" s="128">
        <v>1985</v>
      </c>
      <c r="G938" s="128">
        <v>377</v>
      </c>
      <c r="H938" s="128">
        <v>54</v>
      </c>
      <c r="I938" s="128">
        <v>431</v>
      </c>
      <c r="J938" s="128" t="s">
        <v>1509</v>
      </c>
      <c r="K938" s="128">
        <v>331.4</v>
      </c>
      <c r="L938" s="128" t="s">
        <v>4593</v>
      </c>
      <c r="M938" s="128" t="s">
        <v>4594</v>
      </c>
      <c r="N938" s="128" t="s">
        <v>4595</v>
      </c>
      <c r="O938" s="128">
        <v>467</v>
      </c>
      <c r="P938" s="128">
        <v>102</v>
      </c>
      <c r="Q938" s="128">
        <v>93</v>
      </c>
      <c r="R938" s="128">
        <v>192</v>
      </c>
      <c r="S938" s="128">
        <v>53</v>
      </c>
      <c r="T938" s="128">
        <v>57</v>
      </c>
      <c r="U938" s="128">
        <v>497</v>
      </c>
      <c r="V938" s="128" t="s">
        <v>1547</v>
      </c>
    </row>
    <row r="939" spans="1:22" x14ac:dyDescent="0.35">
      <c r="A939" s="118">
        <v>938</v>
      </c>
      <c r="B939" s="128" t="s">
        <v>165</v>
      </c>
      <c r="C939" s="128" t="s">
        <v>226</v>
      </c>
      <c r="D939" s="128" t="s">
        <v>2914</v>
      </c>
      <c r="E939" s="128" t="s">
        <v>659</v>
      </c>
      <c r="F939" s="128">
        <v>1985</v>
      </c>
      <c r="G939" s="128">
        <v>337</v>
      </c>
      <c r="H939" s="128">
        <v>48</v>
      </c>
      <c r="I939" s="128">
        <v>385</v>
      </c>
      <c r="J939" s="128" t="s">
        <v>1509</v>
      </c>
      <c r="K939" s="128">
        <v>463.2</v>
      </c>
      <c r="L939" s="128" t="s">
        <v>3031</v>
      </c>
      <c r="M939" s="128" t="s">
        <v>4596</v>
      </c>
      <c r="N939" s="128" t="s">
        <v>1626</v>
      </c>
      <c r="O939" s="128">
        <v>463</v>
      </c>
      <c r="P939" s="128">
        <v>104</v>
      </c>
      <c r="Q939" s="128">
        <v>90</v>
      </c>
      <c r="R939" s="128">
        <v>191</v>
      </c>
      <c r="S939" s="128">
        <v>53</v>
      </c>
      <c r="T939" s="128">
        <v>56</v>
      </c>
      <c r="U939" s="128">
        <v>494</v>
      </c>
      <c r="V939" s="128" t="s">
        <v>1547</v>
      </c>
    </row>
    <row r="940" spans="1:22" x14ac:dyDescent="0.35">
      <c r="A940" s="118">
        <v>939</v>
      </c>
      <c r="B940" s="128" t="s">
        <v>165</v>
      </c>
      <c r="C940" s="128" t="s">
        <v>226</v>
      </c>
      <c r="D940" s="128" t="s">
        <v>4579</v>
      </c>
      <c r="E940" s="128" t="s">
        <v>656</v>
      </c>
      <c r="F940" s="128">
        <v>2018</v>
      </c>
      <c r="G940" s="128">
        <v>200</v>
      </c>
      <c r="H940" s="128">
        <v>40</v>
      </c>
      <c r="I940" s="128">
        <v>240</v>
      </c>
      <c r="J940" s="128" t="s">
        <v>2965</v>
      </c>
      <c r="K940" s="128">
        <v>46.6</v>
      </c>
      <c r="L940" s="128" t="s">
        <v>4597</v>
      </c>
      <c r="M940" s="128" t="s">
        <v>2356</v>
      </c>
      <c r="N940" s="128" t="s">
        <v>4598</v>
      </c>
      <c r="O940" s="128">
        <v>232</v>
      </c>
      <c r="P940" s="128">
        <v>63</v>
      </c>
      <c r="Q940" s="128">
        <v>43</v>
      </c>
      <c r="R940" s="128">
        <v>82</v>
      </c>
      <c r="S940" s="128">
        <v>26</v>
      </c>
      <c r="T940" s="128">
        <v>29</v>
      </c>
      <c r="U940" s="128">
        <v>243</v>
      </c>
      <c r="V940" s="128" t="s">
        <v>3122</v>
      </c>
    </row>
    <row r="941" spans="1:22" x14ac:dyDescent="0.35">
      <c r="A941" s="118">
        <v>940</v>
      </c>
      <c r="B941" s="128" t="s">
        <v>165</v>
      </c>
      <c r="C941" s="128" t="s">
        <v>226</v>
      </c>
      <c r="D941" s="128" t="s">
        <v>1517</v>
      </c>
      <c r="E941" s="128" t="s">
        <v>4599</v>
      </c>
      <c r="F941" s="128">
        <v>2013</v>
      </c>
      <c r="G941" s="128">
        <v>0</v>
      </c>
      <c r="H941" s="128">
        <v>30</v>
      </c>
      <c r="I941" s="128">
        <v>30</v>
      </c>
      <c r="J941" s="128" t="s">
        <v>4573</v>
      </c>
      <c r="K941" s="128">
        <v>25</v>
      </c>
      <c r="L941" s="128" t="s">
        <v>2259</v>
      </c>
      <c r="M941" s="128" t="s">
        <v>4600</v>
      </c>
      <c r="N941" s="128" t="s">
        <v>4601</v>
      </c>
      <c r="O941" s="128">
        <v>290</v>
      </c>
      <c r="P941" s="128">
        <v>33</v>
      </c>
      <c r="Q941" s="128">
        <v>43</v>
      </c>
      <c r="R941" s="128">
        <v>154</v>
      </c>
      <c r="S941" s="128">
        <v>31</v>
      </c>
      <c r="T941" s="128">
        <v>42</v>
      </c>
      <c r="U941" s="128">
        <v>303</v>
      </c>
      <c r="V941" s="128" t="s">
        <v>2643</v>
      </c>
    </row>
    <row r="942" spans="1:22" x14ac:dyDescent="0.35">
      <c r="A942" s="118">
        <v>941</v>
      </c>
      <c r="B942" s="128" t="s">
        <v>165</v>
      </c>
      <c r="C942" s="128" t="s">
        <v>231</v>
      </c>
      <c r="D942" s="128" t="s">
        <v>1517</v>
      </c>
      <c r="E942" s="128" t="s">
        <v>706</v>
      </c>
      <c r="F942" s="128">
        <v>1975</v>
      </c>
      <c r="G942" s="128">
        <v>107</v>
      </c>
      <c r="H942" s="128">
        <v>24</v>
      </c>
      <c r="I942" s="128">
        <v>131</v>
      </c>
      <c r="J942" s="128" t="s">
        <v>1509</v>
      </c>
      <c r="K942" s="128">
        <v>53.7</v>
      </c>
      <c r="L942" s="128" t="s">
        <v>1946</v>
      </c>
      <c r="M942" s="128" t="s">
        <v>4602</v>
      </c>
      <c r="N942" s="128" t="s">
        <v>4603</v>
      </c>
      <c r="O942" s="128">
        <v>577</v>
      </c>
      <c r="P942" s="128">
        <v>133</v>
      </c>
      <c r="Q942" s="128">
        <v>96</v>
      </c>
      <c r="R942" s="128">
        <v>195</v>
      </c>
      <c r="S942" s="128">
        <v>80</v>
      </c>
      <c r="T942" s="128">
        <v>80</v>
      </c>
      <c r="U942" s="128">
        <v>584</v>
      </c>
      <c r="V942" s="128" t="s">
        <v>1547</v>
      </c>
    </row>
    <row r="943" spans="1:22" x14ac:dyDescent="0.35">
      <c r="A943" s="118">
        <v>942</v>
      </c>
      <c r="B943" s="128" t="s">
        <v>165</v>
      </c>
      <c r="C943" s="128" t="s">
        <v>231</v>
      </c>
      <c r="D943" s="128" t="s">
        <v>1517</v>
      </c>
      <c r="E943" s="128" t="s">
        <v>4604</v>
      </c>
      <c r="F943" s="128">
        <v>1993</v>
      </c>
      <c r="G943" s="128">
        <v>103</v>
      </c>
      <c r="H943" s="128">
        <v>16</v>
      </c>
      <c r="I943" s="128">
        <v>119</v>
      </c>
      <c r="J943" s="128" t="s">
        <v>1509</v>
      </c>
      <c r="K943" s="128">
        <v>41.7</v>
      </c>
      <c r="L943" s="128" t="s">
        <v>4605</v>
      </c>
      <c r="M943" s="128" t="s">
        <v>3092</v>
      </c>
      <c r="N943" s="128" t="s">
        <v>4606</v>
      </c>
      <c r="O943" s="128">
        <v>742</v>
      </c>
      <c r="P943" s="128">
        <v>159</v>
      </c>
      <c r="Q943" s="128">
        <v>123</v>
      </c>
      <c r="R943" s="128">
        <v>299</v>
      </c>
      <c r="S943" s="128">
        <v>84</v>
      </c>
      <c r="T943" s="128">
        <v>88</v>
      </c>
      <c r="U943" s="128">
        <v>753</v>
      </c>
      <c r="V943" s="128" t="s">
        <v>2702</v>
      </c>
    </row>
    <row r="944" spans="1:22" x14ac:dyDescent="0.35">
      <c r="A944" s="118">
        <v>943</v>
      </c>
      <c r="B944" s="128" t="s">
        <v>165</v>
      </c>
      <c r="C944" s="128" t="s">
        <v>231</v>
      </c>
      <c r="D944" s="128" t="s">
        <v>4607</v>
      </c>
      <c r="E944" s="128" t="s">
        <v>705</v>
      </c>
      <c r="F944" s="128">
        <v>1983</v>
      </c>
      <c r="G944" s="128">
        <v>80</v>
      </c>
      <c r="H944" s="128">
        <v>25</v>
      </c>
      <c r="I944" s="128">
        <v>105</v>
      </c>
      <c r="J944" s="128" t="s">
        <v>1509</v>
      </c>
      <c r="K944" s="128">
        <v>57.2</v>
      </c>
      <c r="L944" s="128" t="s">
        <v>4608</v>
      </c>
      <c r="M944" s="128" t="s">
        <v>4609</v>
      </c>
      <c r="N944" s="128" t="s">
        <v>4610</v>
      </c>
      <c r="O944" s="128">
        <v>569</v>
      </c>
      <c r="P944" s="128">
        <v>122</v>
      </c>
      <c r="Q944" s="128">
        <v>111</v>
      </c>
      <c r="R944" s="128">
        <v>197</v>
      </c>
      <c r="S944" s="128">
        <v>77</v>
      </c>
      <c r="T944" s="128">
        <v>73</v>
      </c>
      <c r="U944" s="128">
        <v>580</v>
      </c>
      <c r="V944" s="128" t="s">
        <v>1547</v>
      </c>
    </row>
    <row r="945" spans="1:22" x14ac:dyDescent="0.35">
      <c r="A945" s="118">
        <v>944</v>
      </c>
      <c r="B945" s="128" t="s">
        <v>165</v>
      </c>
      <c r="C945" s="128" t="s">
        <v>231</v>
      </c>
      <c r="D945" s="128" t="s">
        <v>4607</v>
      </c>
      <c r="E945" s="128" t="s">
        <v>4611</v>
      </c>
      <c r="F945" s="128">
        <v>1994</v>
      </c>
      <c r="G945" s="128">
        <v>91</v>
      </c>
      <c r="H945" s="128">
        <v>27</v>
      </c>
      <c r="I945" s="128">
        <v>118</v>
      </c>
      <c r="J945" s="128" t="s">
        <v>1509</v>
      </c>
      <c r="K945" s="128">
        <v>42.1</v>
      </c>
      <c r="L945" s="128" t="s">
        <v>2967</v>
      </c>
      <c r="M945" s="128" t="s">
        <v>4235</v>
      </c>
      <c r="N945" s="128" t="s">
        <v>4612</v>
      </c>
      <c r="O945" s="128">
        <v>572</v>
      </c>
      <c r="P945" s="128">
        <v>118</v>
      </c>
      <c r="Q945" s="128">
        <v>115</v>
      </c>
      <c r="R945" s="128">
        <v>198</v>
      </c>
      <c r="S945" s="128">
        <v>79</v>
      </c>
      <c r="T945" s="128">
        <v>72</v>
      </c>
      <c r="U945" s="128">
        <v>582</v>
      </c>
      <c r="V945" s="128" t="s">
        <v>1547</v>
      </c>
    </row>
    <row r="946" spans="1:22" x14ac:dyDescent="0.35">
      <c r="A946" s="118">
        <v>945</v>
      </c>
      <c r="B946" s="128" t="s">
        <v>165</v>
      </c>
      <c r="C946" s="128" t="s">
        <v>231</v>
      </c>
      <c r="D946" s="128" t="s">
        <v>4613</v>
      </c>
      <c r="E946" s="128" t="s">
        <v>704</v>
      </c>
      <c r="F946" s="128">
        <v>1993</v>
      </c>
      <c r="G946" s="128">
        <v>69</v>
      </c>
      <c r="H946" s="128">
        <v>14</v>
      </c>
      <c r="I946" s="128">
        <v>83</v>
      </c>
      <c r="J946" s="128" t="s">
        <v>1509</v>
      </c>
      <c r="K946" s="128">
        <v>126.1</v>
      </c>
      <c r="L946" s="128" t="s">
        <v>4614</v>
      </c>
      <c r="M946" s="128" t="s">
        <v>4615</v>
      </c>
      <c r="N946" s="128" t="s">
        <v>4616</v>
      </c>
      <c r="O946" s="128">
        <v>556</v>
      </c>
      <c r="P946" s="128">
        <v>105</v>
      </c>
      <c r="Q946" s="128">
        <v>108</v>
      </c>
      <c r="R946" s="128">
        <v>196</v>
      </c>
      <c r="S946" s="128">
        <v>81</v>
      </c>
      <c r="T946" s="128">
        <v>76</v>
      </c>
      <c r="U946" s="128">
        <v>566</v>
      </c>
      <c r="V946" s="128" t="s">
        <v>1547</v>
      </c>
    </row>
    <row r="947" spans="1:22" x14ac:dyDescent="0.35">
      <c r="A947" s="118">
        <v>946</v>
      </c>
      <c r="B947" s="128" t="s">
        <v>165</v>
      </c>
      <c r="C947" s="128" t="s">
        <v>231</v>
      </c>
      <c r="D947" s="128" t="s">
        <v>1805</v>
      </c>
      <c r="E947" s="128" t="s">
        <v>702</v>
      </c>
      <c r="F947" s="128">
        <v>1983</v>
      </c>
      <c r="G947" s="128">
        <v>168</v>
      </c>
      <c r="H947" s="128">
        <v>11</v>
      </c>
      <c r="I947" s="128">
        <v>179</v>
      </c>
      <c r="J947" s="128" t="s">
        <v>4617</v>
      </c>
      <c r="K947" s="128">
        <v>44.6</v>
      </c>
      <c r="L947" s="128" t="s">
        <v>4618</v>
      </c>
      <c r="M947" s="128" t="s">
        <v>4619</v>
      </c>
      <c r="N947" s="128" t="s">
        <v>4620</v>
      </c>
      <c r="O947" s="128">
        <v>579</v>
      </c>
      <c r="P947" s="128">
        <v>119</v>
      </c>
      <c r="Q947" s="128">
        <v>115</v>
      </c>
      <c r="R947" s="128">
        <v>198</v>
      </c>
      <c r="S947" s="128">
        <v>74</v>
      </c>
      <c r="T947" s="128">
        <v>81</v>
      </c>
      <c r="U947" s="128">
        <v>587</v>
      </c>
      <c r="V947" s="128" t="s">
        <v>1547</v>
      </c>
    </row>
    <row r="948" spans="1:22" x14ac:dyDescent="0.35">
      <c r="A948" s="118">
        <v>947</v>
      </c>
      <c r="B948" s="128" t="s">
        <v>165</v>
      </c>
      <c r="C948" s="128" t="s">
        <v>231</v>
      </c>
      <c r="D948" s="128" t="s">
        <v>4621</v>
      </c>
      <c r="E948" s="128" t="s">
        <v>475</v>
      </c>
      <c r="F948" s="128">
        <v>1983</v>
      </c>
      <c r="G948" s="128">
        <v>79</v>
      </c>
      <c r="H948" s="128">
        <v>25</v>
      </c>
      <c r="I948" s="128">
        <v>104</v>
      </c>
      <c r="J948" s="128" t="s">
        <v>1509</v>
      </c>
      <c r="K948" s="128">
        <v>57.3</v>
      </c>
      <c r="L948" s="128" t="s">
        <v>4622</v>
      </c>
      <c r="M948" s="128" t="s">
        <v>4623</v>
      </c>
      <c r="N948" s="128" t="s">
        <v>1713</v>
      </c>
      <c r="O948" s="128">
        <v>555</v>
      </c>
      <c r="P948" s="128">
        <v>108</v>
      </c>
      <c r="Q948" s="128">
        <v>106</v>
      </c>
      <c r="R948" s="128">
        <v>194</v>
      </c>
      <c r="S948" s="128">
        <v>79</v>
      </c>
      <c r="T948" s="128">
        <v>78</v>
      </c>
      <c r="U948" s="128">
        <v>565</v>
      </c>
      <c r="V948" s="128" t="s">
        <v>1547</v>
      </c>
    </row>
    <row r="949" spans="1:22" x14ac:dyDescent="0.35">
      <c r="A949" s="118">
        <v>948</v>
      </c>
      <c r="B949" s="128" t="s">
        <v>165</v>
      </c>
      <c r="C949" s="128" t="s">
        <v>231</v>
      </c>
      <c r="D949" s="128" t="s">
        <v>4624</v>
      </c>
      <c r="E949" s="128" t="s">
        <v>42</v>
      </c>
      <c r="F949" s="128">
        <v>2011</v>
      </c>
      <c r="G949" s="128">
        <v>120</v>
      </c>
      <c r="H949" s="128">
        <v>16</v>
      </c>
      <c r="I949" s="128">
        <v>136</v>
      </c>
      <c r="J949" s="128" t="s">
        <v>4625</v>
      </c>
      <c r="K949" s="128">
        <v>75</v>
      </c>
      <c r="L949" s="128" t="s">
        <v>3008</v>
      </c>
      <c r="M949" s="128" t="s">
        <v>4626</v>
      </c>
      <c r="N949" s="128" t="s">
        <v>1699</v>
      </c>
      <c r="O949" s="128">
        <v>553</v>
      </c>
      <c r="P949" s="128">
        <v>106</v>
      </c>
      <c r="Q949" s="128">
        <v>104</v>
      </c>
      <c r="R949" s="128">
        <v>194</v>
      </c>
      <c r="S949" s="128">
        <v>81</v>
      </c>
      <c r="T949" s="128">
        <v>77</v>
      </c>
      <c r="U949" s="128">
        <v>562</v>
      </c>
      <c r="V949" s="128" t="s">
        <v>1547</v>
      </c>
    </row>
    <row r="950" spans="1:22" x14ac:dyDescent="0.35">
      <c r="A950" s="118">
        <v>949</v>
      </c>
      <c r="B950" s="128" t="s">
        <v>165</v>
      </c>
      <c r="C950" s="128" t="s">
        <v>231</v>
      </c>
      <c r="D950" s="128" t="s">
        <v>4627</v>
      </c>
      <c r="E950" s="128" t="s">
        <v>703</v>
      </c>
      <c r="F950" s="128">
        <v>2011</v>
      </c>
      <c r="G950" s="128">
        <v>113</v>
      </c>
      <c r="H950" s="128">
        <v>20</v>
      </c>
      <c r="I950" s="128">
        <v>133</v>
      </c>
      <c r="J950" s="128" t="s">
        <v>1509</v>
      </c>
      <c r="K950" s="128">
        <v>73.099999999999994</v>
      </c>
      <c r="L950" s="128" t="s">
        <v>4628</v>
      </c>
      <c r="M950" s="128" t="s">
        <v>4629</v>
      </c>
      <c r="N950" s="128" t="s">
        <v>4630</v>
      </c>
      <c r="O950" s="128">
        <v>290</v>
      </c>
      <c r="P950" s="128">
        <v>69</v>
      </c>
      <c r="Q950" s="128">
        <v>58</v>
      </c>
      <c r="R950" s="128">
        <v>104</v>
      </c>
      <c r="S950" s="128">
        <v>21</v>
      </c>
      <c r="T950" s="128">
        <v>47</v>
      </c>
      <c r="U950" s="128">
        <v>299</v>
      </c>
      <c r="V950" s="128" t="s">
        <v>2643</v>
      </c>
    </row>
    <row r="951" spans="1:22" x14ac:dyDescent="0.35">
      <c r="A951" s="118">
        <v>950</v>
      </c>
      <c r="B951" s="128" t="s">
        <v>165</v>
      </c>
      <c r="C951" s="128" t="s">
        <v>231</v>
      </c>
      <c r="D951" s="128" t="s">
        <v>4613</v>
      </c>
      <c r="E951" s="128" t="s">
        <v>700</v>
      </c>
      <c r="F951" s="128">
        <v>2018</v>
      </c>
      <c r="G951" s="128">
        <v>131</v>
      </c>
      <c r="H951" s="128">
        <v>17</v>
      </c>
      <c r="I951" s="128">
        <v>148</v>
      </c>
      <c r="J951" s="128" t="s">
        <v>1509</v>
      </c>
      <c r="K951" s="128">
        <v>101</v>
      </c>
      <c r="L951" s="128" t="s">
        <v>2266</v>
      </c>
      <c r="M951" s="128" t="s">
        <v>2300</v>
      </c>
      <c r="N951" s="128" t="s">
        <v>4631</v>
      </c>
      <c r="O951" s="128">
        <v>273</v>
      </c>
      <c r="P951" s="128">
        <v>69</v>
      </c>
      <c r="Q951" s="128">
        <v>53</v>
      </c>
      <c r="R951" s="128">
        <v>108</v>
      </c>
      <c r="S951" s="128">
        <v>19</v>
      </c>
      <c r="T951" s="128">
        <v>34</v>
      </c>
      <c r="U951" s="128">
        <v>283</v>
      </c>
      <c r="V951" s="128" t="s">
        <v>2643</v>
      </c>
    </row>
    <row r="952" spans="1:22" x14ac:dyDescent="0.35">
      <c r="A952" s="118">
        <v>951</v>
      </c>
      <c r="B952" s="128" t="s">
        <v>165</v>
      </c>
      <c r="C952" s="128" t="s">
        <v>231</v>
      </c>
      <c r="D952" s="128" t="s">
        <v>4613</v>
      </c>
      <c r="E952" s="128" t="s">
        <v>699</v>
      </c>
      <c r="F952" s="128">
        <v>2018</v>
      </c>
      <c r="G952" s="128">
        <v>117</v>
      </c>
      <c r="H952" s="128">
        <v>13</v>
      </c>
      <c r="I952" s="128">
        <v>130</v>
      </c>
      <c r="J952" s="128" t="s">
        <v>1509</v>
      </c>
      <c r="K952" s="128">
        <v>112.5</v>
      </c>
      <c r="L952" s="128" t="s">
        <v>4632</v>
      </c>
      <c r="M952" s="128" t="s">
        <v>4633</v>
      </c>
      <c r="N952" s="128" t="s">
        <v>4634</v>
      </c>
      <c r="O952" s="128">
        <v>302</v>
      </c>
      <c r="P952" s="128">
        <v>72</v>
      </c>
      <c r="Q952" s="128">
        <v>56</v>
      </c>
      <c r="R952" s="128">
        <v>109</v>
      </c>
      <c r="S952" s="128">
        <v>31</v>
      </c>
      <c r="T952" s="128">
        <v>44</v>
      </c>
      <c r="U952" s="128">
        <v>312</v>
      </c>
      <c r="V952" s="128" t="s">
        <v>2643</v>
      </c>
    </row>
    <row r="953" spans="1:22" x14ac:dyDescent="0.35">
      <c r="A953" s="118">
        <v>952</v>
      </c>
      <c r="B953" s="128" t="s">
        <v>165</v>
      </c>
      <c r="C953" s="128" t="s">
        <v>231</v>
      </c>
      <c r="D953" s="128" t="s">
        <v>4621</v>
      </c>
      <c r="E953" s="128" t="s">
        <v>698</v>
      </c>
      <c r="F953" s="128">
        <v>2018</v>
      </c>
      <c r="G953" s="128">
        <v>224</v>
      </c>
      <c r="H953" s="128">
        <v>13</v>
      </c>
      <c r="I953" s="128">
        <v>237</v>
      </c>
      <c r="J953" s="128" t="s">
        <v>1509</v>
      </c>
      <c r="K953" s="128">
        <v>84.6</v>
      </c>
      <c r="L953" s="128" t="s">
        <v>4635</v>
      </c>
      <c r="M953" s="128" t="s">
        <v>4636</v>
      </c>
      <c r="N953" s="128" t="s">
        <v>4637</v>
      </c>
      <c r="O953" s="128">
        <v>289</v>
      </c>
      <c r="P953" s="128">
        <v>70</v>
      </c>
      <c r="Q953" s="128">
        <v>61</v>
      </c>
      <c r="R953" s="128">
        <v>104</v>
      </c>
      <c r="S953" s="128">
        <v>17</v>
      </c>
      <c r="T953" s="128">
        <v>45</v>
      </c>
      <c r="U953" s="128">
        <v>297</v>
      </c>
      <c r="V953" s="128" t="s">
        <v>2643</v>
      </c>
    </row>
    <row r="954" spans="1:22" x14ac:dyDescent="0.35">
      <c r="A954" s="118">
        <v>953</v>
      </c>
      <c r="B954" s="128" t="s">
        <v>165</v>
      </c>
      <c r="C954" s="128" t="s">
        <v>231</v>
      </c>
      <c r="D954" s="128" t="s">
        <v>4624</v>
      </c>
      <c r="E954" s="128" t="s">
        <v>697</v>
      </c>
      <c r="F954" s="128">
        <v>2018</v>
      </c>
      <c r="G954" s="128">
        <v>76</v>
      </c>
      <c r="H954" s="128">
        <v>15</v>
      </c>
      <c r="I954" s="128">
        <v>91</v>
      </c>
      <c r="J954" s="128" t="s">
        <v>1509</v>
      </c>
      <c r="K954" s="128">
        <v>46.2</v>
      </c>
      <c r="L954" s="128" t="s">
        <v>2300</v>
      </c>
      <c r="M954" s="128" t="s">
        <v>4638</v>
      </c>
      <c r="N954" s="128" t="s">
        <v>4639</v>
      </c>
      <c r="O954" s="128">
        <v>260</v>
      </c>
      <c r="P954" s="128">
        <v>69</v>
      </c>
      <c r="Q954" s="128">
        <v>50</v>
      </c>
      <c r="R954" s="128">
        <v>105</v>
      </c>
      <c r="S954" s="128">
        <v>12</v>
      </c>
      <c r="T954" s="128">
        <v>33</v>
      </c>
      <c r="U954" s="128">
        <v>269</v>
      </c>
      <c r="V954" s="128" t="s">
        <v>2643</v>
      </c>
    </row>
    <row r="955" spans="1:22" x14ac:dyDescent="0.35">
      <c r="A955" s="118">
        <v>954</v>
      </c>
      <c r="B955" s="128" t="s">
        <v>165</v>
      </c>
      <c r="C955" s="128" t="s">
        <v>231</v>
      </c>
      <c r="D955" s="128" t="s">
        <v>1517</v>
      </c>
      <c r="E955" s="128" t="s">
        <v>4640</v>
      </c>
      <c r="F955" s="128">
        <v>2013</v>
      </c>
      <c r="G955" s="128">
        <v>0</v>
      </c>
      <c r="H955" s="128">
        <v>20</v>
      </c>
      <c r="I955" s="128">
        <v>20</v>
      </c>
      <c r="J955" s="128" t="s">
        <v>4641</v>
      </c>
      <c r="K955" s="128">
        <v>11.2</v>
      </c>
      <c r="L955" s="128" t="s">
        <v>4642</v>
      </c>
      <c r="M955" s="128" t="s">
        <v>4643</v>
      </c>
      <c r="N955" s="128" t="s">
        <v>4644</v>
      </c>
      <c r="O955" s="128">
        <v>308</v>
      </c>
      <c r="P955" s="128">
        <v>69</v>
      </c>
      <c r="Q955" s="128">
        <v>55</v>
      </c>
      <c r="R955" s="128">
        <v>104</v>
      </c>
      <c r="S955" s="128">
        <v>35</v>
      </c>
      <c r="T955" s="128">
        <v>55</v>
      </c>
      <c r="U955" s="128">
        <v>318</v>
      </c>
      <c r="V955" s="128" t="s">
        <v>2643</v>
      </c>
    </row>
    <row r="956" spans="1:22" x14ac:dyDescent="0.35">
      <c r="A956" s="118">
        <v>955</v>
      </c>
      <c r="B956" s="128" t="s">
        <v>165</v>
      </c>
      <c r="C956" s="128" t="s">
        <v>227</v>
      </c>
      <c r="D956" s="128" t="s">
        <v>2391</v>
      </c>
      <c r="E956" s="128" t="s">
        <v>4645</v>
      </c>
      <c r="F956" s="128">
        <v>1985</v>
      </c>
      <c r="G956" s="128">
        <v>162</v>
      </c>
      <c r="H956" s="128">
        <v>3</v>
      </c>
      <c r="I956" s="128">
        <v>165</v>
      </c>
      <c r="J956" s="128" t="s">
        <v>4646</v>
      </c>
      <c r="K956" s="128">
        <v>87.72</v>
      </c>
      <c r="L956" s="128" t="s">
        <v>3857</v>
      </c>
      <c r="M956" s="128" t="s">
        <v>4647</v>
      </c>
      <c r="N956" s="128" t="s">
        <v>2406</v>
      </c>
      <c r="O956" s="128">
        <v>558</v>
      </c>
      <c r="P956" s="128">
        <v>120</v>
      </c>
      <c r="Q956" s="128">
        <v>92</v>
      </c>
      <c r="R956" s="128">
        <v>229</v>
      </c>
      <c r="S956" s="128">
        <v>56</v>
      </c>
      <c r="T956" s="128">
        <v>66</v>
      </c>
      <c r="U956" s="128">
        <v>563</v>
      </c>
      <c r="V956" s="128" t="s">
        <v>1547</v>
      </c>
    </row>
    <row r="957" spans="1:22" x14ac:dyDescent="0.35">
      <c r="A957" s="118">
        <v>956</v>
      </c>
      <c r="B957" s="128" t="s">
        <v>165</v>
      </c>
      <c r="C957" s="128" t="s">
        <v>227</v>
      </c>
      <c r="D957" s="128" t="s">
        <v>2391</v>
      </c>
      <c r="E957" s="128" t="s">
        <v>4648</v>
      </c>
      <c r="F957" s="128">
        <v>1980</v>
      </c>
      <c r="G957" s="128">
        <v>91</v>
      </c>
      <c r="H957" s="128">
        <v>14</v>
      </c>
      <c r="I957" s="128">
        <v>105</v>
      </c>
      <c r="J957" s="128" t="s">
        <v>4649</v>
      </c>
      <c r="K957" s="128">
        <v>69.53</v>
      </c>
      <c r="L957" s="128" t="s">
        <v>4650</v>
      </c>
      <c r="M957" s="128" t="s">
        <v>4651</v>
      </c>
      <c r="N957" s="128" t="s">
        <v>4652</v>
      </c>
      <c r="O957" s="128">
        <v>753</v>
      </c>
      <c r="P957" s="128">
        <v>149</v>
      </c>
      <c r="Q957" s="128">
        <v>123</v>
      </c>
      <c r="R957" s="128">
        <v>306</v>
      </c>
      <c r="S957" s="128">
        <v>82</v>
      </c>
      <c r="T957" s="128">
        <v>100</v>
      </c>
      <c r="U957" s="128">
        <v>760</v>
      </c>
      <c r="V957" s="128" t="s">
        <v>2702</v>
      </c>
    </row>
    <row r="958" spans="1:22" x14ac:dyDescent="0.35">
      <c r="A958" s="118">
        <v>957</v>
      </c>
      <c r="B958" s="128" t="s">
        <v>165</v>
      </c>
      <c r="C958" s="128" t="s">
        <v>227</v>
      </c>
      <c r="D958" s="128" t="s">
        <v>4653</v>
      </c>
      <c r="E958" s="128" t="s">
        <v>354</v>
      </c>
      <c r="F958" s="128">
        <v>1985</v>
      </c>
      <c r="G958" s="128">
        <v>124</v>
      </c>
      <c r="H958" s="128">
        <v>27</v>
      </c>
      <c r="I958" s="128">
        <v>151</v>
      </c>
      <c r="J958" s="128" t="s">
        <v>4654</v>
      </c>
      <c r="K958" s="128">
        <v>114.53</v>
      </c>
      <c r="L958" s="128" t="s">
        <v>4655</v>
      </c>
      <c r="M958" s="128" t="s">
        <v>4656</v>
      </c>
      <c r="N958" s="128" t="s">
        <v>4657</v>
      </c>
      <c r="O958" s="128">
        <v>559</v>
      </c>
      <c r="P958" s="128">
        <v>106</v>
      </c>
      <c r="Q958" s="128">
        <v>97</v>
      </c>
      <c r="R958" s="128">
        <v>233</v>
      </c>
      <c r="S958" s="128">
        <v>65</v>
      </c>
      <c r="T958" s="128">
        <v>67</v>
      </c>
      <c r="U958" s="128">
        <v>568</v>
      </c>
      <c r="V958" s="128" t="s">
        <v>1547</v>
      </c>
    </row>
    <row r="959" spans="1:22" x14ac:dyDescent="0.35">
      <c r="A959" s="118">
        <v>958</v>
      </c>
      <c r="B959" s="128" t="s">
        <v>165</v>
      </c>
      <c r="C959" s="128" t="s">
        <v>227</v>
      </c>
      <c r="D959" s="128" t="s">
        <v>4658</v>
      </c>
      <c r="E959" s="128" t="s">
        <v>4659</v>
      </c>
      <c r="F959" s="128">
        <v>1985</v>
      </c>
      <c r="G959" s="128">
        <v>87</v>
      </c>
      <c r="H959" s="128">
        <v>9</v>
      </c>
      <c r="I959" s="128">
        <v>96</v>
      </c>
      <c r="J959" s="128" t="s">
        <v>4660</v>
      </c>
      <c r="K959" s="128">
        <v>76.12</v>
      </c>
      <c r="L959" s="128" t="s">
        <v>4661</v>
      </c>
      <c r="M959" s="128" t="s">
        <v>4662</v>
      </c>
      <c r="N959" s="128" t="s">
        <v>4663</v>
      </c>
      <c r="O959" s="128">
        <v>601</v>
      </c>
      <c r="P959" s="128">
        <v>120</v>
      </c>
      <c r="Q959" s="128">
        <v>105</v>
      </c>
      <c r="R959" s="128">
        <v>242</v>
      </c>
      <c r="S959" s="128">
        <v>65</v>
      </c>
      <c r="T959" s="128">
        <v>71</v>
      </c>
      <c r="U959" s="128">
        <v>603</v>
      </c>
      <c r="V959" s="128" t="s">
        <v>1547</v>
      </c>
    </row>
    <row r="960" spans="1:22" x14ac:dyDescent="0.35">
      <c r="A960" s="118">
        <v>959</v>
      </c>
      <c r="B960" s="128" t="s">
        <v>165</v>
      </c>
      <c r="C960" s="128" t="s">
        <v>227</v>
      </c>
      <c r="D960" s="128" t="s">
        <v>4664</v>
      </c>
      <c r="E960" s="128" t="s">
        <v>141</v>
      </c>
      <c r="F960" s="128">
        <v>1996</v>
      </c>
      <c r="G960" s="128">
        <v>146</v>
      </c>
      <c r="H960" s="128">
        <v>15</v>
      </c>
      <c r="I960" s="128">
        <v>161</v>
      </c>
      <c r="J960" s="128" t="s">
        <v>4665</v>
      </c>
      <c r="K960" s="128">
        <v>147.49</v>
      </c>
      <c r="L960" s="128" t="s">
        <v>3434</v>
      </c>
      <c r="M960" s="128" t="s">
        <v>4666</v>
      </c>
      <c r="N960" s="128" t="s">
        <v>4667</v>
      </c>
      <c r="O960" s="128">
        <v>547</v>
      </c>
      <c r="P960" s="128">
        <v>112</v>
      </c>
      <c r="Q960" s="128">
        <v>105</v>
      </c>
      <c r="R960" s="128">
        <v>202</v>
      </c>
      <c r="S960" s="128">
        <v>75</v>
      </c>
      <c r="T960" s="128">
        <v>55</v>
      </c>
      <c r="U960" s="128">
        <v>549</v>
      </c>
      <c r="V960" s="128" t="s">
        <v>1547</v>
      </c>
    </row>
    <row r="961" spans="1:22" x14ac:dyDescent="0.35">
      <c r="A961" s="118">
        <v>960</v>
      </c>
      <c r="B961" s="128" t="s">
        <v>165</v>
      </c>
      <c r="C961" s="128" t="s">
        <v>227</v>
      </c>
      <c r="D961" s="128" t="s">
        <v>4664</v>
      </c>
      <c r="E961" s="128" t="s">
        <v>4668</v>
      </c>
      <c r="F961" s="128">
        <v>1996</v>
      </c>
      <c r="G961" s="128">
        <v>86</v>
      </c>
      <c r="H961" s="128">
        <v>8</v>
      </c>
      <c r="I961" s="128">
        <v>94</v>
      </c>
      <c r="J961" s="128" t="s">
        <v>4669</v>
      </c>
      <c r="K961" s="128">
        <v>59.1</v>
      </c>
      <c r="L961" s="128" t="s">
        <v>3493</v>
      </c>
      <c r="M961" s="128" t="s">
        <v>4670</v>
      </c>
      <c r="N961" s="128" t="s">
        <v>4671</v>
      </c>
      <c r="O961" s="128">
        <v>750</v>
      </c>
      <c r="P961" s="128">
        <v>152</v>
      </c>
      <c r="Q961" s="128">
        <v>126</v>
      </c>
      <c r="R961" s="128">
        <v>296</v>
      </c>
      <c r="S961" s="128">
        <v>90</v>
      </c>
      <c r="T961" s="128">
        <v>90</v>
      </c>
      <c r="U961" s="128">
        <v>754</v>
      </c>
      <c r="V961" s="128" t="s">
        <v>2702</v>
      </c>
    </row>
    <row r="962" spans="1:22" x14ac:dyDescent="0.35">
      <c r="A962" s="118">
        <v>961</v>
      </c>
      <c r="B962" s="128" t="s">
        <v>165</v>
      </c>
      <c r="C962" s="128" t="s">
        <v>227</v>
      </c>
      <c r="D962" s="128" t="s">
        <v>4672</v>
      </c>
      <c r="E962" s="128" t="s">
        <v>4673</v>
      </c>
      <c r="F962" s="128">
        <v>1996</v>
      </c>
      <c r="G962" s="128">
        <v>81</v>
      </c>
      <c r="H962" s="128">
        <v>31</v>
      </c>
      <c r="I962" s="128">
        <v>112</v>
      </c>
      <c r="J962" s="128" t="s">
        <v>4674</v>
      </c>
      <c r="K962" s="128">
        <v>85.52</v>
      </c>
      <c r="L962" s="128" t="s">
        <v>4675</v>
      </c>
      <c r="M962" s="128" t="s">
        <v>4676</v>
      </c>
      <c r="N962" s="128" t="s">
        <v>4677</v>
      </c>
      <c r="O962" s="128">
        <v>515</v>
      </c>
      <c r="P962" s="128">
        <v>105</v>
      </c>
      <c r="Q962" s="128">
        <v>95</v>
      </c>
      <c r="R962" s="128">
        <v>205</v>
      </c>
      <c r="S962" s="128">
        <v>55</v>
      </c>
      <c r="T962" s="128">
        <v>57</v>
      </c>
      <c r="U962" s="128">
        <v>517</v>
      </c>
      <c r="V962" s="128" t="s">
        <v>1547</v>
      </c>
    </row>
    <row r="963" spans="1:22" x14ac:dyDescent="0.35">
      <c r="A963" s="118">
        <v>962</v>
      </c>
      <c r="B963" s="128" t="s">
        <v>165</v>
      </c>
      <c r="C963" s="128" t="s">
        <v>227</v>
      </c>
      <c r="D963" s="128" t="s">
        <v>4678</v>
      </c>
      <c r="E963" s="128" t="s">
        <v>136</v>
      </c>
      <c r="F963" s="128">
        <v>2008</v>
      </c>
      <c r="G963" s="128">
        <v>96</v>
      </c>
      <c r="H963" s="128">
        <v>13</v>
      </c>
      <c r="I963" s="128">
        <v>109</v>
      </c>
      <c r="J963" s="128" t="s">
        <v>4674</v>
      </c>
      <c r="K963" s="128">
        <v>68.930000000000007</v>
      </c>
      <c r="L963" s="128" t="s">
        <v>4018</v>
      </c>
      <c r="M963" s="128" t="s">
        <v>4679</v>
      </c>
      <c r="N963" s="128" t="s">
        <v>4680</v>
      </c>
      <c r="O963" s="128">
        <v>505</v>
      </c>
      <c r="P963" s="128">
        <v>106</v>
      </c>
      <c r="Q963" s="128">
        <v>96</v>
      </c>
      <c r="R963" s="128">
        <v>202</v>
      </c>
      <c r="S963" s="128">
        <v>56</v>
      </c>
      <c r="T963" s="128">
        <v>52</v>
      </c>
      <c r="U963" s="128">
        <v>512</v>
      </c>
      <c r="V963" s="128" t="s">
        <v>1547</v>
      </c>
    </row>
    <row r="964" spans="1:22" x14ac:dyDescent="0.35">
      <c r="A964" s="118">
        <v>963</v>
      </c>
      <c r="B964" s="128" t="s">
        <v>165</v>
      </c>
      <c r="C964" s="128" t="s">
        <v>227</v>
      </c>
      <c r="D964" s="128" t="s">
        <v>4653</v>
      </c>
      <c r="E964" s="128" t="s">
        <v>2688</v>
      </c>
      <c r="F964" s="128">
        <v>2008</v>
      </c>
      <c r="G964" s="128">
        <v>124</v>
      </c>
      <c r="H964" s="128">
        <v>27</v>
      </c>
      <c r="I964" s="128">
        <v>151</v>
      </c>
      <c r="J964" s="128" t="s">
        <v>4674</v>
      </c>
      <c r="K964" s="128">
        <v>106.4</v>
      </c>
      <c r="L964" s="128" t="s">
        <v>2729</v>
      </c>
      <c r="M964" s="128" t="s">
        <v>2492</v>
      </c>
      <c r="N964" s="128" t="s">
        <v>4681</v>
      </c>
      <c r="O964" s="128">
        <v>496</v>
      </c>
      <c r="P964" s="128">
        <v>104</v>
      </c>
      <c r="Q964" s="128">
        <v>90</v>
      </c>
      <c r="R964" s="128">
        <v>195</v>
      </c>
      <c r="S964" s="128">
        <v>55</v>
      </c>
      <c r="T964" s="128">
        <v>52</v>
      </c>
      <c r="U964" s="128">
        <v>496</v>
      </c>
      <c r="V964" s="128" t="s">
        <v>1547</v>
      </c>
    </row>
    <row r="965" spans="1:22" x14ac:dyDescent="0.35">
      <c r="A965" s="118">
        <v>964</v>
      </c>
      <c r="B965" s="128" t="s">
        <v>165</v>
      </c>
      <c r="C965" s="128" t="s">
        <v>227</v>
      </c>
      <c r="D965" s="128" t="s">
        <v>4658</v>
      </c>
      <c r="E965" s="128" t="s">
        <v>4682</v>
      </c>
      <c r="F965" s="128">
        <v>2008</v>
      </c>
      <c r="G965" s="128">
        <v>174</v>
      </c>
      <c r="H965" s="128">
        <v>83</v>
      </c>
      <c r="I965" s="128">
        <v>257</v>
      </c>
      <c r="J965" s="128" t="s">
        <v>4683</v>
      </c>
      <c r="K965" s="128">
        <v>136.35</v>
      </c>
      <c r="L965" s="128" t="s">
        <v>4684</v>
      </c>
      <c r="M965" s="128" t="s">
        <v>4685</v>
      </c>
      <c r="N965" s="128" t="s">
        <v>4686</v>
      </c>
      <c r="O965" s="128">
        <v>509</v>
      </c>
      <c r="P965" s="128">
        <v>102</v>
      </c>
      <c r="Q965" s="128">
        <v>100</v>
      </c>
      <c r="R965" s="128">
        <v>195</v>
      </c>
      <c r="S965" s="128">
        <v>54</v>
      </c>
      <c r="T965" s="128">
        <v>59</v>
      </c>
      <c r="U965" s="128">
        <v>510</v>
      </c>
      <c r="V965" s="128" t="s">
        <v>1547</v>
      </c>
    </row>
    <row r="966" spans="1:22" x14ac:dyDescent="0.35">
      <c r="A966" s="118">
        <v>965</v>
      </c>
      <c r="B966" s="128" t="s">
        <v>165</v>
      </c>
      <c r="C966" s="128" t="s">
        <v>227</v>
      </c>
      <c r="D966" s="128" t="s">
        <v>3855</v>
      </c>
      <c r="E966" s="128" t="s">
        <v>4687</v>
      </c>
      <c r="F966" s="128">
        <v>2008</v>
      </c>
      <c r="G966" s="128">
        <v>116</v>
      </c>
      <c r="H966" s="128">
        <v>12</v>
      </c>
      <c r="I966" s="128">
        <v>128</v>
      </c>
      <c r="J966" s="128" t="s">
        <v>4688</v>
      </c>
      <c r="K966" s="128">
        <v>96.2</v>
      </c>
      <c r="L966" s="128" t="s">
        <v>4689</v>
      </c>
      <c r="M966" s="128" t="s">
        <v>4690</v>
      </c>
      <c r="N966" s="128" t="s">
        <v>4691</v>
      </c>
      <c r="O966" s="128">
        <v>548</v>
      </c>
      <c r="P966" s="128">
        <v>115</v>
      </c>
      <c r="Q966" s="128">
        <v>91</v>
      </c>
      <c r="R966" s="128">
        <v>219</v>
      </c>
      <c r="S966" s="128">
        <v>62</v>
      </c>
      <c r="T966" s="128">
        <v>63</v>
      </c>
      <c r="U966" s="128">
        <v>550</v>
      </c>
      <c r="V966" s="128" t="s">
        <v>1547</v>
      </c>
    </row>
    <row r="967" spans="1:22" x14ac:dyDescent="0.35">
      <c r="A967" s="118">
        <v>966</v>
      </c>
      <c r="B967" s="128" t="s">
        <v>165</v>
      </c>
      <c r="C967" s="128" t="s">
        <v>227</v>
      </c>
      <c r="D967" s="128" t="s">
        <v>2391</v>
      </c>
      <c r="E967" s="128" t="s">
        <v>4692</v>
      </c>
      <c r="F967" s="128">
        <v>2013</v>
      </c>
      <c r="G967" s="128">
        <v>0</v>
      </c>
      <c r="H967" s="128">
        <v>35</v>
      </c>
      <c r="I967" s="128">
        <v>35</v>
      </c>
      <c r="J967" s="128" t="s">
        <v>1728</v>
      </c>
      <c r="K967" s="128">
        <v>4.3</v>
      </c>
      <c r="L967" s="128" t="s">
        <v>4693</v>
      </c>
      <c r="M967" s="128" t="s">
        <v>4694</v>
      </c>
      <c r="N967" s="128" t="s">
        <v>4695</v>
      </c>
      <c r="O967" s="128">
        <v>447</v>
      </c>
      <c r="P967" s="128">
        <v>100</v>
      </c>
      <c r="Q967" s="128">
        <v>81</v>
      </c>
      <c r="R967" s="128">
        <v>154</v>
      </c>
      <c r="S967" s="128">
        <v>61</v>
      </c>
      <c r="T967" s="128">
        <v>55</v>
      </c>
      <c r="U967" s="128">
        <v>451</v>
      </c>
      <c r="V967" s="128" t="s">
        <v>2643</v>
      </c>
    </row>
    <row r="968" spans="1:22" x14ac:dyDescent="0.35">
      <c r="A968" s="118">
        <v>967</v>
      </c>
      <c r="B968" s="128" t="s">
        <v>165</v>
      </c>
      <c r="C968" s="128" t="s">
        <v>227</v>
      </c>
      <c r="D968" s="128" t="s">
        <v>4664</v>
      </c>
      <c r="E968" s="128" t="s">
        <v>4696</v>
      </c>
      <c r="F968" s="128">
        <v>2013</v>
      </c>
      <c r="G968" s="128">
        <v>0</v>
      </c>
      <c r="H968" s="128">
        <v>36</v>
      </c>
      <c r="I968" s="128">
        <v>36</v>
      </c>
      <c r="J968" s="128" t="s">
        <v>4697</v>
      </c>
      <c r="K968" s="128">
        <v>4.5</v>
      </c>
      <c r="L968" s="128" t="s">
        <v>4698</v>
      </c>
      <c r="M968" s="128" t="s">
        <v>4699</v>
      </c>
      <c r="N968" s="128" t="s">
        <v>4700</v>
      </c>
      <c r="O968" s="128">
        <v>559</v>
      </c>
      <c r="P968" s="128">
        <v>106</v>
      </c>
      <c r="Q968" s="128">
        <v>97</v>
      </c>
      <c r="R968" s="128">
        <v>233</v>
      </c>
      <c r="S968" s="128">
        <v>65</v>
      </c>
      <c r="T968" s="128">
        <v>67</v>
      </c>
      <c r="U968" s="128">
        <v>568</v>
      </c>
      <c r="V968" s="128" t="s">
        <v>1547</v>
      </c>
    </row>
    <row r="969" spans="1:22" x14ac:dyDescent="0.35">
      <c r="A969" s="118">
        <v>968</v>
      </c>
      <c r="B969" s="128" t="s">
        <v>165</v>
      </c>
      <c r="C969" s="128" t="s">
        <v>227</v>
      </c>
      <c r="D969" s="128" t="s">
        <v>4658</v>
      </c>
      <c r="E969" s="128" t="s">
        <v>4701</v>
      </c>
      <c r="F969" s="128">
        <v>2023</v>
      </c>
      <c r="G969" s="128">
        <v>55</v>
      </c>
      <c r="H969" s="128">
        <v>17</v>
      </c>
      <c r="I969" s="128">
        <v>72</v>
      </c>
      <c r="J969" s="128" t="s">
        <v>4702</v>
      </c>
      <c r="K969" s="128">
        <v>74.23</v>
      </c>
      <c r="L969" s="128" t="s">
        <v>4703</v>
      </c>
      <c r="M969" s="128" t="s">
        <v>2489</v>
      </c>
      <c r="N969" s="128" t="s">
        <v>4704</v>
      </c>
      <c r="O969" s="128">
        <v>0</v>
      </c>
      <c r="P969" s="128">
        <v>30</v>
      </c>
      <c r="Q969" s="128">
        <v>28</v>
      </c>
      <c r="R969" s="128">
        <v>44</v>
      </c>
      <c r="S969" s="128">
        <v>5</v>
      </c>
      <c r="T969" s="128">
        <v>5</v>
      </c>
      <c r="U969" s="128">
        <v>112</v>
      </c>
      <c r="V969" s="128" t="s">
        <v>3122</v>
      </c>
    </row>
    <row r="970" spans="1:22" x14ac:dyDescent="0.35">
      <c r="A970" s="118">
        <v>969</v>
      </c>
      <c r="B970" s="128" t="s">
        <v>165</v>
      </c>
      <c r="C970" s="128" t="s">
        <v>232</v>
      </c>
      <c r="D970" s="128" t="s">
        <v>1517</v>
      </c>
      <c r="E970" s="128" t="s">
        <v>4705</v>
      </c>
      <c r="F970" s="128">
        <v>1982</v>
      </c>
      <c r="G970" s="128">
        <v>66</v>
      </c>
      <c r="H970" s="128">
        <v>2</v>
      </c>
      <c r="I970" s="128">
        <v>68</v>
      </c>
      <c r="J970" s="128" t="s">
        <v>4706</v>
      </c>
      <c r="K970" s="128">
        <v>50.7</v>
      </c>
      <c r="L970" s="128" t="s">
        <v>3910</v>
      </c>
      <c r="M970" s="128" t="s">
        <v>4707</v>
      </c>
      <c r="N970" s="128" t="s">
        <v>4708</v>
      </c>
      <c r="O970" s="128">
        <v>566</v>
      </c>
      <c r="P970" s="128">
        <v>127</v>
      </c>
      <c r="Q970" s="128">
        <v>115</v>
      </c>
      <c r="R970" s="128">
        <v>189</v>
      </c>
      <c r="S970" s="128">
        <v>76</v>
      </c>
      <c r="T970" s="128">
        <v>77</v>
      </c>
      <c r="U970" s="128">
        <v>584</v>
      </c>
      <c r="V970" s="128" t="s">
        <v>1547</v>
      </c>
    </row>
    <row r="971" spans="1:22" x14ac:dyDescent="0.35">
      <c r="A971" s="118">
        <v>970</v>
      </c>
      <c r="B971" s="128" t="s">
        <v>165</v>
      </c>
      <c r="C971" s="128" t="s">
        <v>232</v>
      </c>
      <c r="D971" s="128" t="s">
        <v>1517</v>
      </c>
      <c r="E971" s="128" t="s">
        <v>712</v>
      </c>
      <c r="F971" s="128">
        <v>1986</v>
      </c>
      <c r="G971" s="128">
        <v>107</v>
      </c>
      <c r="H971" s="128">
        <v>19</v>
      </c>
      <c r="I971" s="128">
        <v>126</v>
      </c>
      <c r="J971" s="128" t="s">
        <v>4706</v>
      </c>
      <c r="K971" s="128">
        <v>83.9</v>
      </c>
      <c r="L971" s="128" t="s">
        <v>4571</v>
      </c>
      <c r="M971" s="128" t="s">
        <v>4709</v>
      </c>
      <c r="N971" s="128" t="s">
        <v>4710</v>
      </c>
      <c r="O971" s="128">
        <v>541</v>
      </c>
      <c r="P971" s="128">
        <v>117</v>
      </c>
      <c r="Q971" s="128">
        <v>106</v>
      </c>
      <c r="R971" s="128">
        <v>191</v>
      </c>
      <c r="S971" s="128">
        <v>77</v>
      </c>
      <c r="T971" s="128">
        <v>75</v>
      </c>
      <c r="U971" s="128">
        <v>566</v>
      </c>
      <c r="V971" s="128" t="s">
        <v>1547</v>
      </c>
    </row>
    <row r="972" spans="1:22" x14ac:dyDescent="0.35">
      <c r="A972" s="118">
        <v>971</v>
      </c>
      <c r="B972" s="128" t="s">
        <v>165</v>
      </c>
      <c r="C972" s="128" t="s">
        <v>232</v>
      </c>
      <c r="D972" s="128" t="s">
        <v>1517</v>
      </c>
      <c r="E972" s="128" t="s">
        <v>419</v>
      </c>
      <c r="F972" s="128">
        <v>1980</v>
      </c>
      <c r="G972" s="128">
        <v>106</v>
      </c>
      <c r="H972" s="128">
        <v>4</v>
      </c>
      <c r="I972" s="128">
        <v>110</v>
      </c>
      <c r="J972" s="128" t="s">
        <v>4711</v>
      </c>
      <c r="K972" s="128">
        <v>85.9</v>
      </c>
      <c r="L972" s="128" t="s">
        <v>4712</v>
      </c>
      <c r="M972" s="128" t="s">
        <v>3007</v>
      </c>
      <c r="N972" s="128" t="s">
        <v>4713</v>
      </c>
      <c r="O972" s="128">
        <v>551</v>
      </c>
      <c r="P972" s="128">
        <v>117</v>
      </c>
      <c r="Q972" s="128">
        <v>107</v>
      </c>
      <c r="R972" s="128">
        <v>200</v>
      </c>
      <c r="S972" s="128">
        <v>66</v>
      </c>
      <c r="T972" s="128">
        <v>72</v>
      </c>
      <c r="U972" s="128">
        <v>562</v>
      </c>
      <c r="V972" s="128" t="s">
        <v>1547</v>
      </c>
    </row>
    <row r="973" spans="1:22" x14ac:dyDescent="0.35">
      <c r="A973" s="118">
        <v>972</v>
      </c>
      <c r="B973" s="128" t="s">
        <v>165</v>
      </c>
      <c r="C973" s="128" t="s">
        <v>232</v>
      </c>
      <c r="D973" s="128" t="s">
        <v>2145</v>
      </c>
      <c r="E973" s="128" t="s">
        <v>711</v>
      </c>
      <c r="F973" s="128">
        <v>1981</v>
      </c>
      <c r="G973" s="128">
        <v>105</v>
      </c>
      <c r="H973" s="128">
        <v>4</v>
      </c>
      <c r="I973" s="128">
        <v>109</v>
      </c>
      <c r="J973" s="128" t="s">
        <v>4706</v>
      </c>
      <c r="K973" s="128">
        <v>85.9</v>
      </c>
      <c r="L973" s="128" t="s">
        <v>1926</v>
      </c>
      <c r="M973" s="128" t="s">
        <v>4714</v>
      </c>
      <c r="N973" s="128" t="s">
        <v>4715</v>
      </c>
      <c r="O973" s="128">
        <v>499</v>
      </c>
      <c r="P973" s="128">
        <v>112</v>
      </c>
      <c r="Q973" s="128">
        <v>111</v>
      </c>
      <c r="R973" s="128">
        <v>147</v>
      </c>
      <c r="S973" s="128">
        <v>69</v>
      </c>
      <c r="T973" s="128">
        <v>72</v>
      </c>
      <c r="U973" s="128">
        <v>511</v>
      </c>
      <c r="V973" s="128" t="s">
        <v>1547</v>
      </c>
    </row>
    <row r="974" spans="1:22" x14ac:dyDescent="0.35">
      <c r="A974" s="118">
        <v>973</v>
      </c>
      <c r="B974" s="128" t="s">
        <v>165</v>
      </c>
      <c r="C974" s="128" t="s">
        <v>232</v>
      </c>
      <c r="D974" s="128" t="s">
        <v>2145</v>
      </c>
      <c r="E974" s="128" t="s">
        <v>710</v>
      </c>
      <c r="F974" s="128">
        <v>1980</v>
      </c>
      <c r="G974" s="128">
        <v>170</v>
      </c>
      <c r="H974" s="128">
        <v>2</v>
      </c>
      <c r="I974" s="128">
        <v>172</v>
      </c>
      <c r="J974" s="128" t="s">
        <v>4706</v>
      </c>
      <c r="K974" s="128">
        <v>89.7</v>
      </c>
      <c r="L974" s="128" t="s">
        <v>4716</v>
      </c>
      <c r="M974" s="128" t="s">
        <v>1678</v>
      </c>
      <c r="N974" s="128" t="s">
        <v>3101</v>
      </c>
      <c r="O974" s="128">
        <v>496</v>
      </c>
      <c r="P974" s="128">
        <v>117</v>
      </c>
      <c r="Q974" s="128">
        <v>108</v>
      </c>
      <c r="R974" s="128">
        <v>149</v>
      </c>
      <c r="S974" s="128">
        <v>65</v>
      </c>
      <c r="T974" s="128">
        <v>70</v>
      </c>
      <c r="U974" s="128">
        <v>509</v>
      </c>
      <c r="V974" s="128" t="s">
        <v>1547</v>
      </c>
    </row>
    <row r="975" spans="1:22" x14ac:dyDescent="0.35">
      <c r="A975" s="118">
        <v>974</v>
      </c>
      <c r="B975" s="128" t="s">
        <v>165</v>
      </c>
      <c r="C975" s="128" t="s">
        <v>232</v>
      </c>
      <c r="D975" s="128" t="s">
        <v>4717</v>
      </c>
      <c r="E975" s="128" t="s">
        <v>42</v>
      </c>
      <c r="F975" s="128">
        <v>1985</v>
      </c>
      <c r="G975" s="128">
        <v>49</v>
      </c>
      <c r="H975" s="128">
        <v>3</v>
      </c>
      <c r="I975" s="128">
        <v>52</v>
      </c>
      <c r="J975" s="128" t="s">
        <v>4706</v>
      </c>
      <c r="K975" s="128">
        <v>89.5</v>
      </c>
      <c r="L975" s="128" t="s">
        <v>1736</v>
      </c>
      <c r="M975" s="128" t="s">
        <v>4718</v>
      </c>
      <c r="N975" s="128" t="s">
        <v>4719</v>
      </c>
      <c r="O975" s="128">
        <v>366</v>
      </c>
      <c r="P975" s="128">
        <v>86</v>
      </c>
      <c r="Q975" s="128">
        <v>70</v>
      </c>
      <c r="R975" s="128">
        <v>80</v>
      </c>
      <c r="S975" s="128">
        <v>74</v>
      </c>
      <c r="T975" s="128">
        <v>66</v>
      </c>
      <c r="U975" s="128">
        <v>376</v>
      </c>
      <c r="V975" s="128" t="s">
        <v>2643</v>
      </c>
    </row>
    <row r="976" spans="1:22" x14ac:dyDescent="0.35">
      <c r="A976" s="118">
        <v>975</v>
      </c>
      <c r="B976" s="128" t="s">
        <v>165</v>
      </c>
      <c r="C976" s="128" t="s">
        <v>232</v>
      </c>
      <c r="D976" s="128" t="s">
        <v>4717</v>
      </c>
      <c r="E976" s="128" t="s">
        <v>709</v>
      </c>
      <c r="F976" s="128">
        <v>1999</v>
      </c>
      <c r="G976" s="128">
        <v>91</v>
      </c>
      <c r="H976" s="128">
        <v>5</v>
      </c>
      <c r="I976" s="128">
        <v>96</v>
      </c>
      <c r="J976" s="128" t="s">
        <v>4720</v>
      </c>
      <c r="K976" s="128">
        <v>87.5</v>
      </c>
      <c r="L976" s="128" t="s">
        <v>4721</v>
      </c>
      <c r="M976" s="128" t="s">
        <v>4722</v>
      </c>
      <c r="N976" s="128" t="s">
        <v>4723</v>
      </c>
      <c r="O976" s="128">
        <v>539</v>
      </c>
      <c r="P976" s="128">
        <v>123</v>
      </c>
      <c r="Q976" s="128">
        <v>115</v>
      </c>
      <c r="R976" s="128">
        <v>174</v>
      </c>
      <c r="S976" s="128">
        <v>69</v>
      </c>
      <c r="T976" s="128">
        <v>69</v>
      </c>
      <c r="U976" s="128">
        <v>550</v>
      </c>
      <c r="V976" s="128" t="s">
        <v>1547</v>
      </c>
    </row>
    <row r="977" spans="1:22" x14ac:dyDescent="0.35">
      <c r="A977" s="118">
        <v>976</v>
      </c>
      <c r="B977" s="128" t="s">
        <v>165</v>
      </c>
      <c r="C977" s="128" t="s">
        <v>232</v>
      </c>
      <c r="D977" s="128" t="s">
        <v>4717</v>
      </c>
      <c r="E977" s="128" t="s">
        <v>434</v>
      </c>
      <c r="F977" s="128">
        <v>2010</v>
      </c>
      <c r="G977" s="128">
        <v>106</v>
      </c>
      <c r="H977" s="128">
        <v>2</v>
      </c>
      <c r="I977" s="128">
        <v>108</v>
      </c>
      <c r="J977" s="128" t="s">
        <v>4706</v>
      </c>
      <c r="K977" s="128">
        <v>99.7</v>
      </c>
      <c r="L977" s="128" t="s">
        <v>4724</v>
      </c>
      <c r="M977" s="128" t="s">
        <v>1536</v>
      </c>
      <c r="N977" s="128" t="s">
        <v>1600</v>
      </c>
      <c r="O977" s="128">
        <v>477</v>
      </c>
      <c r="P977" s="128">
        <v>103</v>
      </c>
      <c r="Q977" s="128">
        <v>104</v>
      </c>
      <c r="R977" s="128">
        <v>129</v>
      </c>
      <c r="S977" s="128">
        <v>75</v>
      </c>
      <c r="T977" s="128">
        <v>82</v>
      </c>
      <c r="U977" s="128">
        <v>493</v>
      </c>
      <c r="V977" s="128" t="s">
        <v>1547</v>
      </c>
    </row>
    <row r="978" spans="1:22" x14ac:dyDescent="0.35">
      <c r="A978" s="118">
        <v>977</v>
      </c>
      <c r="B978" s="128" t="s">
        <v>165</v>
      </c>
      <c r="C978" s="128" t="s">
        <v>232</v>
      </c>
      <c r="D978" s="128" t="s">
        <v>4725</v>
      </c>
      <c r="E978" s="128" t="s">
        <v>705</v>
      </c>
      <c r="F978" s="128">
        <v>1982</v>
      </c>
      <c r="G978" s="128">
        <v>254</v>
      </c>
      <c r="H978" s="128">
        <v>30</v>
      </c>
      <c r="I978" s="128">
        <v>284</v>
      </c>
      <c r="J978" s="128" t="s">
        <v>4706</v>
      </c>
      <c r="K978" s="128">
        <v>101.9</v>
      </c>
      <c r="L978" s="128" t="s">
        <v>4726</v>
      </c>
      <c r="M978" s="128" t="s">
        <v>1997</v>
      </c>
      <c r="N978" s="128" t="s">
        <v>1536</v>
      </c>
      <c r="O978" s="128">
        <v>712</v>
      </c>
      <c r="P978" s="128">
        <v>137</v>
      </c>
      <c r="Q978" s="128">
        <v>142</v>
      </c>
      <c r="R978" s="128">
        <v>208</v>
      </c>
      <c r="S978" s="128">
        <v>98</v>
      </c>
      <c r="T978" s="128">
        <v>135</v>
      </c>
      <c r="U978" s="128">
        <v>720</v>
      </c>
      <c r="V978" s="128" t="s">
        <v>2702</v>
      </c>
    </row>
    <row r="979" spans="1:22" x14ac:dyDescent="0.35">
      <c r="A979" s="118">
        <v>978</v>
      </c>
      <c r="B979" s="128" t="s">
        <v>165</v>
      </c>
      <c r="C979" s="128" t="s">
        <v>232</v>
      </c>
      <c r="D979" s="128" t="s">
        <v>4727</v>
      </c>
      <c r="E979" s="128" t="s">
        <v>424</v>
      </c>
      <c r="F979" s="128">
        <v>1980</v>
      </c>
      <c r="G979" s="128">
        <v>83</v>
      </c>
      <c r="H979" s="128">
        <v>2</v>
      </c>
      <c r="I979" s="128">
        <v>85</v>
      </c>
      <c r="J979" s="128" t="s">
        <v>4706</v>
      </c>
      <c r="K979" s="128">
        <v>80.3</v>
      </c>
      <c r="L979" s="128" t="s">
        <v>3193</v>
      </c>
      <c r="M979" s="128" t="s">
        <v>4728</v>
      </c>
      <c r="N979" s="128" t="s">
        <v>3296</v>
      </c>
      <c r="O979" s="128">
        <v>596</v>
      </c>
      <c r="P979" s="128">
        <v>125</v>
      </c>
      <c r="Q979" s="128">
        <v>115</v>
      </c>
      <c r="R979" s="128">
        <v>200</v>
      </c>
      <c r="S979" s="128">
        <v>117</v>
      </c>
      <c r="T979" s="128">
        <v>75</v>
      </c>
      <c r="U979" s="128">
        <v>632</v>
      </c>
      <c r="V979" s="128" t="s">
        <v>1547</v>
      </c>
    </row>
    <row r="980" spans="1:22" x14ac:dyDescent="0.35">
      <c r="A980" s="118">
        <v>979</v>
      </c>
      <c r="B980" s="128" t="s">
        <v>165</v>
      </c>
      <c r="C980" s="128" t="s">
        <v>232</v>
      </c>
      <c r="D980" s="128" t="s">
        <v>4727</v>
      </c>
      <c r="E980" s="128" t="s">
        <v>413</v>
      </c>
      <c r="F980" s="128">
        <v>2018</v>
      </c>
      <c r="G980" s="128">
        <v>144</v>
      </c>
      <c r="H980" s="128">
        <v>15</v>
      </c>
      <c r="I980" s="128">
        <v>159</v>
      </c>
      <c r="J980" s="128" t="s">
        <v>4706</v>
      </c>
      <c r="K980" s="128">
        <v>97.7</v>
      </c>
      <c r="L980" s="128" t="s">
        <v>1638</v>
      </c>
      <c r="M980" s="128" t="s">
        <v>4729</v>
      </c>
      <c r="N980" s="128" t="s">
        <v>4730</v>
      </c>
      <c r="O980" s="128">
        <v>241</v>
      </c>
      <c r="P980" s="128">
        <v>54</v>
      </c>
      <c r="Q980" s="128">
        <v>51</v>
      </c>
      <c r="R980" s="128">
        <v>58</v>
      </c>
      <c r="S980" s="128">
        <v>43</v>
      </c>
      <c r="T980" s="128">
        <v>49</v>
      </c>
      <c r="U980" s="128">
        <v>255</v>
      </c>
      <c r="V980" s="128" t="s">
        <v>2643</v>
      </c>
    </row>
    <row r="981" spans="1:22" x14ac:dyDescent="0.35">
      <c r="A981" s="118">
        <v>980</v>
      </c>
      <c r="B981" s="128" t="s">
        <v>165</v>
      </c>
      <c r="C981" s="128" t="s">
        <v>232</v>
      </c>
      <c r="D981" s="128" t="s">
        <v>2145</v>
      </c>
      <c r="E981" s="128" t="s">
        <v>23</v>
      </c>
      <c r="F981" s="128">
        <v>2020</v>
      </c>
      <c r="G981" s="128">
        <v>143</v>
      </c>
      <c r="H981" s="128"/>
      <c r="I981" s="128"/>
      <c r="J981" s="128" t="s">
        <v>4731</v>
      </c>
      <c r="K981" s="128">
        <v>79.099999999999994</v>
      </c>
      <c r="L981" s="128" t="s">
        <v>1600</v>
      </c>
      <c r="M981" s="128" t="s">
        <v>4732</v>
      </c>
      <c r="N981" s="128" t="s">
        <v>2581</v>
      </c>
      <c r="O981" s="128">
        <v>0</v>
      </c>
      <c r="P981" s="128">
        <v>49</v>
      </c>
      <c r="Q981" s="128">
        <v>31</v>
      </c>
      <c r="R981" s="128">
        <v>70</v>
      </c>
      <c r="S981" s="128">
        <v>9</v>
      </c>
      <c r="T981" s="128">
        <v>23</v>
      </c>
      <c r="U981" s="128">
        <v>182</v>
      </c>
      <c r="V981" s="128" t="s">
        <v>3122</v>
      </c>
    </row>
    <row r="982" spans="1:22" x14ac:dyDescent="0.35">
      <c r="A982" s="118">
        <v>981</v>
      </c>
      <c r="B982" s="128" t="s">
        <v>165</v>
      </c>
      <c r="C982" s="128" t="s">
        <v>232</v>
      </c>
      <c r="D982" s="128" t="s">
        <v>1517</v>
      </c>
      <c r="E982" s="128" t="s">
        <v>4599</v>
      </c>
      <c r="F982" s="128">
        <v>2013</v>
      </c>
      <c r="G982" s="128">
        <v>0</v>
      </c>
      <c r="H982" s="128">
        <v>45</v>
      </c>
      <c r="I982" s="128">
        <v>45</v>
      </c>
      <c r="J982" s="128" t="s">
        <v>2136</v>
      </c>
      <c r="K982" s="128">
        <v>10.199999999999999</v>
      </c>
      <c r="L982" s="128" t="s">
        <v>4733</v>
      </c>
      <c r="M982" s="128" t="s">
        <v>1527</v>
      </c>
      <c r="N982" s="128" t="s">
        <v>2194</v>
      </c>
      <c r="O982" s="128">
        <v>462</v>
      </c>
      <c r="P982" s="128">
        <v>115</v>
      </c>
      <c r="Q982" s="128">
        <v>115</v>
      </c>
      <c r="R982" s="128">
        <v>91</v>
      </c>
      <c r="S982" s="128">
        <v>78</v>
      </c>
      <c r="T982" s="128">
        <v>79</v>
      </c>
      <c r="U982" s="128">
        <v>478</v>
      </c>
      <c r="V982" s="128" t="s">
        <v>1547</v>
      </c>
    </row>
    <row r="983" spans="1:22" x14ac:dyDescent="0.35">
      <c r="A983" s="118">
        <v>982</v>
      </c>
      <c r="B983" s="128" t="s">
        <v>165</v>
      </c>
      <c r="C983" s="128" t="s">
        <v>232</v>
      </c>
      <c r="D983" s="128" t="s">
        <v>1517</v>
      </c>
      <c r="E983" s="128" t="s">
        <v>4734</v>
      </c>
      <c r="F983" s="128">
        <v>2013</v>
      </c>
      <c r="G983" s="128">
        <v>0</v>
      </c>
      <c r="H983" s="128">
        <v>30</v>
      </c>
      <c r="I983" s="128">
        <v>30</v>
      </c>
      <c r="J983" s="128" t="s">
        <v>2136</v>
      </c>
      <c r="K983" s="128">
        <v>12.4</v>
      </c>
      <c r="L983" s="128" t="s">
        <v>4735</v>
      </c>
      <c r="M983" s="128" t="s">
        <v>4736</v>
      </c>
      <c r="N983" s="128" t="s">
        <v>4737</v>
      </c>
      <c r="O983" s="128">
        <v>381</v>
      </c>
      <c r="P983" s="128">
        <v>92</v>
      </c>
      <c r="Q983" s="128">
        <v>70</v>
      </c>
      <c r="R983" s="128">
        <v>96</v>
      </c>
      <c r="S983" s="128">
        <v>71</v>
      </c>
      <c r="T983" s="128">
        <v>71</v>
      </c>
      <c r="U983" s="128">
        <v>400</v>
      </c>
      <c r="V983" s="128" t="s">
        <v>2643</v>
      </c>
    </row>
    <row r="984" spans="1:22" x14ac:dyDescent="0.35">
      <c r="A984" s="118">
        <v>983</v>
      </c>
      <c r="B984" s="128" t="s">
        <v>165</v>
      </c>
      <c r="C984" s="128" t="s">
        <v>6252</v>
      </c>
      <c r="D984" s="128" t="s">
        <v>1517</v>
      </c>
      <c r="E984" s="128" t="s">
        <v>432</v>
      </c>
      <c r="F984" s="128">
        <v>1980</v>
      </c>
      <c r="G984" s="128">
        <v>34</v>
      </c>
      <c r="H984" s="128">
        <v>5</v>
      </c>
      <c r="I984" s="128">
        <v>39</v>
      </c>
      <c r="J984" s="128" t="s">
        <v>4617</v>
      </c>
      <c r="K984" s="128">
        <v>28.4</v>
      </c>
      <c r="L984" s="128" t="s">
        <v>4738</v>
      </c>
      <c r="M984" s="128" t="s">
        <v>4739</v>
      </c>
      <c r="N984" s="128" t="s">
        <v>4740</v>
      </c>
      <c r="O984" s="128">
        <v>537</v>
      </c>
      <c r="P984" s="128">
        <v>114</v>
      </c>
      <c r="Q984" s="128">
        <v>85</v>
      </c>
      <c r="R984" s="128">
        <v>194</v>
      </c>
      <c r="S984" s="128">
        <v>81</v>
      </c>
      <c r="T984" s="128">
        <v>73</v>
      </c>
      <c r="U984" s="128">
        <v>547</v>
      </c>
      <c r="V984" s="128" t="s">
        <v>1547</v>
      </c>
    </row>
    <row r="985" spans="1:22" x14ac:dyDescent="0.35">
      <c r="A985" s="118">
        <v>984</v>
      </c>
      <c r="B985" s="128" t="s">
        <v>165</v>
      </c>
      <c r="C985" s="128" t="s">
        <v>6252</v>
      </c>
      <c r="D985" s="128" t="s">
        <v>4741</v>
      </c>
      <c r="E985" s="128" t="s">
        <v>655</v>
      </c>
      <c r="F985" s="128">
        <v>1982</v>
      </c>
      <c r="G985" s="128">
        <v>151</v>
      </c>
      <c r="H985" s="128">
        <v>12</v>
      </c>
      <c r="I985" s="128">
        <v>163</v>
      </c>
      <c r="J985" s="128" t="s">
        <v>4742</v>
      </c>
      <c r="K985" s="128">
        <v>120.77</v>
      </c>
      <c r="L985" s="128" t="s">
        <v>1665</v>
      </c>
      <c r="M985" s="128" t="s">
        <v>4743</v>
      </c>
      <c r="N985" s="128" t="s">
        <v>4744</v>
      </c>
      <c r="O985" s="128">
        <v>524</v>
      </c>
      <c r="P985" s="128">
        <v>103</v>
      </c>
      <c r="Q985" s="128">
        <v>86</v>
      </c>
      <c r="R985" s="128">
        <v>194</v>
      </c>
      <c r="S985" s="128">
        <v>74</v>
      </c>
      <c r="T985" s="128">
        <v>76</v>
      </c>
      <c r="U985" s="128">
        <v>533</v>
      </c>
      <c r="V985" s="128" t="s">
        <v>1547</v>
      </c>
    </row>
    <row r="986" spans="1:22" x14ac:dyDescent="0.35">
      <c r="A986" s="118">
        <v>985</v>
      </c>
      <c r="B986" s="128" t="s">
        <v>165</v>
      </c>
      <c r="C986" s="128" t="s">
        <v>6252</v>
      </c>
      <c r="D986" s="128" t="s">
        <v>1517</v>
      </c>
      <c r="E986" s="128" t="s">
        <v>442</v>
      </c>
      <c r="F986" s="128">
        <v>1980</v>
      </c>
      <c r="G986" s="128">
        <v>57</v>
      </c>
      <c r="H986" s="128">
        <v>16</v>
      </c>
      <c r="I986" s="128">
        <v>73</v>
      </c>
      <c r="J986" s="128" t="s">
        <v>4745</v>
      </c>
      <c r="K986" s="128">
        <v>60.39</v>
      </c>
      <c r="L986" s="128" t="s">
        <v>4746</v>
      </c>
      <c r="M986" s="128" t="s">
        <v>1536</v>
      </c>
      <c r="N986" s="128" t="s">
        <v>2584</v>
      </c>
      <c r="O986" s="128">
        <v>572</v>
      </c>
      <c r="P986" s="128">
        <v>117</v>
      </c>
      <c r="Q986" s="128">
        <v>106</v>
      </c>
      <c r="R986" s="128">
        <v>200</v>
      </c>
      <c r="S986" s="128">
        <v>78</v>
      </c>
      <c r="T986" s="128">
        <v>79</v>
      </c>
      <c r="U986" s="128">
        <v>580</v>
      </c>
      <c r="V986" s="128" t="s">
        <v>1547</v>
      </c>
    </row>
    <row r="987" spans="1:22" x14ac:dyDescent="0.35">
      <c r="A987" s="118">
        <v>986</v>
      </c>
      <c r="B987" s="128" t="s">
        <v>165</v>
      </c>
      <c r="C987" s="128" t="s">
        <v>6252</v>
      </c>
      <c r="D987" s="128" t="s">
        <v>4747</v>
      </c>
      <c r="E987" s="128" t="s">
        <v>648</v>
      </c>
      <c r="F987" s="128">
        <v>1980</v>
      </c>
      <c r="G987" s="128">
        <v>114</v>
      </c>
      <c r="H987" s="128">
        <v>24</v>
      </c>
      <c r="I987" s="128">
        <v>138</v>
      </c>
      <c r="J987" s="128" t="s">
        <v>4617</v>
      </c>
      <c r="K987" s="128">
        <v>150.87</v>
      </c>
      <c r="L987" s="128" t="s">
        <v>4748</v>
      </c>
      <c r="M987" s="128" t="s">
        <v>4749</v>
      </c>
      <c r="N987" s="128" t="s">
        <v>3189</v>
      </c>
      <c r="O987" s="128">
        <v>519</v>
      </c>
      <c r="P987" s="128">
        <v>109</v>
      </c>
      <c r="Q987" s="128">
        <v>88</v>
      </c>
      <c r="R987" s="128">
        <v>196</v>
      </c>
      <c r="S987" s="128">
        <v>70</v>
      </c>
      <c r="T987" s="128">
        <v>64</v>
      </c>
      <c r="U987" s="128">
        <v>527</v>
      </c>
      <c r="V987" s="128" t="s">
        <v>1547</v>
      </c>
    </row>
    <row r="988" spans="1:22" x14ac:dyDescent="0.35">
      <c r="A988" s="118">
        <v>987</v>
      </c>
      <c r="B988" s="128" t="s">
        <v>165</v>
      </c>
      <c r="C988" s="128" t="s">
        <v>6252</v>
      </c>
      <c r="D988" s="128" t="s">
        <v>4747</v>
      </c>
      <c r="E988" s="128" t="s">
        <v>654</v>
      </c>
      <c r="F988" s="128">
        <v>1980</v>
      </c>
      <c r="G988" s="128">
        <v>69</v>
      </c>
      <c r="H988" s="128">
        <v>13</v>
      </c>
      <c r="I988" s="128">
        <v>82</v>
      </c>
      <c r="J988" s="128" t="s">
        <v>4617</v>
      </c>
      <c r="K988" s="128">
        <v>70.44</v>
      </c>
      <c r="L988" s="128" t="s">
        <v>4750</v>
      </c>
      <c r="M988" s="128" t="s">
        <v>4751</v>
      </c>
      <c r="N988" s="128" t="s">
        <v>4752</v>
      </c>
      <c r="O988" s="128">
        <v>543</v>
      </c>
      <c r="P988" s="128">
        <v>106</v>
      </c>
      <c r="Q988" s="128">
        <v>106</v>
      </c>
      <c r="R988" s="128">
        <v>197</v>
      </c>
      <c r="S988" s="128">
        <v>71</v>
      </c>
      <c r="T988" s="128">
        <v>69</v>
      </c>
      <c r="U988" s="128">
        <v>549</v>
      </c>
      <c r="V988" s="128" t="s">
        <v>1547</v>
      </c>
    </row>
    <row r="989" spans="1:22" x14ac:dyDescent="0.35">
      <c r="A989" s="118">
        <v>988</v>
      </c>
      <c r="B989" s="128" t="s">
        <v>165</v>
      </c>
      <c r="C989" s="128" t="s">
        <v>6252</v>
      </c>
      <c r="D989" s="128" t="s">
        <v>4741</v>
      </c>
      <c r="E989" s="128" t="s">
        <v>76</v>
      </c>
      <c r="F989" s="128">
        <v>1982</v>
      </c>
      <c r="G989" s="128">
        <v>115</v>
      </c>
      <c r="H989" s="128">
        <v>27</v>
      </c>
      <c r="I989" s="128">
        <v>142</v>
      </c>
      <c r="J989" s="128" t="s">
        <v>4617</v>
      </c>
      <c r="K989" s="128">
        <v>98.97</v>
      </c>
      <c r="L989" s="128" t="s">
        <v>4753</v>
      </c>
      <c r="M989" s="128" t="s">
        <v>4251</v>
      </c>
      <c r="N989" s="128" t="s">
        <v>2590</v>
      </c>
      <c r="O989" s="128">
        <v>712</v>
      </c>
      <c r="P989" s="128">
        <v>138</v>
      </c>
      <c r="Q989" s="128">
        <v>120</v>
      </c>
      <c r="R989" s="128">
        <v>299</v>
      </c>
      <c r="S989" s="128">
        <v>82</v>
      </c>
      <c r="T989" s="128">
        <v>82</v>
      </c>
      <c r="U989" s="128">
        <v>721</v>
      </c>
      <c r="V989" s="128" t="s">
        <v>2702</v>
      </c>
    </row>
    <row r="990" spans="1:22" x14ac:dyDescent="0.35">
      <c r="A990" s="118">
        <v>989</v>
      </c>
      <c r="B990" s="128" t="s">
        <v>165</v>
      </c>
      <c r="C990" s="128" t="s">
        <v>6252</v>
      </c>
      <c r="D990" s="128" t="s">
        <v>4754</v>
      </c>
      <c r="E990" s="128" t="s">
        <v>653</v>
      </c>
      <c r="F990" s="128">
        <v>1980</v>
      </c>
      <c r="G990" s="128">
        <v>53</v>
      </c>
      <c r="H990" s="128">
        <v>13</v>
      </c>
      <c r="I990" s="128">
        <v>66</v>
      </c>
      <c r="J990" s="128" t="s">
        <v>4625</v>
      </c>
      <c r="K990" s="128">
        <v>41.97</v>
      </c>
      <c r="L990" s="128" t="s">
        <v>4755</v>
      </c>
      <c r="M990" s="128" t="s">
        <v>4756</v>
      </c>
      <c r="N990" s="128" t="s">
        <v>4757</v>
      </c>
      <c r="O990" s="128">
        <v>519</v>
      </c>
      <c r="P990" s="128">
        <v>106</v>
      </c>
      <c r="Q990" s="128">
        <v>95</v>
      </c>
      <c r="R990" s="128">
        <v>195</v>
      </c>
      <c r="S990" s="128">
        <v>65</v>
      </c>
      <c r="T990" s="128">
        <v>66</v>
      </c>
      <c r="U990" s="128">
        <v>527</v>
      </c>
      <c r="V990" s="128" t="s">
        <v>1547</v>
      </c>
    </row>
    <row r="991" spans="1:22" x14ac:dyDescent="0.35">
      <c r="A991" s="118">
        <v>990</v>
      </c>
      <c r="B991" s="128" t="s">
        <v>165</v>
      </c>
      <c r="C991" s="128" t="s">
        <v>6252</v>
      </c>
      <c r="D991" s="128" t="s">
        <v>4754</v>
      </c>
      <c r="E991" s="128" t="s">
        <v>452</v>
      </c>
      <c r="F991" s="128">
        <v>1981</v>
      </c>
      <c r="G991" s="128">
        <v>65</v>
      </c>
      <c r="H991" s="128">
        <v>6</v>
      </c>
      <c r="I991" s="128">
        <v>71</v>
      </c>
      <c r="J991" s="128" t="s">
        <v>4625</v>
      </c>
      <c r="K991" s="128">
        <v>80.2</v>
      </c>
      <c r="L991" s="128" t="s">
        <v>1645</v>
      </c>
      <c r="M991" s="128" t="s">
        <v>1510</v>
      </c>
      <c r="N991" s="128" t="s">
        <v>4758</v>
      </c>
      <c r="O991" s="128">
        <v>550</v>
      </c>
      <c r="P991" s="128">
        <v>106</v>
      </c>
      <c r="Q991" s="128">
        <v>94</v>
      </c>
      <c r="R991" s="128">
        <v>201</v>
      </c>
      <c r="S991" s="128">
        <v>76</v>
      </c>
      <c r="T991" s="128">
        <v>81</v>
      </c>
      <c r="U991" s="128">
        <v>558</v>
      </c>
      <c r="V991" s="128" t="s">
        <v>1547</v>
      </c>
    </row>
    <row r="992" spans="1:22" x14ac:dyDescent="0.35">
      <c r="A992" s="118">
        <v>991</v>
      </c>
      <c r="B992" s="128" t="s">
        <v>165</v>
      </c>
      <c r="C992" s="128" t="s">
        <v>6252</v>
      </c>
      <c r="D992" s="128" t="s">
        <v>2463</v>
      </c>
      <c r="E992" s="128" t="s">
        <v>652</v>
      </c>
      <c r="F992" s="128">
        <v>1982</v>
      </c>
      <c r="G992" s="128">
        <v>97</v>
      </c>
      <c r="H992" s="128">
        <v>6</v>
      </c>
      <c r="I992" s="128">
        <v>103</v>
      </c>
      <c r="J992" s="128" t="s">
        <v>4617</v>
      </c>
      <c r="K992" s="128">
        <v>52.3</v>
      </c>
      <c r="L992" s="128" t="s">
        <v>1580</v>
      </c>
      <c r="M992" s="128" t="s">
        <v>1757</v>
      </c>
      <c r="N992" s="128" t="s">
        <v>3099</v>
      </c>
      <c r="O992" s="128">
        <v>527</v>
      </c>
      <c r="P992" s="128">
        <v>109</v>
      </c>
      <c r="Q992" s="128">
        <v>96</v>
      </c>
      <c r="R992" s="128">
        <v>197</v>
      </c>
      <c r="S992" s="128">
        <v>65</v>
      </c>
      <c r="T992" s="128">
        <v>67</v>
      </c>
      <c r="U992" s="128">
        <v>534</v>
      </c>
      <c r="V992" s="128" t="s">
        <v>1547</v>
      </c>
    </row>
    <row r="993" spans="1:22" x14ac:dyDescent="0.35">
      <c r="A993" s="118">
        <v>992</v>
      </c>
      <c r="B993" s="128" t="s">
        <v>165</v>
      </c>
      <c r="C993" s="128" t="s">
        <v>6252</v>
      </c>
      <c r="D993" s="128" t="s">
        <v>2463</v>
      </c>
      <c r="E993" s="128" t="s">
        <v>510</v>
      </c>
      <c r="F993" s="128">
        <v>1982</v>
      </c>
      <c r="G993" s="128">
        <v>71</v>
      </c>
      <c r="H993" s="128">
        <v>3</v>
      </c>
      <c r="I993" s="128">
        <v>74</v>
      </c>
      <c r="J993" s="128" t="s">
        <v>4617</v>
      </c>
      <c r="K993" s="128">
        <v>61.8</v>
      </c>
      <c r="L993" s="128" t="s">
        <v>3074</v>
      </c>
      <c r="M993" s="128" t="s">
        <v>4759</v>
      </c>
      <c r="N993" s="128" t="s">
        <v>4760</v>
      </c>
      <c r="O993" s="128">
        <v>520</v>
      </c>
      <c r="P993" s="128">
        <v>106</v>
      </c>
      <c r="Q993" s="128">
        <v>93</v>
      </c>
      <c r="R993" s="128">
        <v>195</v>
      </c>
      <c r="S993" s="128">
        <v>69</v>
      </c>
      <c r="T993" s="128">
        <v>65</v>
      </c>
      <c r="U993" s="128">
        <v>528</v>
      </c>
      <c r="V993" s="128" t="s">
        <v>1547</v>
      </c>
    </row>
    <row r="994" spans="1:22" x14ac:dyDescent="0.35">
      <c r="A994" s="118">
        <v>993</v>
      </c>
      <c r="B994" s="128" t="s">
        <v>165</v>
      </c>
      <c r="C994" s="128" t="s">
        <v>6252</v>
      </c>
      <c r="D994" s="128" t="s">
        <v>4761</v>
      </c>
      <c r="E994" s="128" t="s">
        <v>651</v>
      </c>
      <c r="F994" s="128">
        <v>1982</v>
      </c>
      <c r="G994" s="128">
        <v>157</v>
      </c>
      <c r="H994" s="128">
        <v>17</v>
      </c>
      <c r="I994" s="128">
        <v>174</v>
      </c>
      <c r="J994" s="128" t="s">
        <v>4762</v>
      </c>
      <c r="K994" s="128">
        <v>180.3</v>
      </c>
      <c r="L994" s="128" t="s">
        <v>4763</v>
      </c>
      <c r="M994" s="128" t="s">
        <v>4764</v>
      </c>
      <c r="N994" s="128" t="s">
        <v>4765</v>
      </c>
      <c r="O994" s="128">
        <v>474</v>
      </c>
      <c r="P994" s="128">
        <v>104</v>
      </c>
      <c r="Q994" s="128">
        <v>86</v>
      </c>
      <c r="R994" s="128">
        <v>193</v>
      </c>
      <c r="S994" s="128">
        <v>46</v>
      </c>
      <c r="T994" s="128">
        <v>55</v>
      </c>
      <c r="U994" s="128">
        <v>484</v>
      </c>
      <c r="V994" s="128" t="s">
        <v>1547</v>
      </c>
    </row>
    <row r="995" spans="1:22" x14ac:dyDescent="0.35">
      <c r="A995" s="118">
        <v>994</v>
      </c>
      <c r="B995" s="128" t="s">
        <v>165</v>
      </c>
      <c r="C995" s="128" t="s">
        <v>6252</v>
      </c>
      <c r="D995" s="128" t="s">
        <v>4761</v>
      </c>
      <c r="E995" s="128" t="s">
        <v>60</v>
      </c>
      <c r="F995" s="128">
        <v>1982</v>
      </c>
      <c r="G995" s="128">
        <v>64</v>
      </c>
      <c r="H995" s="128">
        <v>11</v>
      </c>
      <c r="I995" s="128">
        <v>75</v>
      </c>
      <c r="J995" s="128" t="s">
        <v>4766</v>
      </c>
      <c r="K995" s="128">
        <v>53.2</v>
      </c>
      <c r="L995" s="128" t="s">
        <v>1555</v>
      </c>
      <c r="M995" s="128" t="s">
        <v>4767</v>
      </c>
      <c r="N995" s="128" t="s">
        <v>4768</v>
      </c>
      <c r="O995" s="128">
        <v>481</v>
      </c>
      <c r="P995" s="128">
        <v>104</v>
      </c>
      <c r="Q995" s="128">
        <v>86</v>
      </c>
      <c r="R995" s="128">
        <v>194</v>
      </c>
      <c r="S995" s="128">
        <v>51</v>
      </c>
      <c r="T995" s="128">
        <v>56</v>
      </c>
      <c r="U995" s="128">
        <v>491</v>
      </c>
      <c r="V995" s="128" t="s">
        <v>1547</v>
      </c>
    </row>
    <row r="996" spans="1:22" x14ac:dyDescent="0.35">
      <c r="A996" s="118">
        <v>995</v>
      </c>
      <c r="B996" s="128" t="s">
        <v>165</v>
      </c>
      <c r="C996" s="128" t="s">
        <v>6252</v>
      </c>
      <c r="D996" s="128" t="s">
        <v>1517</v>
      </c>
      <c r="E996" s="128" t="s">
        <v>650</v>
      </c>
      <c r="F996" s="128">
        <v>2003</v>
      </c>
      <c r="G996" s="128">
        <v>60</v>
      </c>
      <c r="H996" s="128">
        <v>8</v>
      </c>
      <c r="I996" s="128">
        <v>68</v>
      </c>
      <c r="J996" s="128" t="s">
        <v>4769</v>
      </c>
      <c r="K996" s="128">
        <v>63.14</v>
      </c>
      <c r="L996" s="128" t="s">
        <v>1699</v>
      </c>
      <c r="M996" s="128" t="s">
        <v>4770</v>
      </c>
      <c r="N996" s="128" t="s">
        <v>1946</v>
      </c>
      <c r="O996" s="128">
        <v>712</v>
      </c>
      <c r="P996" s="128">
        <v>139</v>
      </c>
      <c r="Q996" s="128">
        <v>120</v>
      </c>
      <c r="R996" s="128">
        <v>298</v>
      </c>
      <c r="S996" s="128">
        <v>81</v>
      </c>
      <c r="T996" s="128">
        <v>82</v>
      </c>
      <c r="U996" s="128">
        <v>720</v>
      </c>
      <c r="V996" s="128" t="s">
        <v>2702</v>
      </c>
    </row>
    <row r="997" spans="1:22" x14ac:dyDescent="0.35">
      <c r="A997" s="118">
        <v>996</v>
      </c>
      <c r="B997" s="128" t="s">
        <v>165</v>
      </c>
      <c r="C997" s="128" t="s">
        <v>6252</v>
      </c>
      <c r="D997" s="128" t="s">
        <v>4747</v>
      </c>
      <c r="E997" s="128" t="s">
        <v>4771</v>
      </c>
      <c r="F997" s="128">
        <v>2013</v>
      </c>
      <c r="G997" s="128">
        <v>0</v>
      </c>
      <c r="H997" s="128">
        <v>32</v>
      </c>
      <c r="I997" s="128">
        <v>32</v>
      </c>
      <c r="J997" s="128" t="s">
        <v>2136</v>
      </c>
      <c r="K997" s="128">
        <v>11.2</v>
      </c>
      <c r="L997" s="128" t="s">
        <v>4772</v>
      </c>
      <c r="M997" s="128" t="s">
        <v>4773</v>
      </c>
      <c r="N997" s="128" t="s">
        <v>4774</v>
      </c>
      <c r="O997" s="128">
        <v>336</v>
      </c>
      <c r="P997" s="128">
        <v>71</v>
      </c>
      <c r="Q997" s="128">
        <v>70</v>
      </c>
      <c r="R997" s="128">
        <v>135</v>
      </c>
      <c r="S997" s="128">
        <v>31</v>
      </c>
      <c r="T997" s="128">
        <v>34</v>
      </c>
      <c r="U997" s="128">
        <v>341</v>
      </c>
      <c r="V997" s="128" t="s">
        <v>2643</v>
      </c>
    </row>
    <row r="998" spans="1:22" x14ac:dyDescent="0.35">
      <c r="A998" s="118">
        <v>997</v>
      </c>
      <c r="B998" s="128" t="s">
        <v>165</v>
      </c>
      <c r="C998" s="128" t="s">
        <v>230</v>
      </c>
      <c r="D998" s="128" t="s">
        <v>1945</v>
      </c>
      <c r="E998" s="128" t="s">
        <v>695</v>
      </c>
      <c r="F998" s="128">
        <v>1985</v>
      </c>
      <c r="G998" s="128">
        <v>157</v>
      </c>
      <c r="H998" s="128">
        <v>20</v>
      </c>
      <c r="I998" s="128">
        <v>177</v>
      </c>
      <c r="J998" s="128" t="s">
        <v>4776</v>
      </c>
      <c r="K998" s="128">
        <v>95.5</v>
      </c>
      <c r="L998" s="128" t="s">
        <v>3008</v>
      </c>
      <c r="M998" s="128" t="s">
        <v>4121</v>
      </c>
      <c r="N998" s="128" t="s">
        <v>4777</v>
      </c>
      <c r="O998" s="128">
        <v>722</v>
      </c>
      <c r="P998" s="128">
        <v>139</v>
      </c>
      <c r="Q998" s="128">
        <v>120</v>
      </c>
      <c r="R998" s="128">
        <v>297</v>
      </c>
      <c r="S998" s="128">
        <v>86</v>
      </c>
      <c r="T998" s="128">
        <v>83</v>
      </c>
      <c r="U998" s="128">
        <v>725</v>
      </c>
      <c r="V998" s="128" t="s">
        <v>2702</v>
      </c>
    </row>
    <row r="999" spans="1:22" x14ac:dyDescent="0.35">
      <c r="A999" s="118">
        <v>998</v>
      </c>
      <c r="B999" s="128" t="s">
        <v>165</v>
      </c>
      <c r="C999" s="128" t="s">
        <v>230</v>
      </c>
      <c r="D999" s="128" t="s">
        <v>1945</v>
      </c>
      <c r="E999" s="128" t="s">
        <v>694</v>
      </c>
      <c r="F999" s="128">
        <v>1988</v>
      </c>
      <c r="G999" s="128">
        <v>51</v>
      </c>
      <c r="H999" s="128">
        <v>3</v>
      </c>
      <c r="I999" s="128">
        <v>54</v>
      </c>
      <c r="J999" s="128" t="s">
        <v>4778</v>
      </c>
      <c r="K999" s="128">
        <v>48.9</v>
      </c>
      <c r="L999" s="128" t="s">
        <v>4779</v>
      </c>
      <c r="M999" s="128" t="s">
        <v>4780</v>
      </c>
      <c r="N999" s="128" t="s">
        <v>2926</v>
      </c>
      <c r="O999" s="128">
        <v>525</v>
      </c>
      <c r="P999" s="128">
        <v>116</v>
      </c>
      <c r="Q999" s="128">
        <v>104</v>
      </c>
      <c r="R999" s="128">
        <v>199</v>
      </c>
      <c r="S999" s="128">
        <v>56</v>
      </c>
      <c r="T999" s="128">
        <v>53</v>
      </c>
      <c r="U999" s="128">
        <v>528</v>
      </c>
      <c r="V999" s="128" t="s">
        <v>1547</v>
      </c>
    </row>
    <row r="1000" spans="1:22" x14ac:dyDescent="0.35">
      <c r="A1000" s="118">
        <v>999</v>
      </c>
      <c r="B1000" s="128" t="s">
        <v>165</v>
      </c>
      <c r="C1000" s="128" t="s">
        <v>230</v>
      </c>
      <c r="D1000" s="128" t="s">
        <v>1945</v>
      </c>
      <c r="E1000" s="128" t="s">
        <v>693</v>
      </c>
      <c r="F1000" s="128">
        <v>1993</v>
      </c>
      <c r="G1000" s="128">
        <v>99</v>
      </c>
      <c r="H1000" s="128">
        <v>26</v>
      </c>
      <c r="I1000" s="128">
        <v>125</v>
      </c>
      <c r="J1000" s="128" t="s">
        <v>4781</v>
      </c>
      <c r="K1000" s="128">
        <v>102.1</v>
      </c>
      <c r="L1000" s="128" t="s">
        <v>4782</v>
      </c>
      <c r="M1000" s="128" t="s">
        <v>4232</v>
      </c>
      <c r="N1000" s="128" t="s">
        <v>3296</v>
      </c>
      <c r="O1000" s="128">
        <v>531</v>
      </c>
      <c r="P1000" s="128">
        <v>112</v>
      </c>
      <c r="Q1000" s="128">
        <v>106</v>
      </c>
      <c r="R1000" s="128">
        <v>204</v>
      </c>
      <c r="S1000" s="128">
        <v>55</v>
      </c>
      <c r="T1000" s="128">
        <v>59</v>
      </c>
      <c r="U1000" s="128">
        <v>536</v>
      </c>
      <c r="V1000" s="128" t="s">
        <v>1547</v>
      </c>
    </row>
    <row r="1001" spans="1:22" x14ac:dyDescent="0.35">
      <c r="A1001" s="118">
        <v>1000</v>
      </c>
      <c r="B1001" s="128" t="s">
        <v>165</v>
      </c>
      <c r="C1001" s="128" t="s">
        <v>230</v>
      </c>
      <c r="D1001" s="128" t="s">
        <v>4783</v>
      </c>
      <c r="E1001" s="128" t="s">
        <v>671</v>
      </c>
      <c r="F1001" s="128">
        <v>1992</v>
      </c>
      <c r="G1001" s="128">
        <v>104</v>
      </c>
      <c r="H1001" s="128">
        <v>4</v>
      </c>
      <c r="I1001" s="128">
        <v>108</v>
      </c>
      <c r="J1001" s="128" t="s">
        <v>4784</v>
      </c>
      <c r="K1001" s="128">
        <v>97.1</v>
      </c>
      <c r="L1001" s="128" t="s">
        <v>4785</v>
      </c>
      <c r="M1001" s="128" t="s">
        <v>1908</v>
      </c>
      <c r="N1001" s="128" t="s">
        <v>4786</v>
      </c>
      <c r="O1001" s="128">
        <v>539</v>
      </c>
      <c r="P1001" s="128">
        <v>107</v>
      </c>
      <c r="Q1001" s="128">
        <v>111</v>
      </c>
      <c r="R1001" s="128">
        <v>211</v>
      </c>
      <c r="S1001" s="128">
        <v>58</v>
      </c>
      <c r="T1001" s="128">
        <v>55</v>
      </c>
      <c r="U1001" s="128">
        <v>542</v>
      </c>
      <c r="V1001" s="128" t="s">
        <v>1547</v>
      </c>
    </row>
    <row r="1002" spans="1:22" x14ac:dyDescent="0.35">
      <c r="A1002" s="118">
        <v>1001</v>
      </c>
      <c r="B1002" s="128" t="s">
        <v>165</v>
      </c>
      <c r="C1002" s="128" t="s">
        <v>230</v>
      </c>
      <c r="D1002" s="128" t="s">
        <v>4783</v>
      </c>
      <c r="E1002" s="128" t="s">
        <v>692</v>
      </c>
      <c r="F1002" s="128">
        <v>1995</v>
      </c>
      <c r="G1002" s="128">
        <v>114</v>
      </c>
      <c r="H1002" s="128">
        <v>9</v>
      </c>
      <c r="I1002" s="128">
        <v>123</v>
      </c>
      <c r="J1002" s="128" t="s">
        <v>4742</v>
      </c>
      <c r="K1002" s="128">
        <v>112.1</v>
      </c>
      <c r="L1002" s="128" t="s">
        <v>2584</v>
      </c>
      <c r="M1002" s="128" t="s">
        <v>4787</v>
      </c>
      <c r="N1002" s="128" t="s">
        <v>1830</v>
      </c>
      <c r="O1002" s="128">
        <v>538</v>
      </c>
      <c r="P1002" s="128">
        <v>110</v>
      </c>
      <c r="Q1002" s="128">
        <v>109</v>
      </c>
      <c r="R1002" s="128">
        <v>208</v>
      </c>
      <c r="S1002" s="128">
        <v>66</v>
      </c>
      <c r="T1002" s="128">
        <v>52</v>
      </c>
      <c r="U1002" s="128">
        <v>545</v>
      </c>
      <c r="V1002" s="128" t="s">
        <v>1547</v>
      </c>
    </row>
    <row r="1003" spans="1:22" x14ac:dyDescent="0.35">
      <c r="A1003" s="118">
        <v>1002</v>
      </c>
      <c r="B1003" s="128" t="s">
        <v>165</v>
      </c>
      <c r="C1003" s="128" t="s">
        <v>230</v>
      </c>
      <c r="D1003" s="128" t="s">
        <v>4783</v>
      </c>
      <c r="E1003" s="128" t="s">
        <v>691</v>
      </c>
      <c r="F1003" s="128">
        <v>1996</v>
      </c>
      <c r="G1003" s="128">
        <v>70</v>
      </c>
      <c r="H1003" s="128">
        <v>2</v>
      </c>
      <c r="I1003" s="128">
        <v>72</v>
      </c>
      <c r="J1003" s="128" t="s">
        <v>4781</v>
      </c>
      <c r="K1003" s="128">
        <v>98.3</v>
      </c>
      <c r="L1003" s="128" t="s">
        <v>3213</v>
      </c>
      <c r="M1003" s="128" t="s">
        <v>4788</v>
      </c>
      <c r="N1003" s="128" t="s">
        <v>1536</v>
      </c>
      <c r="O1003" s="128">
        <v>522</v>
      </c>
      <c r="P1003" s="128">
        <v>110</v>
      </c>
      <c r="Q1003" s="128">
        <v>95</v>
      </c>
      <c r="R1003" s="128">
        <v>201</v>
      </c>
      <c r="S1003" s="128">
        <v>61</v>
      </c>
      <c r="T1003" s="128">
        <v>71</v>
      </c>
      <c r="U1003" s="128">
        <v>538</v>
      </c>
      <c r="V1003" s="128" t="s">
        <v>1547</v>
      </c>
    </row>
    <row r="1004" spans="1:22" x14ac:dyDescent="0.35">
      <c r="A1004" s="118">
        <v>1003</v>
      </c>
      <c r="B1004" s="128" t="s">
        <v>165</v>
      </c>
      <c r="C1004" s="128" t="s">
        <v>230</v>
      </c>
      <c r="D1004" s="128" t="s">
        <v>4789</v>
      </c>
      <c r="E1004" s="128" t="s">
        <v>1206</v>
      </c>
      <c r="F1004" s="128">
        <v>1984</v>
      </c>
      <c r="G1004" s="128">
        <v>58</v>
      </c>
      <c r="H1004" s="128">
        <v>1</v>
      </c>
      <c r="I1004" s="128">
        <v>59</v>
      </c>
      <c r="J1004" s="128" t="s">
        <v>4790</v>
      </c>
      <c r="K1004" s="128">
        <v>95.3</v>
      </c>
      <c r="L1004" s="128" t="s">
        <v>4791</v>
      </c>
      <c r="M1004" s="128" t="s">
        <v>4792</v>
      </c>
      <c r="N1004" s="128" t="s">
        <v>4793</v>
      </c>
      <c r="O1004" s="128">
        <v>582</v>
      </c>
      <c r="P1004" s="128">
        <v>114</v>
      </c>
      <c r="Q1004" s="128">
        <v>100</v>
      </c>
      <c r="R1004" s="128">
        <v>237</v>
      </c>
      <c r="S1004" s="128">
        <v>62</v>
      </c>
      <c r="T1004" s="128">
        <v>72</v>
      </c>
      <c r="U1004" s="128">
        <v>585</v>
      </c>
      <c r="V1004" s="128" t="s">
        <v>1547</v>
      </c>
    </row>
    <row r="1005" spans="1:22" x14ac:dyDescent="0.35">
      <c r="A1005" s="118">
        <v>1004</v>
      </c>
      <c r="B1005" s="128" t="s">
        <v>165</v>
      </c>
      <c r="C1005" s="128" t="s">
        <v>230</v>
      </c>
      <c r="D1005" s="128" t="s">
        <v>4789</v>
      </c>
      <c r="E1005" s="128" t="s">
        <v>66</v>
      </c>
      <c r="F1005" s="128">
        <v>1982</v>
      </c>
      <c r="G1005" s="128">
        <v>71</v>
      </c>
      <c r="H1005" s="128">
        <v>14</v>
      </c>
      <c r="I1005" s="128">
        <v>85</v>
      </c>
      <c r="J1005" s="128" t="s">
        <v>4794</v>
      </c>
      <c r="K1005" s="128">
        <v>98.5</v>
      </c>
      <c r="L1005" s="128" t="s">
        <v>4239</v>
      </c>
      <c r="M1005" s="128" t="s">
        <v>1830</v>
      </c>
      <c r="N1005" s="128" t="s">
        <v>4795</v>
      </c>
      <c r="O1005" s="128">
        <v>724</v>
      </c>
      <c r="P1005" s="128">
        <v>140</v>
      </c>
      <c r="Q1005" s="128">
        <v>121</v>
      </c>
      <c r="R1005" s="128">
        <v>303</v>
      </c>
      <c r="S1005" s="128">
        <v>83</v>
      </c>
      <c r="T1005" s="128">
        <v>85</v>
      </c>
      <c r="U1005" s="128">
        <v>732</v>
      </c>
      <c r="V1005" s="128" t="s">
        <v>2702</v>
      </c>
    </row>
    <row r="1006" spans="1:22" x14ac:dyDescent="0.35">
      <c r="A1006" s="118">
        <v>1005</v>
      </c>
      <c r="B1006" s="128" t="s">
        <v>165</v>
      </c>
      <c r="C1006" s="128" t="s">
        <v>230</v>
      </c>
      <c r="D1006" s="128" t="s">
        <v>4796</v>
      </c>
      <c r="E1006" s="128" t="s">
        <v>690</v>
      </c>
      <c r="F1006" s="128">
        <v>1996</v>
      </c>
      <c r="G1006" s="128">
        <v>58</v>
      </c>
      <c r="H1006" s="128">
        <v>4</v>
      </c>
      <c r="I1006" s="128">
        <v>62</v>
      </c>
      <c r="J1006" s="128" t="s">
        <v>4797</v>
      </c>
      <c r="K1006" s="128">
        <v>78.7</v>
      </c>
      <c r="L1006" s="128" t="s">
        <v>1706</v>
      </c>
      <c r="M1006" s="128" t="s">
        <v>4798</v>
      </c>
      <c r="N1006" s="128" t="s">
        <v>1647</v>
      </c>
      <c r="O1006" s="128">
        <v>547</v>
      </c>
      <c r="P1006" s="128">
        <v>112</v>
      </c>
      <c r="Q1006" s="128">
        <v>105</v>
      </c>
      <c r="R1006" s="128">
        <v>199</v>
      </c>
      <c r="S1006" s="128">
        <v>78</v>
      </c>
      <c r="T1006" s="128">
        <v>61</v>
      </c>
      <c r="U1006" s="128">
        <v>555</v>
      </c>
      <c r="V1006" s="128" t="s">
        <v>1547</v>
      </c>
    </row>
    <row r="1007" spans="1:22" x14ac:dyDescent="0.35">
      <c r="A1007" s="118">
        <v>1006</v>
      </c>
      <c r="B1007" s="128" t="s">
        <v>165</v>
      </c>
      <c r="C1007" s="128" t="s">
        <v>230</v>
      </c>
      <c r="D1007" s="128" t="s">
        <v>4796</v>
      </c>
      <c r="E1007" s="128" t="s">
        <v>510</v>
      </c>
      <c r="F1007" s="128">
        <v>1987</v>
      </c>
      <c r="G1007" s="128">
        <v>99</v>
      </c>
      <c r="H1007" s="128">
        <v>19</v>
      </c>
      <c r="I1007" s="128">
        <v>118</v>
      </c>
      <c r="J1007" s="128" t="s">
        <v>4745</v>
      </c>
      <c r="K1007" s="128">
        <v>108.8</v>
      </c>
      <c r="L1007" s="128" t="s">
        <v>4062</v>
      </c>
      <c r="M1007" s="128" t="s">
        <v>1813</v>
      </c>
      <c r="N1007" s="128" t="s">
        <v>4799</v>
      </c>
      <c r="O1007" s="128">
        <v>570</v>
      </c>
      <c r="P1007" s="128">
        <v>116</v>
      </c>
      <c r="Q1007" s="128">
        <v>104</v>
      </c>
      <c r="R1007" s="128">
        <v>211</v>
      </c>
      <c r="S1007" s="128">
        <v>66</v>
      </c>
      <c r="T1007" s="128">
        <v>77</v>
      </c>
      <c r="U1007" s="128">
        <v>574</v>
      </c>
      <c r="V1007" s="128" t="s">
        <v>1547</v>
      </c>
    </row>
    <row r="1008" spans="1:22" x14ac:dyDescent="0.35">
      <c r="A1008" s="118">
        <v>1007</v>
      </c>
      <c r="B1008" s="128" t="s">
        <v>165</v>
      </c>
      <c r="C1008" s="128" t="s">
        <v>230</v>
      </c>
      <c r="D1008" s="128" t="s">
        <v>3900</v>
      </c>
      <c r="E1008" s="128" t="s">
        <v>438</v>
      </c>
      <c r="F1008" s="128">
        <v>1992</v>
      </c>
      <c r="G1008" s="128">
        <v>86</v>
      </c>
      <c r="H1008" s="128">
        <v>15</v>
      </c>
      <c r="I1008" s="128">
        <v>101</v>
      </c>
      <c r="J1008" s="128" t="s">
        <v>4800</v>
      </c>
      <c r="K1008" s="128">
        <v>107.5</v>
      </c>
      <c r="L1008" s="128" t="s">
        <v>4801</v>
      </c>
      <c r="M1008" s="128" t="s">
        <v>1768</v>
      </c>
      <c r="N1008" s="128" t="s">
        <v>4750</v>
      </c>
      <c r="O1008" s="128">
        <v>541</v>
      </c>
      <c r="P1008" s="128">
        <v>110</v>
      </c>
      <c r="Q1008" s="128">
        <v>97</v>
      </c>
      <c r="R1008" s="128">
        <v>203</v>
      </c>
      <c r="S1008" s="128">
        <v>71</v>
      </c>
      <c r="T1008" s="128">
        <v>69</v>
      </c>
      <c r="U1008" s="128">
        <v>550</v>
      </c>
      <c r="V1008" s="128" t="s">
        <v>1547</v>
      </c>
    </row>
    <row r="1009" spans="1:22" x14ac:dyDescent="0.35">
      <c r="A1009" s="118">
        <v>1008</v>
      </c>
      <c r="B1009" s="128" t="s">
        <v>165</v>
      </c>
      <c r="C1009" s="128" t="s">
        <v>230</v>
      </c>
      <c r="D1009" s="128" t="s">
        <v>4775</v>
      </c>
      <c r="E1009" s="128" t="s">
        <v>424</v>
      </c>
      <c r="F1009" s="128">
        <v>1993</v>
      </c>
      <c r="G1009" s="128">
        <v>109</v>
      </c>
      <c r="H1009" s="128">
        <v>9</v>
      </c>
      <c r="I1009" s="128">
        <v>118</v>
      </c>
      <c r="J1009" s="128" t="s">
        <v>4802</v>
      </c>
      <c r="K1009" s="128">
        <v>99.2</v>
      </c>
      <c r="L1009" s="128" t="s">
        <v>4803</v>
      </c>
      <c r="M1009" s="128" t="s">
        <v>4804</v>
      </c>
      <c r="N1009" s="128" t="s">
        <v>4805</v>
      </c>
      <c r="O1009" s="128">
        <v>528</v>
      </c>
      <c r="P1009" s="128">
        <v>121</v>
      </c>
      <c r="Q1009" s="128">
        <v>103</v>
      </c>
      <c r="R1009" s="128">
        <v>197</v>
      </c>
      <c r="S1009" s="128">
        <v>55</v>
      </c>
      <c r="T1009" s="128">
        <v>56</v>
      </c>
      <c r="U1009" s="128">
        <v>532</v>
      </c>
      <c r="V1009" s="128" t="s">
        <v>1547</v>
      </c>
    </row>
    <row r="1010" spans="1:22" x14ac:dyDescent="0.35">
      <c r="A1010" s="118">
        <v>1009</v>
      </c>
      <c r="B1010" s="128" t="s">
        <v>165</v>
      </c>
      <c r="C1010" s="128" t="s">
        <v>230</v>
      </c>
      <c r="D1010" s="128" t="s">
        <v>4806</v>
      </c>
      <c r="E1010" s="128" t="s">
        <v>4807</v>
      </c>
      <c r="F1010" s="128">
        <v>1988</v>
      </c>
      <c r="G1010" s="128">
        <v>159</v>
      </c>
      <c r="H1010" s="128">
        <v>27</v>
      </c>
      <c r="I1010" s="128">
        <v>186</v>
      </c>
      <c r="J1010" s="128" t="s">
        <v>4797</v>
      </c>
      <c r="K1010" s="128">
        <v>119.8</v>
      </c>
      <c r="L1010" s="128" t="s">
        <v>2585</v>
      </c>
      <c r="M1010" s="128" t="s">
        <v>3055</v>
      </c>
      <c r="N1010" s="128" t="s">
        <v>4808</v>
      </c>
      <c r="O1010" s="128">
        <v>549</v>
      </c>
      <c r="P1010" s="128">
        <v>106</v>
      </c>
      <c r="Q1010" s="128">
        <v>108</v>
      </c>
      <c r="R1010" s="128">
        <v>198</v>
      </c>
      <c r="S1010" s="128">
        <v>65</v>
      </c>
      <c r="T1010" s="128">
        <v>75</v>
      </c>
      <c r="U1010" s="128">
        <v>552</v>
      </c>
      <c r="V1010" s="128" t="s">
        <v>1547</v>
      </c>
    </row>
    <row r="1011" spans="1:22" x14ac:dyDescent="0.35">
      <c r="A1011" s="118">
        <v>1010</v>
      </c>
      <c r="B1011" s="128" t="s">
        <v>165</v>
      </c>
      <c r="C1011" s="128" t="s">
        <v>230</v>
      </c>
      <c r="D1011" s="128" t="s">
        <v>1945</v>
      </c>
      <c r="E1011" s="128" t="s">
        <v>4809</v>
      </c>
      <c r="F1011" s="128">
        <v>2013</v>
      </c>
      <c r="G1011" s="128"/>
      <c r="H1011" s="128">
        <v>31</v>
      </c>
      <c r="I1011" s="128">
        <v>31</v>
      </c>
      <c r="J1011" s="128" t="s">
        <v>4810</v>
      </c>
      <c r="K1011" s="128">
        <v>10</v>
      </c>
      <c r="L1011" s="128" t="s">
        <v>4811</v>
      </c>
      <c r="M1011" s="128" t="s">
        <v>4812</v>
      </c>
      <c r="N1011" s="128" t="s">
        <v>4708</v>
      </c>
      <c r="O1011" s="128">
        <v>370</v>
      </c>
      <c r="P1011" s="128">
        <v>82</v>
      </c>
      <c r="Q1011" s="128">
        <v>64</v>
      </c>
      <c r="R1011" s="128">
        <v>147</v>
      </c>
      <c r="S1011" s="128">
        <v>35</v>
      </c>
      <c r="T1011" s="128">
        <v>45</v>
      </c>
      <c r="U1011" s="128">
        <v>373</v>
      </c>
      <c r="V1011" s="128" t="s">
        <v>2643</v>
      </c>
    </row>
    <row r="1012" spans="1:22" x14ac:dyDescent="0.35">
      <c r="A1012" s="118">
        <v>1011</v>
      </c>
      <c r="B1012" s="128" t="s">
        <v>165</v>
      </c>
      <c r="C1012" s="128" t="s">
        <v>6253</v>
      </c>
      <c r="D1012" s="128" t="s">
        <v>1517</v>
      </c>
      <c r="E1012" s="128" t="s">
        <v>688</v>
      </c>
      <c r="F1012" s="128">
        <v>1985</v>
      </c>
      <c r="G1012" s="128">
        <v>54</v>
      </c>
      <c r="H1012" s="128">
        <v>0</v>
      </c>
      <c r="I1012" s="128">
        <v>54</v>
      </c>
      <c r="J1012" s="128" t="s">
        <v>4813</v>
      </c>
      <c r="K1012" s="128">
        <v>91.88</v>
      </c>
      <c r="L1012" s="128" t="s">
        <v>4814</v>
      </c>
      <c r="M1012" s="128" t="s">
        <v>4815</v>
      </c>
      <c r="N1012" s="128" t="s">
        <v>4816</v>
      </c>
      <c r="O1012" s="128">
        <v>578</v>
      </c>
      <c r="P1012" s="128">
        <v>123</v>
      </c>
      <c r="Q1012" s="128">
        <v>105</v>
      </c>
      <c r="R1012" s="128">
        <v>205</v>
      </c>
      <c r="S1012" s="128">
        <v>72</v>
      </c>
      <c r="T1012" s="128">
        <v>74</v>
      </c>
      <c r="U1012" s="128">
        <v>579</v>
      </c>
      <c r="V1012" s="128" t="s">
        <v>1397</v>
      </c>
    </row>
    <row r="1013" spans="1:22" x14ac:dyDescent="0.35">
      <c r="A1013" s="118">
        <v>1012</v>
      </c>
      <c r="B1013" s="128" t="s">
        <v>165</v>
      </c>
      <c r="C1013" s="128" t="s">
        <v>6253</v>
      </c>
      <c r="D1013" s="128" t="s">
        <v>1517</v>
      </c>
      <c r="E1013" s="128" t="s">
        <v>4817</v>
      </c>
      <c r="F1013" s="128">
        <v>1988</v>
      </c>
      <c r="G1013" s="128">
        <v>50</v>
      </c>
      <c r="H1013" s="128">
        <v>10</v>
      </c>
      <c r="I1013" s="128">
        <v>60</v>
      </c>
      <c r="J1013" s="128" t="s">
        <v>4818</v>
      </c>
      <c r="K1013" s="128">
        <v>49.25</v>
      </c>
      <c r="L1013" s="128" t="s">
        <v>4819</v>
      </c>
      <c r="M1013" s="128" t="s">
        <v>4820</v>
      </c>
      <c r="N1013" s="128" t="s">
        <v>4821</v>
      </c>
      <c r="O1013" s="128">
        <v>536</v>
      </c>
      <c r="P1013" s="128">
        <v>104</v>
      </c>
      <c r="Q1013" s="128">
        <v>90</v>
      </c>
      <c r="R1013" s="128">
        <v>200</v>
      </c>
      <c r="S1013" s="128">
        <v>71</v>
      </c>
      <c r="T1013" s="128">
        <v>55</v>
      </c>
      <c r="U1013" s="128">
        <v>539</v>
      </c>
      <c r="V1013" s="128" t="s">
        <v>1397</v>
      </c>
    </row>
    <row r="1014" spans="1:22" x14ac:dyDescent="0.35">
      <c r="A1014" s="118">
        <v>1013</v>
      </c>
      <c r="B1014" s="128" t="s">
        <v>165</v>
      </c>
      <c r="C1014" s="128" t="s">
        <v>6253</v>
      </c>
      <c r="D1014" s="128" t="s">
        <v>4822</v>
      </c>
      <c r="E1014" s="128" t="s">
        <v>448</v>
      </c>
      <c r="F1014" s="128">
        <v>1993</v>
      </c>
      <c r="G1014" s="128">
        <v>77</v>
      </c>
      <c r="H1014" s="128">
        <v>13</v>
      </c>
      <c r="I1014" s="128">
        <v>90</v>
      </c>
      <c r="J1014" s="128" t="s">
        <v>4823</v>
      </c>
      <c r="K1014" s="128">
        <v>34.25</v>
      </c>
      <c r="L1014" s="128" t="s">
        <v>4824</v>
      </c>
      <c r="M1014" s="128" t="s">
        <v>4825</v>
      </c>
      <c r="N1014" s="128" t="s">
        <v>4826</v>
      </c>
      <c r="O1014" s="128">
        <v>600</v>
      </c>
      <c r="P1014" s="128">
        <v>125</v>
      </c>
      <c r="Q1014" s="128">
        <v>105</v>
      </c>
      <c r="R1014" s="128">
        <v>227</v>
      </c>
      <c r="S1014" s="128">
        <v>74</v>
      </c>
      <c r="T1014" s="128">
        <v>72</v>
      </c>
      <c r="U1014" s="128">
        <v>603</v>
      </c>
      <c r="V1014" s="128" t="s">
        <v>1397</v>
      </c>
    </row>
    <row r="1015" spans="1:22" x14ac:dyDescent="0.35">
      <c r="A1015" s="118">
        <v>1014</v>
      </c>
      <c r="B1015" s="128" t="s">
        <v>165</v>
      </c>
      <c r="C1015" s="128" t="s">
        <v>6253</v>
      </c>
      <c r="D1015" s="128" t="s">
        <v>4822</v>
      </c>
      <c r="E1015" s="128" t="s">
        <v>712</v>
      </c>
      <c r="F1015" s="128">
        <v>1992</v>
      </c>
      <c r="G1015" s="128">
        <v>68</v>
      </c>
      <c r="H1015" s="128">
        <v>4</v>
      </c>
      <c r="I1015" s="128">
        <v>72</v>
      </c>
      <c r="J1015" s="128" t="s">
        <v>4827</v>
      </c>
      <c r="K1015" s="128">
        <v>61.01</v>
      </c>
      <c r="L1015" s="128" t="s">
        <v>4788</v>
      </c>
      <c r="M1015" s="128" t="s">
        <v>4828</v>
      </c>
      <c r="N1015" s="128" t="s">
        <v>4829</v>
      </c>
      <c r="O1015" s="128">
        <v>741</v>
      </c>
      <c r="P1015" s="128">
        <v>143</v>
      </c>
      <c r="Q1015" s="128">
        <v>111</v>
      </c>
      <c r="R1015" s="128">
        <v>306</v>
      </c>
      <c r="S1015" s="128">
        <v>90</v>
      </c>
      <c r="T1015" s="128">
        <v>96</v>
      </c>
      <c r="U1015" s="128">
        <v>746</v>
      </c>
      <c r="V1015" s="128" t="s">
        <v>1417</v>
      </c>
    </row>
    <row r="1016" spans="1:22" x14ac:dyDescent="0.35">
      <c r="A1016" s="118">
        <v>1015</v>
      </c>
      <c r="B1016" s="128" t="s">
        <v>165</v>
      </c>
      <c r="C1016" s="128" t="s">
        <v>6253</v>
      </c>
      <c r="D1016" s="128" t="s">
        <v>4830</v>
      </c>
      <c r="E1016" s="128" t="s">
        <v>4831</v>
      </c>
      <c r="F1016" s="128">
        <v>1995</v>
      </c>
      <c r="G1016" s="128">
        <v>37</v>
      </c>
      <c r="H1016" s="128">
        <v>1</v>
      </c>
      <c r="I1016" s="128">
        <v>38</v>
      </c>
      <c r="J1016" s="128" t="s">
        <v>4827</v>
      </c>
      <c r="K1016" s="128">
        <v>109.22</v>
      </c>
      <c r="L1016" s="128" t="s">
        <v>4832</v>
      </c>
      <c r="M1016" s="128" t="s">
        <v>4833</v>
      </c>
      <c r="N1016" s="128" t="s">
        <v>4834</v>
      </c>
      <c r="O1016" s="128">
        <v>610</v>
      </c>
      <c r="P1016" s="128">
        <v>121</v>
      </c>
      <c r="Q1016" s="128">
        <v>110</v>
      </c>
      <c r="R1016" s="128">
        <v>236</v>
      </c>
      <c r="S1016" s="128">
        <v>73</v>
      </c>
      <c r="T1016" s="128">
        <v>72</v>
      </c>
      <c r="U1016" s="128">
        <v>612</v>
      </c>
      <c r="V1016" s="128" t="s">
        <v>1397</v>
      </c>
    </row>
    <row r="1017" spans="1:22" x14ac:dyDescent="0.35">
      <c r="A1017" s="118">
        <v>1016</v>
      </c>
      <c r="B1017" s="128" t="s">
        <v>165</v>
      </c>
      <c r="C1017" s="128" t="s">
        <v>6253</v>
      </c>
      <c r="D1017" s="128" t="s">
        <v>4830</v>
      </c>
      <c r="E1017" s="128" t="s">
        <v>4835</v>
      </c>
      <c r="F1017" s="128">
        <v>1996</v>
      </c>
      <c r="G1017" s="128">
        <v>100</v>
      </c>
      <c r="H1017" s="128">
        <v>11</v>
      </c>
      <c r="I1017" s="128">
        <v>111</v>
      </c>
      <c r="J1017" s="128" t="s">
        <v>4625</v>
      </c>
      <c r="K1017" s="128">
        <v>69.62</v>
      </c>
      <c r="L1017" s="128" t="s">
        <v>4836</v>
      </c>
      <c r="M1017" s="128" t="s">
        <v>4837</v>
      </c>
      <c r="N1017" s="128" t="s">
        <v>4603</v>
      </c>
      <c r="O1017" s="128">
        <v>660</v>
      </c>
      <c r="P1017" s="128">
        <v>126</v>
      </c>
      <c r="Q1017" s="128">
        <v>112</v>
      </c>
      <c r="R1017" s="128">
        <v>273</v>
      </c>
      <c r="S1017" s="128">
        <v>77</v>
      </c>
      <c r="T1017" s="128">
        <v>74</v>
      </c>
      <c r="U1017" s="128">
        <v>662</v>
      </c>
      <c r="V1017" s="128" t="s">
        <v>1397</v>
      </c>
    </row>
    <row r="1018" spans="1:22" x14ac:dyDescent="0.35">
      <c r="A1018" s="118">
        <v>1017</v>
      </c>
      <c r="B1018" s="128" t="s">
        <v>165</v>
      </c>
      <c r="C1018" s="128" t="s">
        <v>6253</v>
      </c>
      <c r="D1018" s="128" t="s">
        <v>4838</v>
      </c>
      <c r="E1018" s="128" t="s">
        <v>42</v>
      </c>
      <c r="F1018" s="128">
        <v>1984</v>
      </c>
      <c r="G1018" s="128">
        <v>85</v>
      </c>
      <c r="H1018" s="128">
        <v>0</v>
      </c>
      <c r="I1018" s="128">
        <v>85</v>
      </c>
      <c r="J1018" s="128" t="s">
        <v>4839</v>
      </c>
      <c r="K1018" s="128">
        <v>97.48</v>
      </c>
      <c r="L1018" s="128" t="s">
        <v>4840</v>
      </c>
      <c r="M1018" s="128" t="s">
        <v>4841</v>
      </c>
      <c r="N1018" s="128" t="s">
        <v>1919</v>
      </c>
      <c r="O1018" s="128">
        <v>644</v>
      </c>
      <c r="P1018" s="128">
        <v>126</v>
      </c>
      <c r="Q1018" s="128">
        <v>112</v>
      </c>
      <c r="R1018" s="128">
        <v>259</v>
      </c>
      <c r="S1018" s="128">
        <v>75</v>
      </c>
      <c r="T1018" s="128">
        <v>74</v>
      </c>
      <c r="U1018" s="128">
        <v>646</v>
      </c>
      <c r="V1018" s="128" t="s">
        <v>1397</v>
      </c>
    </row>
    <row r="1019" spans="1:22" x14ac:dyDescent="0.35">
      <c r="A1019" s="118">
        <v>1018</v>
      </c>
      <c r="B1019" s="128" t="s">
        <v>165</v>
      </c>
      <c r="C1019" s="128" t="s">
        <v>6253</v>
      </c>
      <c r="D1019" s="128" t="s">
        <v>4838</v>
      </c>
      <c r="E1019" s="128" t="s">
        <v>4842</v>
      </c>
      <c r="F1019" s="128">
        <v>1982</v>
      </c>
      <c r="G1019" s="128">
        <v>43</v>
      </c>
      <c r="H1019" s="128">
        <v>14</v>
      </c>
      <c r="I1019" s="128">
        <v>57</v>
      </c>
      <c r="J1019" s="128" t="s">
        <v>4839</v>
      </c>
      <c r="K1019" s="128">
        <v>63.42</v>
      </c>
      <c r="L1019" s="128" t="s">
        <v>4843</v>
      </c>
      <c r="M1019" s="128" t="s">
        <v>4844</v>
      </c>
      <c r="N1019" s="128" t="s">
        <v>4845</v>
      </c>
      <c r="O1019" s="128">
        <v>605</v>
      </c>
      <c r="P1019" s="128">
        <v>121</v>
      </c>
      <c r="Q1019" s="128">
        <v>110</v>
      </c>
      <c r="R1019" s="128">
        <v>232</v>
      </c>
      <c r="S1019" s="128">
        <v>73</v>
      </c>
      <c r="T1019" s="128">
        <v>73</v>
      </c>
      <c r="U1019" s="128">
        <v>609</v>
      </c>
      <c r="V1019" s="128" t="s">
        <v>1397</v>
      </c>
    </row>
    <row r="1020" spans="1:22" x14ac:dyDescent="0.35">
      <c r="A1020" s="118">
        <v>1019</v>
      </c>
      <c r="B1020" s="128" t="s">
        <v>165</v>
      </c>
      <c r="C1020" s="128" t="s">
        <v>6253</v>
      </c>
      <c r="D1020" s="128" t="s">
        <v>1517</v>
      </c>
      <c r="E1020" s="128" t="s">
        <v>687</v>
      </c>
      <c r="F1020" s="128">
        <v>1996</v>
      </c>
      <c r="G1020" s="128">
        <v>119</v>
      </c>
      <c r="H1020" s="128">
        <v>2</v>
      </c>
      <c r="I1020" s="128">
        <v>121</v>
      </c>
      <c r="J1020" s="128" t="s">
        <v>4846</v>
      </c>
      <c r="K1020" s="128">
        <v>89.29</v>
      </c>
      <c r="L1020" s="128" t="s">
        <v>3910</v>
      </c>
      <c r="M1020" s="128" t="s">
        <v>4847</v>
      </c>
      <c r="N1020" s="128" t="s">
        <v>4848</v>
      </c>
      <c r="O1020" s="128">
        <v>554</v>
      </c>
      <c r="P1020" s="128">
        <v>110</v>
      </c>
      <c r="Q1020" s="128">
        <v>112</v>
      </c>
      <c r="R1020" s="128">
        <v>191</v>
      </c>
      <c r="S1020" s="128">
        <v>72</v>
      </c>
      <c r="T1020" s="128">
        <v>74</v>
      </c>
      <c r="U1020" s="128">
        <v>566</v>
      </c>
      <c r="V1020" s="128" t="s">
        <v>1397</v>
      </c>
    </row>
    <row r="1021" spans="1:22" x14ac:dyDescent="0.35">
      <c r="A1021" s="118">
        <v>1020</v>
      </c>
      <c r="B1021" s="128" t="s">
        <v>165</v>
      </c>
      <c r="C1021" s="128" t="s">
        <v>6253</v>
      </c>
      <c r="D1021" s="128" t="s">
        <v>1517</v>
      </c>
      <c r="E1021" s="128" t="s">
        <v>4849</v>
      </c>
      <c r="F1021" s="128">
        <v>1987</v>
      </c>
      <c r="G1021" s="128">
        <v>24</v>
      </c>
      <c r="H1021" s="128">
        <v>0</v>
      </c>
      <c r="I1021" s="128">
        <v>24</v>
      </c>
      <c r="J1021" s="128" t="s">
        <v>4850</v>
      </c>
      <c r="K1021" s="128">
        <v>34.200000000000003</v>
      </c>
      <c r="L1021" s="128" t="s">
        <v>2381</v>
      </c>
      <c r="M1021" s="128" t="s">
        <v>4851</v>
      </c>
      <c r="N1021" s="128" t="s">
        <v>4092</v>
      </c>
      <c r="O1021" s="128">
        <v>557</v>
      </c>
      <c r="P1021" s="128">
        <v>112</v>
      </c>
      <c r="Q1021" s="128">
        <v>104</v>
      </c>
      <c r="R1021" s="128">
        <v>200</v>
      </c>
      <c r="S1021" s="128">
        <v>75</v>
      </c>
      <c r="T1021" s="128">
        <v>75</v>
      </c>
      <c r="U1021" s="128">
        <v>566</v>
      </c>
      <c r="V1021" s="128" t="s">
        <v>1397</v>
      </c>
    </row>
    <row r="1022" spans="1:22" x14ac:dyDescent="0.35">
      <c r="A1022" s="118">
        <v>1021</v>
      </c>
      <c r="B1022" s="128" t="s">
        <v>165</v>
      </c>
      <c r="C1022" s="128" t="s">
        <v>6253</v>
      </c>
      <c r="D1022" s="128" t="s">
        <v>1517</v>
      </c>
      <c r="E1022" s="128" t="s">
        <v>4852</v>
      </c>
      <c r="F1022" s="128">
        <v>2013</v>
      </c>
      <c r="G1022" s="128">
        <v>0</v>
      </c>
      <c r="H1022" s="128">
        <v>28</v>
      </c>
      <c r="I1022" s="128">
        <v>28</v>
      </c>
      <c r="J1022" s="128" t="s">
        <v>4853</v>
      </c>
      <c r="K1022" s="128">
        <v>10</v>
      </c>
      <c r="L1022" s="128" t="s">
        <v>4854</v>
      </c>
      <c r="M1022" s="128" t="s">
        <v>4855</v>
      </c>
      <c r="N1022" s="128" t="s">
        <v>4856</v>
      </c>
      <c r="O1022" s="128">
        <v>411</v>
      </c>
      <c r="P1022" s="128">
        <v>95</v>
      </c>
      <c r="Q1022" s="128">
        <v>75</v>
      </c>
      <c r="R1022" s="128">
        <v>159</v>
      </c>
      <c r="S1022" s="128">
        <v>35</v>
      </c>
      <c r="T1022" s="128">
        <v>48</v>
      </c>
      <c r="U1022" s="128">
        <v>412</v>
      </c>
      <c r="V1022" s="128" t="s">
        <v>1416</v>
      </c>
    </row>
    <row r="1023" spans="1:22" x14ac:dyDescent="0.35">
      <c r="A1023" s="118">
        <v>1022</v>
      </c>
      <c r="B1023" s="128" t="s">
        <v>165</v>
      </c>
      <c r="C1023" s="128" t="s">
        <v>6253</v>
      </c>
      <c r="D1023" s="128" t="s">
        <v>4830</v>
      </c>
      <c r="E1023" s="128" t="s">
        <v>450</v>
      </c>
      <c r="F1023" s="128">
        <v>2024</v>
      </c>
      <c r="G1023" s="128">
        <v>74</v>
      </c>
      <c r="H1023" s="128">
        <v>13</v>
      </c>
      <c r="I1023" s="128">
        <v>87</v>
      </c>
      <c r="J1023" s="128" t="s">
        <v>4857</v>
      </c>
      <c r="K1023" s="128">
        <v>35</v>
      </c>
      <c r="L1023" s="128" t="s">
        <v>4858</v>
      </c>
      <c r="M1023" s="128" t="s">
        <v>4859</v>
      </c>
      <c r="N1023" s="128" t="s">
        <v>4860</v>
      </c>
      <c r="O1023" s="128">
        <v>0</v>
      </c>
      <c r="P1023" s="128">
        <v>6</v>
      </c>
      <c r="Q1023" s="128">
        <v>9</v>
      </c>
      <c r="R1023" s="128">
        <v>5</v>
      </c>
      <c r="S1023" s="128">
        <v>0</v>
      </c>
      <c r="T1023" s="128">
        <v>3</v>
      </c>
      <c r="U1023" s="128">
        <v>23</v>
      </c>
      <c r="V1023" s="128" t="s">
        <v>1396</v>
      </c>
    </row>
    <row r="1024" spans="1:22" x14ac:dyDescent="0.35">
      <c r="A1024" s="118">
        <v>1023</v>
      </c>
      <c r="B1024" s="128" t="s">
        <v>165</v>
      </c>
      <c r="C1024" s="128" t="s">
        <v>228</v>
      </c>
      <c r="D1024" s="128" t="s">
        <v>1517</v>
      </c>
      <c r="E1024" s="128" t="s">
        <v>672</v>
      </c>
      <c r="F1024" s="128">
        <v>1981</v>
      </c>
      <c r="G1024" s="128">
        <v>69</v>
      </c>
      <c r="H1024" s="128" t="s">
        <v>4422</v>
      </c>
      <c r="I1024" s="128">
        <v>69</v>
      </c>
      <c r="J1024" s="128" t="s">
        <v>4617</v>
      </c>
      <c r="K1024" s="128">
        <v>69</v>
      </c>
      <c r="L1024" s="128" t="s">
        <v>4861</v>
      </c>
      <c r="M1024" s="128" t="s">
        <v>4501</v>
      </c>
      <c r="N1024" s="128" t="s">
        <v>4862</v>
      </c>
      <c r="O1024" s="128">
        <v>620</v>
      </c>
      <c r="P1024" s="128">
        <v>128</v>
      </c>
      <c r="Q1024" s="128">
        <v>116</v>
      </c>
      <c r="R1024" s="128">
        <v>235</v>
      </c>
      <c r="S1024" s="128">
        <v>73</v>
      </c>
      <c r="T1024" s="128">
        <v>71</v>
      </c>
      <c r="U1024" s="128">
        <v>623</v>
      </c>
      <c r="V1024" s="128" t="s">
        <v>1547</v>
      </c>
    </row>
    <row r="1025" spans="1:22" x14ac:dyDescent="0.35">
      <c r="A1025" s="118">
        <v>1024</v>
      </c>
      <c r="B1025" s="128" t="s">
        <v>165</v>
      </c>
      <c r="C1025" s="128" t="s">
        <v>228</v>
      </c>
      <c r="D1025" s="128" t="s">
        <v>1517</v>
      </c>
      <c r="E1025" s="128" t="s">
        <v>4863</v>
      </c>
      <c r="F1025" s="128">
        <v>1982</v>
      </c>
      <c r="G1025" s="128">
        <v>51</v>
      </c>
      <c r="H1025" s="128">
        <v>1</v>
      </c>
      <c r="I1025" s="128">
        <v>52</v>
      </c>
      <c r="J1025" s="128" t="s">
        <v>1509</v>
      </c>
      <c r="K1025" s="128">
        <v>95</v>
      </c>
      <c r="L1025" s="128" t="s">
        <v>4056</v>
      </c>
      <c r="M1025" s="128" t="s">
        <v>1776</v>
      </c>
      <c r="N1025" s="128" t="s">
        <v>1770</v>
      </c>
      <c r="O1025" s="128">
        <v>581</v>
      </c>
      <c r="P1025" s="128">
        <v>128</v>
      </c>
      <c r="Q1025" s="128">
        <v>108</v>
      </c>
      <c r="R1025" s="128">
        <v>196</v>
      </c>
      <c r="S1025" s="128">
        <v>78</v>
      </c>
      <c r="T1025" s="128">
        <v>72</v>
      </c>
      <c r="U1025" s="128">
        <v>582</v>
      </c>
      <c r="V1025" s="128" t="s">
        <v>1547</v>
      </c>
    </row>
    <row r="1026" spans="1:22" x14ac:dyDescent="0.35">
      <c r="A1026" s="118">
        <v>1025</v>
      </c>
      <c r="B1026" s="128" t="s">
        <v>165</v>
      </c>
      <c r="C1026" s="128" t="s">
        <v>228</v>
      </c>
      <c r="D1026" s="128" t="s">
        <v>4864</v>
      </c>
      <c r="E1026" s="128" t="s">
        <v>679</v>
      </c>
      <c r="F1026" s="128">
        <v>1982</v>
      </c>
      <c r="G1026" s="128">
        <v>53</v>
      </c>
      <c r="H1026" s="128">
        <v>2</v>
      </c>
      <c r="I1026" s="128">
        <v>55</v>
      </c>
      <c r="J1026" s="128" t="s">
        <v>4617</v>
      </c>
      <c r="K1026" s="128">
        <v>97</v>
      </c>
      <c r="L1026" s="128" t="s">
        <v>4865</v>
      </c>
      <c r="M1026" s="128" t="s">
        <v>4866</v>
      </c>
      <c r="N1026" s="128" t="s">
        <v>4867</v>
      </c>
      <c r="O1026" s="128">
        <v>635</v>
      </c>
      <c r="P1026" s="128">
        <v>123</v>
      </c>
      <c r="Q1026" s="128">
        <v>106</v>
      </c>
      <c r="R1026" s="128">
        <v>262</v>
      </c>
      <c r="S1026" s="128">
        <v>73</v>
      </c>
      <c r="T1026" s="128">
        <v>72</v>
      </c>
      <c r="U1026" s="128">
        <v>636</v>
      </c>
      <c r="V1026" s="128" t="s">
        <v>1547</v>
      </c>
    </row>
    <row r="1027" spans="1:22" x14ac:dyDescent="0.35">
      <c r="A1027" s="118">
        <v>1026</v>
      </c>
      <c r="B1027" s="128" t="s">
        <v>165</v>
      </c>
      <c r="C1027" s="128" t="s">
        <v>228</v>
      </c>
      <c r="D1027" s="128" t="s">
        <v>4864</v>
      </c>
      <c r="E1027" s="128" t="s">
        <v>4868</v>
      </c>
      <c r="F1027" s="128">
        <v>1982</v>
      </c>
      <c r="G1027" s="128">
        <v>52</v>
      </c>
      <c r="H1027" s="128">
        <v>3</v>
      </c>
      <c r="I1027" s="128">
        <v>55</v>
      </c>
      <c r="J1027" s="128" t="s">
        <v>4869</v>
      </c>
      <c r="K1027" s="128">
        <v>97</v>
      </c>
      <c r="L1027" s="128" t="s">
        <v>2243</v>
      </c>
      <c r="M1027" s="128" t="s">
        <v>2133</v>
      </c>
      <c r="N1027" s="128" t="s">
        <v>2375</v>
      </c>
      <c r="O1027" s="128">
        <v>639</v>
      </c>
      <c r="P1027" s="128">
        <v>118</v>
      </c>
      <c r="Q1027" s="128">
        <v>104</v>
      </c>
      <c r="R1027" s="128">
        <v>273</v>
      </c>
      <c r="S1027" s="128">
        <v>76</v>
      </c>
      <c r="T1027" s="128">
        <v>73</v>
      </c>
      <c r="U1027" s="128">
        <v>644</v>
      </c>
      <c r="V1027" s="128" t="s">
        <v>1547</v>
      </c>
    </row>
    <row r="1028" spans="1:22" x14ac:dyDescent="0.35">
      <c r="A1028" s="118">
        <v>1027</v>
      </c>
      <c r="B1028" s="128" t="s">
        <v>165</v>
      </c>
      <c r="C1028" s="128" t="s">
        <v>228</v>
      </c>
      <c r="D1028" s="128" t="s">
        <v>3897</v>
      </c>
      <c r="E1028" s="128" t="s">
        <v>677</v>
      </c>
      <c r="F1028" s="128">
        <v>1981</v>
      </c>
      <c r="G1028" s="128">
        <v>56</v>
      </c>
      <c r="H1028" s="128">
        <v>1</v>
      </c>
      <c r="I1028" s="128">
        <v>57</v>
      </c>
      <c r="J1028" s="128" t="s">
        <v>4617</v>
      </c>
      <c r="K1028" s="128">
        <v>89</v>
      </c>
      <c r="L1028" s="128" t="s">
        <v>4870</v>
      </c>
      <c r="M1028" s="128" t="s">
        <v>1856</v>
      </c>
      <c r="N1028" s="128" t="s">
        <v>3005</v>
      </c>
      <c r="O1028" s="128">
        <v>751</v>
      </c>
      <c r="P1028" s="128">
        <v>156</v>
      </c>
      <c r="Q1028" s="128">
        <v>132</v>
      </c>
      <c r="R1028" s="128">
        <v>297</v>
      </c>
      <c r="S1028" s="128">
        <v>85</v>
      </c>
      <c r="T1028" s="128">
        <v>83</v>
      </c>
      <c r="U1028" s="128">
        <v>753</v>
      </c>
      <c r="V1028" s="128" t="s">
        <v>2702</v>
      </c>
    </row>
    <row r="1029" spans="1:22" x14ac:dyDescent="0.35">
      <c r="A1029" s="118">
        <v>1028</v>
      </c>
      <c r="B1029" s="128" t="s">
        <v>165</v>
      </c>
      <c r="C1029" s="128" t="s">
        <v>228</v>
      </c>
      <c r="D1029" s="128" t="s">
        <v>3897</v>
      </c>
      <c r="E1029" s="128" t="s">
        <v>676</v>
      </c>
      <c r="F1029" s="128">
        <v>1982</v>
      </c>
      <c r="G1029" s="128">
        <v>46</v>
      </c>
      <c r="H1029" s="128" t="s">
        <v>4422</v>
      </c>
      <c r="I1029" s="128">
        <v>46</v>
      </c>
      <c r="J1029" s="128" t="s">
        <v>4617</v>
      </c>
      <c r="K1029" s="128">
        <v>95</v>
      </c>
      <c r="L1029" s="128" t="s">
        <v>2214</v>
      </c>
      <c r="M1029" s="128" t="s">
        <v>4871</v>
      </c>
      <c r="N1029" s="128" t="s">
        <v>4872</v>
      </c>
      <c r="O1029" s="128">
        <v>734</v>
      </c>
      <c r="P1029" s="128">
        <v>152</v>
      </c>
      <c r="Q1029" s="128">
        <v>124</v>
      </c>
      <c r="R1029" s="128">
        <v>295</v>
      </c>
      <c r="S1029" s="128">
        <v>82</v>
      </c>
      <c r="T1029" s="128">
        <v>83</v>
      </c>
      <c r="U1029" s="128">
        <v>736</v>
      </c>
      <c r="V1029" s="128" t="s">
        <v>2702</v>
      </c>
    </row>
    <row r="1030" spans="1:22" x14ac:dyDescent="0.35">
      <c r="A1030" s="118">
        <v>1029</v>
      </c>
      <c r="B1030" s="128" t="s">
        <v>165</v>
      </c>
      <c r="C1030" s="128" t="s">
        <v>228</v>
      </c>
      <c r="D1030" s="128" t="s">
        <v>3897</v>
      </c>
      <c r="E1030" s="128" t="s">
        <v>675</v>
      </c>
      <c r="F1030" s="128">
        <v>1982</v>
      </c>
      <c r="G1030" s="128">
        <v>83</v>
      </c>
      <c r="H1030" s="128" t="s">
        <v>4422</v>
      </c>
      <c r="I1030" s="128">
        <v>83</v>
      </c>
      <c r="J1030" s="128" t="s">
        <v>4617</v>
      </c>
      <c r="K1030" s="128">
        <v>86</v>
      </c>
      <c r="L1030" s="128" t="s">
        <v>4873</v>
      </c>
      <c r="M1030" s="128" t="s">
        <v>4874</v>
      </c>
      <c r="N1030" s="128" t="s">
        <v>4875</v>
      </c>
      <c r="O1030" s="128">
        <v>626</v>
      </c>
      <c r="P1030" s="128">
        <v>122</v>
      </c>
      <c r="Q1030" s="128">
        <v>106</v>
      </c>
      <c r="R1030" s="128">
        <v>255</v>
      </c>
      <c r="S1030" s="128">
        <v>74</v>
      </c>
      <c r="T1030" s="128">
        <v>72</v>
      </c>
      <c r="U1030" s="128">
        <v>629</v>
      </c>
      <c r="V1030" s="128" t="s">
        <v>1547</v>
      </c>
    </row>
    <row r="1031" spans="1:22" x14ac:dyDescent="0.35">
      <c r="A1031" s="118">
        <v>1030</v>
      </c>
      <c r="B1031" s="128" t="s">
        <v>165</v>
      </c>
      <c r="C1031" s="128" t="s">
        <v>228</v>
      </c>
      <c r="D1031" s="128" t="s">
        <v>3897</v>
      </c>
      <c r="E1031" s="128" t="s">
        <v>442</v>
      </c>
      <c r="F1031" s="128">
        <v>1982</v>
      </c>
      <c r="G1031" s="128">
        <v>64</v>
      </c>
      <c r="H1031" s="128">
        <v>1</v>
      </c>
      <c r="I1031" s="128">
        <v>65</v>
      </c>
      <c r="J1031" s="128" t="s">
        <v>4617</v>
      </c>
      <c r="K1031" s="128">
        <v>88</v>
      </c>
      <c r="L1031" s="128" t="s">
        <v>4580</v>
      </c>
      <c r="M1031" s="128" t="s">
        <v>3065</v>
      </c>
      <c r="N1031" s="128" t="s">
        <v>1727</v>
      </c>
      <c r="O1031" s="128">
        <v>610</v>
      </c>
      <c r="P1031" s="128">
        <v>123</v>
      </c>
      <c r="Q1031" s="128">
        <v>106</v>
      </c>
      <c r="R1031" s="128">
        <v>241</v>
      </c>
      <c r="S1031" s="128">
        <v>72</v>
      </c>
      <c r="T1031" s="128">
        <v>74</v>
      </c>
      <c r="U1031" s="128">
        <v>616</v>
      </c>
      <c r="V1031" s="128" t="s">
        <v>1547</v>
      </c>
    </row>
    <row r="1032" spans="1:22" x14ac:dyDescent="0.35">
      <c r="A1032" s="118">
        <v>1031</v>
      </c>
      <c r="B1032" s="128" t="s">
        <v>165</v>
      </c>
      <c r="C1032" s="128" t="s">
        <v>228</v>
      </c>
      <c r="D1032" s="128" t="s">
        <v>4876</v>
      </c>
      <c r="E1032" s="128" t="s">
        <v>673</v>
      </c>
      <c r="F1032" s="128">
        <v>1981</v>
      </c>
      <c r="G1032" s="128">
        <v>77</v>
      </c>
      <c r="H1032" s="128" t="s">
        <v>4422</v>
      </c>
      <c r="I1032" s="128">
        <v>77</v>
      </c>
      <c r="J1032" s="128" t="s">
        <v>1509</v>
      </c>
      <c r="K1032" s="128">
        <v>89</v>
      </c>
      <c r="L1032" s="128" t="s">
        <v>3233</v>
      </c>
      <c r="M1032" s="128" t="s">
        <v>1530</v>
      </c>
      <c r="N1032" s="128" t="s">
        <v>4877</v>
      </c>
      <c r="O1032" s="128">
        <v>604</v>
      </c>
      <c r="P1032" s="128">
        <v>109</v>
      </c>
      <c r="Q1032" s="128">
        <v>103</v>
      </c>
      <c r="R1032" s="128">
        <v>248</v>
      </c>
      <c r="S1032" s="128">
        <v>74</v>
      </c>
      <c r="T1032" s="128">
        <v>73</v>
      </c>
      <c r="U1032" s="128">
        <v>607</v>
      </c>
      <c r="V1032" s="128" t="s">
        <v>1547</v>
      </c>
    </row>
    <row r="1033" spans="1:22" x14ac:dyDescent="0.35">
      <c r="A1033" s="118">
        <v>1032</v>
      </c>
      <c r="B1033" s="128" t="s">
        <v>165</v>
      </c>
      <c r="C1033" s="128" t="s">
        <v>228</v>
      </c>
      <c r="D1033" s="128" t="s">
        <v>4876</v>
      </c>
      <c r="E1033" s="128" t="s">
        <v>419</v>
      </c>
      <c r="F1033" s="128">
        <v>1981</v>
      </c>
      <c r="G1033" s="128">
        <v>85</v>
      </c>
      <c r="H1033" s="128">
        <v>7</v>
      </c>
      <c r="I1033" s="128">
        <v>92</v>
      </c>
      <c r="J1033" s="128" t="s">
        <v>4617</v>
      </c>
      <c r="K1033" s="128">
        <v>99</v>
      </c>
      <c r="L1033" s="128" t="s">
        <v>1908</v>
      </c>
      <c r="M1033" s="128" t="s">
        <v>4878</v>
      </c>
      <c r="N1033" s="128" t="s">
        <v>1732</v>
      </c>
      <c r="O1033" s="128">
        <v>629</v>
      </c>
      <c r="P1033" s="128">
        <v>105</v>
      </c>
      <c r="Q1033" s="128">
        <v>102</v>
      </c>
      <c r="R1033" s="128">
        <v>276</v>
      </c>
      <c r="S1033" s="128">
        <v>75</v>
      </c>
      <c r="T1033" s="128">
        <v>72</v>
      </c>
      <c r="U1033" s="128">
        <v>630</v>
      </c>
      <c r="V1033" s="128" t="s">
        <v>1547</v>
      </c>
    </row>
    <row r="1034" spans="1:22" x14ac:dyDescent="0.35">
      <c r="A1034" s="118">
        <v>1033</v>
      </c>
      <c r="B1034" s="128" t="s">
        <v>165</v>
      </c>
      <c r="C1034" s="128" t="s">
        <v>228</v>
      </c>
      <c r="D1034" s="128" t="s">
        <v>3897</v>
      </c>
      <c r="E1034" s="128" t="s">
        <v>4879</v>
      </c>
      <c r="F1034" s="128">
        <v>2013</v>
      </c>
      <c r="G1034" s="128"/>
      <c r="H1034" s="128">
        <v>35</v>
      </c>
      <c r="I1034" s="128">
        <v>35</v>
      </c>
      <c r="J1034" s="128" t="s">
        <v>4880</v>
      </c>
      <c r="K1034" s="128">
        <v>10.3</v>
      </c>
      <c r="L1034" s="128" t="s">
        <v>4881</v>
      </c>
      <c r="M1034" s="128" t="s">
        <v>4882</v>
      </c>
      <c r="N1034" s="128" t="s">
        <v>4883</v>
      </c>
      <c r="O1034" s="128">
        <v>358</v>
      </c>
      <c r="P1034" s="128">
        <v>86</v>
      </c>
      <c r="Q1034" s="128">
        <v>78</v>
      </c>
      <c r="R1034" s="128">
        <v>122</v>
      </c>
      <c r="S1034" s="128">
        <v>35</v>
      </c>
      <c r="T1034" s="128">
        <v>39</v>
      </c>
      <c r="U1034" s="128">
        <v>360</v>
      </c>
      <c r="V1034" s="128" t="s">
        <v>2643</v>
      </c>
    </row>
    <row r="1035" spans="1:22" x14ac:dyDescent="0.35">
      <c r="A1035" s="118">
        <v>1034</v>
      </c>
      <c r="B1035" s="128" t="s">
        <v>166</v>
      </c>
      <c r="C1035" s="128" t="s">
        <v>236</v>
      </c>
      <c r="D1035" s="128" t="s">
        <v>4884</v>
      </c>
      <c r="E1035" s="128" t="s">
        <v>41</v>
      </c>
      <c r="F1035" s="128">
        <v>1972</v>
      </c>
      <c r="G1035" s="128">
        <v>58</v>
      </c>
      <c r="H1035" s="128">
        <v>1</v>
      </c>
      <c r="I1035" s="128">
        <v>59</v>
      </c>
      <c r="J1035" s="128" t="s">
        <v>2894</v>
      </c>
      <c r="K1035" s="128">
        <v>9</v>
      </c>
      <c r="L1035" s="128" t="s">
        <v>1869</v>
      </c>
      <c r="M1035" s="128" t="s">
        <v>4885</v>
      </c>
      <c r="N1035" s="128" t="s">
        <v>1904</v>
      </c>
      <c r="O1035" s="128">
        <v>718</v>
      </c>
      <c r="P1035" s="128">
        <v>140</v>
      </c>
      <c r="Q1035" s="128">
        <v>119</v>
      </c>
      <c r="R1035" s="128">
        <v>295</v>
      </c>
      <c r="S1035" s="128">
        <v>84</v>
      </c>
      <c r="T1035" s="128">
        <v>88</v>
      </c>
      <c r="U1035" s="128">
        <v>726</v>
      </c>
      <c r="V1035" s="128" t="s">
        <v>2702</v>
      </c>
    </row>
    <row r="1036" spans="1:22" x14ac:dyDescent="0.35">
      <c r="A1036" s="118">
        <v>1035</v>
      </c>
      <c r="B1036" s="128" t="s">
        <v>166</v>
      </c>
      <c r="C1036" s="128" t="s">
        <v>236</v>
      </c>
      <c r="D1036" s="128" t="s">
        <v>4886</v>
      </c>
      <c r="E1036" s="128" t="s">
        <v>59</v>
      </c>
      <c r="F1036" s="128">
        <v>1982</v>
      </c>
      <c r="G1036" s="128">
        <v>72</v>
      </c>
      <c r="H1036" s="128">
        <v>2</v>
      </c>
      <c r="I1036" s="128">
        <v>74</v>
      </c>
      <c r="J1036" s="128" t="s">
        <v>2894</v>
      </c>
      <c r="K1036" s="128">
        <v>18</v>
      </c>
      <c r="L1036" s="128" t="s">
        <v>1722</v>
      </c>
      <c r="M1036" s="128" t="s">
        <v>4887</v>
      </c>
      <c r="N1036" s="128" t="s">
        <v>2133</v>
      </c>
      <c r="O1036" s="128">
        <v>735</v>
      </c>
      <c r="P1036" s="128">
        <v>139</v>
      </c>
      <c r="Q1036" s="128">
        <v>134</v>
      </c>
      <c r="R1036" s="128">
        <v>299</v>
      </c>
      <c r="S1036" s="128">
        <v>84</v>
      </c>
      <c r="T1036" s="128">
        <v>88</v>
      </c>
      <c r="U1036" s="128">
        <v>744</v>
      </c>
      <c r="V1036" s="128" t="s">
        <v>2702</v>
      </c>
    </row>
    <row r="1037" spans="1:22" x14ac:dyDescent="0.35">
      <c r="A1037" s="118">
        <v>1036</v>
      </c>
      <c r="B1037" s="128" t="s">
        <v>166</v>
      </c>
      <c r="C1037" s="128" t="s">
        <v>236</v>
      </c>
      <c r="D1037" s="128" t="s">
        <v>4888</v>
      </c>
      <c r="E1037" s="128" t="s">
        <v>77</v>
      </c>
      <c r="F1037" s="128">
        <v>1974</v>
      </c>
      <c r="G1037" s="128">
        <v>86</v>
      </c>
      <c r="H1037" s="128">
        <v>2</v>
      </c>
      <c r="I1037" s="128">
        <v>88</v>
      </c>
      <c r="J1037" s="128" t="s">
        <v>2894</v>
      </c>
      <c r="K1037" s="128">
        <v>21</v>
      </c>
      <c r="L1037" s="128" t="s">
        <v>4889</v>
      </c>
      <c r="M1037" s="128" t="s">
        <v>4890</v>
      </c>
      <c r="N1037" s="128" t="s">
        <v>4891</v>
      </c>
      <c r="O1037" s="128">
        <v>736</v>
      </c>
      <c r="P1037" s="128">
        <v>142</v>
      </c>
      <c r="Q1037" s="128">
        <v>128</v>
      </c>
      <c r="R1037" s="128">
        <v>305</v>
      </c>
      <c r="S1037" s="128">
        <v>85</v>
      </c>
      <c r="T1037" s="128">
        <v>90</v>
      </c>
      <c r="U1037" s="128">
        <v>750</v>
      </c>
      <c r="V1037" s="128" t="s">
        <v>2702</v>
      </c>
    </row>
    <row r="1038" spans="1:22" x14ac:dyDescent="0.35">
      <c r="A1038" s="118">
        <v>1037</v>
      </c>
      <c r="B1038" s="128" t="s">
        <v>166</v>
      </c>
      <c r="C1038" s="128" t="s">
        <v>236</v>
      </c>
      <c r="D1038" s="128" t="s">
        <v>4888</v>
      </c>
      <c r="E1038" s="128" t="s">
        <v>92</v>
      </c>
      <c r="F1038" s="128">
        <v>1982</v>
      </c>
      <c r="G1038" s="128">
        <v>47</v>
      </c>
      <c r="H1038" s="128">
        <v>2</v>
      </c>
      <c r="I1038" s="128">
        <v>49</v>
      </c>
      <c r="J1038" s="128" t="s">
        <v>2894</v>
      </c>
      <c r="K1038" s="128">
        <v>8</v>
      </c>
      <c r="L1038" s="128" t="s">
        <v>1615</v>
      </c>
      <c r="M1038" s="128" t="s">
        <v>4892</v>
      </c>
      <c r="N1038" s="128" t="s">
        <v>1577</v>
      </c>
      <c r="O1038" s="128">
        <v>503</v>
      </c>
      <c r="P1038" s="128">
        <v>115</v>
      </c>
      <c r="Q1038" s="128">
        <v>92</v>
      </c>
      <c r="R1038" s="128">
        <v>207</v>
      </c>
      <c r="S1038" s="128">
        <v>50</v>
      </c>
      <c r="T1038" s="128">
        <v>59</v>
      </c>
      <c r="U1038" s="128">
        <v>523</v>
      </c>
      <c r="V1038" s="128" t="s">
        <v>1547</v>
      </c>
    </row>
    <row r="1039" spans="1:22" x14ac:dyDescent="0.35">
      <c r="A1039" s="118">
        <v>1038</v>
      </c>
      <c r="B1039" s="128" t="s">
        <v>166</v>
      </c>
      <c r="C1039" s="128" t="s">
        <v>236</v>
      </c>
      <c r="D1039" s="128" t="s">
        <v>4893</v>
      </c>
      <c r="E1039" s="128" t="s">
        <v>105</v>
      </c>
      <c r="F1039" s="128">
        <v>1982</v>
      </c>
      <c r="G1039" s="128">
        <v>65</v>
      </c>
      <c r="H1039" s="128">
        <v>0</v>
      </c>
      <c r="I1039" s="128">
        <v>65</v>
      </c>
      <c r="J1039" s="128" t="s">
        <v>2894</v>
      </c>
      <c r="K1039" s="128">
        <v>8</v>
      </c>
      <c r="L1039" s="128" t="s">
        <v>4894</v>
      </c>
      <c r="M1039" s="128" t="s">
        <v>4895</v>
      </c>
      <c r="N1039" s="128" t="s">
        <v>4896</v>
      </c>
      <c r="O1039" s="128">
        <v>319</v>
      </c>
      <c r="P1039" s="128">
        <v>83</v>
      </c>
      <c r="Q1039" s="128">
        <v>57</v>
      </c>
      <c r="R1039" s="128">
        <v>120</v>
      </c>
      <c r="S1039" s="128">
        <v>34</v>
      </c>
      <c r="T1039" s="128">
        <v>36</v>
      </c>
      <c r="U1039" s="128">
        <v>330</v>
      </c>
      <c r="V1039" s="128" t="s">
        <v>2643</v>
      </c>
    </row>
    <row r="1040" spans="1:22" x14ac:dyDescent="0.35">
      <c r="A1040" s="118">
        <v>1039</v>
      </c>
      <c r="B1040" s="128" t="s">
        <v>166</v>
      </c>
      <c r="C1040" s="128" t="s">
        <v>236</v>
      </c>
      <c r="D1040" s="128" t="s">
        <v>4884</v>
      </c>
      <c r="E1040" s="128" t="s">
        <v>114</v>
      </c>
      <c r="F1040" s="128">
        <v>1982</v>
      </c>
      <c r="G1040" s="128">
        <v>38</v>
      </c>
      <c r="H1040" s="128">
        <v>2</v>
      </c>
      <c r="I1040" s="128">
        <v>40</v>
      </c>
      <c r="J1040" s="128" t="s">
        <v>2894</v>
      </c>
      <c r="K1040" s="128">
        <v>9</v>
      </c>
      <c r="L1040" s="128" t="s">
        <v>1722</v>
      </c>
      <c r="M1040" s="128" t="s">
        <v>4897</v>
      </c>
      <c r="N1040" s="128" t="s">
        <v>1577</v>
      </c>
      <c r="O1040" s="128">
        <v>321</v>
      </c>
      <c r="P1040" s="128">
        <v>81</v>
      </c>
      <c r="Q1040" s="128">
        <v>55</v>
      </c>
      <c r="R1040" s="128">
        <v>120</v>
      </c>
      <c r="S1040" s="128">
        <v>32</v>
      </c>
      <c r="T1040" s="128">
        <v>50</v>
      </c>
      <c r="U1040" s="128">
        <v>338</v>
      </c>
      <c r="V1040" s="128" t="s">
        <v>2643</v>
      </c>
    </row>
    <row r="1041" spans="1:22" x14ac:dyDescent="0.35">
      <c r="A1041" s="118">
        <v>1040</v>
      </c>
      <c r="B1041" s="128" t="s">
        <v>166</v>
      </c>
      <c r="C1041" s="128" t="s">
        <v>236</v>
      </c>
      <c r="D1041" s="128" t="s">
        <v>4893</v>
      </c>
      <c r="E1041" s="128" t="s">
        <v>4898</v>
      </c>
      <c r="F1041" s="128">
        <v>1982</v>
      </c>
      <c r="G1041" s="128">
        <v>85</v>
      </c>
      <c r="H1041" s="128">
        <v>3</v>
      </c>
      <c r="I1041" s="128">
        <v>88</v>
      </c>
      <c r="J1041" s="128" t="s">
        <v>2894</v>
      </c>
      <c r="K1041" s="128">
        <v>16</v>
      </c>
      <c r="L1041" s="128" t="s">
        <v>4899</v>
      </c>
      <c r="M1041" s="128" t="s">
        <v>4900</v>
      </c>
      <c r="N1041" s="128" t="s">
        <v>3901</v>
      </c>
      <c r="O1041" s="128">
        <v>520</v>
      </c>
      <c r="P1041" s="128">
        <v>113</v>
      </c>
      <c r="Q1041" s="128">
        <v>100</v>
      </c>
      <c r="R1041" s="128">
        <v>209</v>
      </c>
      <c r="S1041" s="128">
        <v>50</v>
      </c>
      <c r="T1041" s="128">
        <v>62</v>
      </c>
      <c r="U1041" s="128">
        <v>534</v>
      </c>
      <c r="V1041" s="128" t="s">
        <v>1547</v>
      </c>
    </row>
    <row r="1042" spans="1:22" x14ac:dyDescent="0.35">
      <c r="A1042" s="118">
        <v>1041</v>
      </c>
      <c r="B1042" s="128" t="s">
        <v>166</v>
      </c>
      <c r="C1042" s="128" t="s">
        <v>239</v>
      </c>
      <c r="D1042" s="128" t="s">
        <v>1517</v>
      </c>
      <c r="E1042" s="128" t="s">
        <v>4901</v>
      </c>
      <c r="F1042" s="128">
        <v>1982</v>
      </c>
      <c r="G1042" s="128">
        <v>91</v>
      </c>
      <c r="H1042" s="128">
        <v>6</v>
      </c>
      <c r="I1042" s="128">
        <v>97</v>
      </c>
      <c r="J1042" s="128" t="s">
        <v>1509</v>
      </c>
      <c r="K1042" s="128">
        <v>20</v>
      </c>
      <c r="L1042" s="128" t="s">
        <v>4902</v>
      </c>
      <c r="M1042" s="128" t="s">
        <v>4903</v>
      </c>
      <c r="N1042" s="128" t="s">
        <v>2268</v>
      </c>
      <c r="O1042" s="128">
        <v>523</v>
      </c>
      <c r="P1042" s="128">
        <v>121</v>
      </c>
      <c r="Q1042" s="128">
        <v>96</v>
      </c>
      <c r="R1042" s="128">
        <v>203</v>
      </c>
      <c r="S1042" s="128">
        <v>50</v>
      </c>
      <c r="T1042" s="128">
        <v>59</v>
      </c>
      <c r="U1042" s="128">
        <v>529</v>
      </c>
      <c r="V1042" s="128" t="s">
        <v>1547</v>
      </c>
    </row>
    <row r="1043" spans="1:22" x14ac:dyDescent="0.35">
      <c r="A1043" s="118">
        <v>1042</v>
      </c>
      <c r="B1043" s="128" t="s">
        <v>166</v>
      </c>
      <c r="C1043" s="128" t="s">
        <v>239</v>
      </c>
      <c r="D1043" s="128" t="s">
        <v>4904</v>
      </c>
      <c r="E1043" s="128" t="s">
        <v>4905</v>
      </c>
      <c r="F1043" s="128">
        <v>1982</v>
      </c>
      <c r="G1043" s="128">
        <v>65</v>
      </c>
      <c r="H1043" s="128">
        <v>11</v>
      </c>
      <c r="I1043" s="128">
        <v>76</v>
      </c>
      <c r="J1043" s="128" t="s">
        <v>1509</v>
      </c>
      <c r="K1043" s="128">
        <v>12</v>
      </c>
      <c r="L1043" s="128" t="s">
        <v>1770</v>
      </c>
      <c r="M1043" s="128" t="s">
        <v>4906</v>
      </c>
      <c r="N1043" s="128" t="s">
        <v>4907</v>
      </c>
      <c r="O1043" s="128">
        <v>501</v>
      </c>
      <c r="P1043" s="128">
        <v>113</v>
      </c>
      <c r="Q1043" s="128">
        <v>93</v>
      </c>
      <c r="R1043" s="128">
        <v>203</v>
      </c>
      <c r="S1043" s="128">
        <v>50</v>
      </c>
      <c r="T1043" s="128">
        <v>60</v>
      </c>
      <c r="U1043" s="128">
        <v>519</v>
      </c>
      <c r="V1043" s="128" t="s">
        <v>1547</v>
      </c>
    </row>
    <row r="1044" spans="1:22" x14ac:dyDescent="0.35">
      <c r="A1044" s="118">
        <v>1043</v>
      </c>
      <c r="B1044" s="128" t="s">
        <v>166</v>
      </c>
      <c r="C1044" s="128" t="s">
        <v>239</v>
      </c>
      <c r="D1044" s="128" t="s">
        <v>4908</v>
      </c>
      <c r="E1044" s="128" t="s">
        <v>4909</v>
      </c>
      <c r="F1044" s="128">
        <v>1982</v>
      </c>
      <c r="G1044" s="128">
        <v>88</v>
      </c>
      <c r="H1044" s="128">
        <v>23</v>
      </c>
      <c r="I1044" s="128">
        <v>111</v>
      </c>
      <c r="J1044" s="128" t="s">
        <v>1509</v>
      </c>
      <c r="K1044" s="128">
        <v>8</v>
      </c>
      <c r="L1044" s="128" t="s">
        <v>1732</v>
      </c>
      <c r="M1044" s="128" t="s">
        <v>4910</v>
      </c>
      <c r="N1044" s="128" t="s">
        <v>4911</v>
      </c>
      <c r="O1044" s="128">
        <v>512</v>
      </c>
      <c r="P1044" s="128">
        <v>117</v>
      </c>
      <c r="Q1044" s="128">
        <v>98</v>
      </c>
      <c r="R1044" s="128">
        <v>206</v>
      </c>
      <c r="S1044" s="128">
        <v>53</v>
      </c>
      <c r="T1044" s="128">
        <v>60</v>
      </c>
      <c r="U1044" s="128">
        <v>534</v>
      </c>
      <c r="V1044" s="128" t="s">
        <v>1547</v>
      </c>
    </row>
    <row r="1045" spans="1:22" x14ac:dyDescent="0.35">
      <c r="A1045" s="118">
        <v>1044</v>
      </c>
      <c r="B1045" s="128" t="s">
        <v>166</v>
      </c>
      <c r="C1045" s="128" t="s">
        <v>239</v>
      </c>
      <c r="D1045" s="128" t="s">
        <v>4908</v>
      </c>
      <c r="E1045" s="128" t="s">
        <v>4912</v>
      </c>
      <c r="F1045" s="128">
        <v>1982</v>
      </c>
      <c r="G1045" s="128">
        <v>59</v>
      </c>
      <c r="H1045" s="128">
        <v>6</v>
      </c>
      <c r="I1045" s="128">
        <v>65</v>
      </c>
      <c r="J1045" s="128" t="s">
        <v>1509</v>
      </c>
      <c r="K1045" s="128">
        <v>4</v>
      </c>
      <c r="L1045" s="128" t="s">
        <v>4913</v>
      </c>
      <c r="M1045" s="128" t="s">
        <v>4914</v>
      </c>
      <c r="N1045" s="128" t="s">
        <v>4915</v>
      </c>
      <c r="O1045" s="128">
        <v>517</v>
      </c>
      <c r="P1045" s="128">
        <v>115</v>
      </c>
      <c r="Q1045" s="128">
        <v>98</v>
      </c>
      <c r="R1045" s="128">
        <v>209</v>
      </c>
      <c r="S1045" s="128">
        <v>57</v>
      </c>
      <c r="T1045" s="128">
        <v>60</v>
      </c>
      <c r="U1045" s="128">
        <v>539</v>
      </c>
      <c r="V1045" s="128" t="s">
        <v>1547</v>
      </c>
    </row>
    <row r="1046" spans="1:22" x14ac:dyDescent="0.35">
      <c r="A1046" s="118">
        <v>1045</v>
      </c>
      <c r="B1046" s="128" t="s">
        <v>166</v>
      </c>
      <c r="C1046" s="128" t="s">
        <v>239</v>
      </c>
      <c r="D1046" s="128" t="s">
        <v>1517</v>
      </c>
      <c r="E1046" s="128" t="s">
        <v>4916</v>
      </c>
      <c r="F1046" s="128">
        <v>1982</v>
      </c>
      <c r="G1046" s="128">
        <v>84</v>
      </c>
      <c r="H1046" s="128">
        <v>19</v>
      </c>
      <c r="I1046" s="128">
        <v>103</v>
      </c>
      <c r="J1046" s="128" t="s">
        <v>1509</v>
      </c>
      <c r="K1046" s="128">
        <v>7</v>
      </c>
      <c r="L1046" s="128" t="s">
        <v>4917</v>
      </c>
      <c r="M1046" s="128" t="s">
        <v>4918</v>
      </c>
      <c r="N1046" s="128" t="s">
        <v>1926</v>
      </c>
      <c r="O1046" s="128">
        <v>512</v>
      </c>
      <c r="P1046" s="128">
        <v>121</v>
      </c>
      <c r="Q1046" s="128">
        <v>104</v>
      </c>
      <c r="R1046" s="128">
        <v>204</v>
      </c>
      <c r="S1046" s="128">
        <v>54</v>
      </c>
      <c r="T1046" s="128">
        <v>60</v>
      </c>
      <c r="U1046" s="128">
        <v>543</v>
      </c>
      <c r="V1046" s="128" t="s">
        <v>1547</v>
      </c>
    </row>
    <row r="1047" spans="1:22" x14ac:dyDescent="0.35">
      <c r="A1047" s="118">
        <v>1046</v>
      </c>
      <c r="B1047" s="128" t="s">
        <v>166</v>
      </c>
      <c r="C1047" s="128" t="s">
        <v>243</v>
      </c>
      <c r="D1047" s="128" t="s">
        <v>2003</v>
      </c>
      <c r="E1047" s="128" t="s">
        <v>4919</v>
      </c>
      <c r="F1047" s="128">
        <v>1976</v>
      </c>
      <c r="G1047" s="128">
        <v>115</v>
      </c>
      <c r="H1047" s="128">
        <v>2</v>
      </c>
      <c r="I1047" s="128">
        <v>117</v>
      </c>
      <c r="J1047" s="128" t="s">
        <v>2894</v>
      </c>
      <c r="K1047" s="128">
        <v>17</v>
      </c>
      <c r="L1047" s="128" t="s">
        <v>4920</v>
      </c>
      <c r="M1047" s="128" t="s">
        <v>4921</v>
      </c>
      <c r="N1047" s="128" t="s">
        <v>4922</v>
      </c>
      <c r="O1047" s="128">
        <v>730</v>
      </c>
      <c r="P1047" s="128">
        <v>137</v>
      </c>
      <c r="Q1047" s="128">
        <v>118</v>
      </c>
      <c r="R1047" s="128">
        <v>295</v>
      </c>
      <c r="S1047" s="128">
        <v>83</v>
      </c>
      <c r="T1047" s="128">
        <v>112</v>
      </c>
      <c r="U1047" s="128">
        <v>745</v>
      </c>
      <c r="V1047" s="128" t="s">
        <v>2702</v>
      </c>
    </row>
    <row r="1048" spans="1:22" x14ac:dyDescent="0.35">
      <c r="A1048" s="118">
        <v>1047</v>
      </c>
      <c r="B1048" s="128" t="s">
        <v>166</v>
      </c>
      <c r="C1048" s="128" t="s">
        <v>243</v>
      </c>
      <c r="D1048" s="128" t="s">
        <v>2338</v>
      </c>
      <c r="E1048" s="128" t="s">
        <v>4923</v>
      </c>
      <c r="F1048" s="128">
        <v>1983</v>
      </c>
      <c r="G1048" s="128">
        <v>76</v>
      </c>
      <c r="H1048" s="128">
        <v>2</v>
      </c>
      <c r="I1048" s="128">
        <v>78</v>
      </c>
      <c r="J1048" s="128" t="s">
        <v>2894</v>
      </c>
      <c r="K1048" s="128">
        <v>16</v>
      </c>
      <c r="L1048" s="128" t="s">
        <v>4924</v>
      </c>
      <c r="M1048" s="128" t="s">
        <v>4925</v>
      </c>
      <c r="N1048" s="128" t="s">
        <v>4926</v>
      </c>
      <c r="O1048" s="128">
        <v>569</v>
      </c>
      <c r="P1048" s="128">
        <v>112</v>
      </c>
      <c r="Q1048" s="128">
        <v>95</v>
      </c>
      <c r="R1048" s="128">
        <v>209</v>
      </c>
      <c r="S1048" s="128">
        <v>80</v>
      </c>
      <c r="T1048" s="128">
        <v>80</v>
      </c>
      <c r="U1048" s="128">
        <v>576</v>
      </c>
      <c r="V1048" s="128" t="s">
        <v>1547</v>
      </c>
    </row>
    <row r="1049" spans="1:22" x14ac:dyDescent="0.35">
      <c r="A1049" s="118">
        <v>1048</v>
      </c>
      <c r="B1049" s="128" t="s">
        <v>166</v>
      </c>
      <c r="C1049" s="128" t="s">
        <v>243</v>
      </c>
      <c r="D1049" s="128" t="s">
        <v>4927</v>
      </c>
      <c r="E1049" s="128" t="s">
        <v>4928</v>
      </c>
      <c r="F1049" s="128">
        <v>1983</v>
      </c>
      <c r="G1049" s="128">
        <v>100</v>
      </c>
      <c r="H1049" s="128">
        <v>2</v>
      </c>
      <c r="I1049" s="128">
        <v>102</v>
      </c>
      <c r="J1049" s="128" t="s">
        <v>2894</v>
      </c>
      <c r="K1049" s="128">
        <v>8</v>
      </c>
      <c r="L1049" s="128" t="s">
        <v>4861</v>
      </c>
      <c r="M1049" s="128" t="s">
        <v>2197</v>
      </c>
      <c r="N1049" s="128" t="s">
        <v>1682</v>
      </c>
      <c r="O1049" s="128">
        <v>492</v>
      </c>
      <c r="P1049" s="128">
        <v>102</v>
      </c>
      <c r="Q1049" s="128">
        <v>94</v>
      </c>
      <c r="R1049" s="128">
        <v>192</v>
      </c>
      <c r="S1049" s="128">
        <v>78</v>
      </c>
      <c r="T1049" s="128">
        <v>80</v>
      </c>
      <c r="U1049" s="128">
        <v>546</v>
      </c>
      <c r="V1049" s="128" t="s">
        <v>1547</v>
      </c>
    </row>
    <row r="1050" spans="1:22" x14ac:dyDescent="0.35">
      <c r="A1050" s="118">
        <v>1049</v>
      </c>
      <c r="B1050" s="128" t="s">
        <v>166</v>
      </c>
      <c r="C1050" s="128" t="s">
        <v>243</v>
      </c>
      <c r="D1050" s="128" t="s">
        <v>2329</v>
      </c>
      <c r="E1050" s="128" t="s">
        <v>4929</v>
      </c>
      <c r="F1050" s="128">
        <v>1983</v>
      </c>
      <c r="G1050" s="128">
        <v>75</v>
      </c>
      <c r="H1050" s="128">
        <v>3</v>
      </c>
      <c r="I1050" s="128">
        <v>78</v>
      </c>
      <c r="J1050" s="128" t="s">
        <v>2894</v>
      </c>
      <c r="K1050" s="128">
        <v>14</v>
      </c>
      <c r="L1050" s="128" t="s">
        <v>4231</v>
      </c>
      <c r="M1050" s="128" t="s">
        <v>4930</v>
      </c>
      <c r="N1050" s="128" t="s">
        <v>4931</v>
      </c>
      <c r="O1050" s="128">
        <v>562</v>
      </c>
      <c r="P1050" s="128">
        <v>108</v>
      </c>
      <c r="Q1050" s="128">
        <v>95</v>
      </c>
      <c r="R1050" s="128">
        <v>208</v>
      </c>
      <c r="S1050" s="128">
        <v>80</v>
      </c>
      <c r="T1050" s="128">
        <v>80</v>
      </c>
      <c r="U1050" s="128">
        <v>571</v>
      </c>
      <c r="V1050" s="128" t="s">
        <v>1547</v>
      </c>
    </row>
    <row r="1051" spans="1:22" x14ac:dyDescent="0.35">
      <c r="A1051" s="118">
        <v>1050</v>
      </c>
      <c r="B1051" s="128" t="s">
        <v>166</v>
      </c>
      <c r="C1051" s="128" t="s">
        <v>243</v>
      </c>
      <c r="D1051" s="128" t="s">
        <v>2003</v>
      </c>
      <c r="E1051" s="128" t="s">
        <v>792</v>
      </c>
      <c r="F1051" s="128">
        <v>2013</v>
      </c>
      <c r="G1051" s="128">
        <v>0</v>
      </c>
      <c r="H1051" s="128">
        <v>14</v>
      </c>
      <c r="I1051" s="128">
        <v>14</v>
      </c>
      <c r="J1051" s="128" t="s">
        <v>4932</v>
      </c>
      <c r="K1051" s="128"/>
      <c r="L1051" s="128" t="s">
        <v>4933</v>
      </c>
      <c r="M1051" s="128" t="s">
        <v>4934</v>
      </c>
      <c r="N1051" s="128" t="s">
        <v>3206</v>
      </c>
      <c r="O1051" s="128">
        <v>361</v>
      </c>
      <c r="P1051" s="128">
        <v>84</v>
      </c>
      <c r="Q1051" s="128">
        <v>73</v>
      </c>
      <c r="R1051" s="128">
        <v>130</v>
      </c>
      <c r="S1051" s="128">
        <v>40</v>
      </c>
      <c r="T1051" s="128">
        <v>40</v>
      </c>
      <c r="U1051" s="128">
        <v>367</v>
      </c>
      <c r="V1051" s="128" t="s">
        <v>2643</v>
      </c>
    </row>
    <row r="1052" spans="1:22" x14ac:dyDescent="0.35">
      <c r="A1052" s="118">
        <v>1051</v>
      </c>
      <c r="B1052" s="128" t="s">
        <v>166</v>
      </c>
      <c r="C1052" s="128" t="s">
        <v>244</v>
      </c>
      <c r="D1052" s="128" t="s">
        <v>4033</v>
      </c>
      <c r="E1052" s="128" t="s">
        <v>4935</v>
      </c>
      <c r="F1052" s="128">
        <v>1972</v>
      </c>
      <c r="G1052" s="128">
        <v>25</v>
      </c>
      <c r="H1052" s="128">
        <v>0</v>
      </c>
      <c r="I1052" s="128">
        <v>25</v>
      </c>
      <c r="J1052" s="128" t="s">
        <v>2894</v>
      </c>
      <c r="K1052" s="128">
        <v>11</v>
      </c>
      <c r="L1052" s="128" t="s">
        <v>1941</v>
      </c>
      <c r="M1052" s="128" t="s">
        <v>1703</v>
      </c>
      <c r="N1052" s="128" t="s">
        <v>1586</v>
      </c>
      <c r="O1052" s="128">
        <v>577</v>
      </c>
      <c r="P1052" s="128">
        <v>121</v>
      </c>
      <c r="Q1052" s="128">
        <v>92</v>
      </c>
      <c r="R1052" s="128">
        <v>209</v>
      </c>
      <c r="S1052" s="128">
        <v>80</v>
      </c>
      <c r="T1052" s="128">
        <v>80</v>
      </c>
      <c r="U1052" s="128">
        <v>582</v>
      </c>
      <c r="V1052" s="128" t="s">
        <v>1547</v>
      </c>
    </row>
    <row r="1053" spans="1:22" x14ac:dyDescent="0.35">
      <c r="A1053" s="118">
        <v>1052</v>
      </c>
      <c r="B1053" s="128" t="s">
        <v>166</v>
      </c>
      <c r="C1053" s="128" t="s">
        <v>244</v>
      </c>
      <c r="D1053" s="128" t="s">
        <v>4936</v>
      </c>
      <c r="E1053" s="128" t="s">
        <v>4937</v>
      </c>
      <c r="F1053" s="128">
        <v>1972</v>
      </c>
      <c r="G1053" s="128">
        <v>48</v>
      </c>
      <c r="H1053" s="128">
        <v>2</v>
      </c>
      <c r="I1053" s="128">
        <v>50</v>
      </c>
      <c r="J1053" s="128" t="s">
        <v>2894</v>
      </c>
      <c r="K1053" s="128">
        <v>13</v>
      </c>
      <c r="L1053" s="128" t="s">
        <v>1819</v>
      </c>
      <c r="M1053" s="128" t="s">
        <v>4938</v>
      </c>
      <c r="N1053" s="128" t="s">
        <v>4939</v>
      </c>
      <c r="O1053" s="128">
        <v>594</v>
      </c>
      <c r="P1053" s="128">
        <v>123</v>
      </c>
      <c r="Q1053" s="128">
        <v>98</v>
      </c>
      <c r="R1053" s="128">
        <v>219</v>
      </c>
      <c r="S1053" s="128">
        <v>80</v>
      </c>
      <c r="T1053" s="128">
        <v>80</v>
      </c>
      <c r="U1053" s="128">
        <v>600</v>
      </c>
      <c r="V1053" s="128" t="s">
        <v>1547</v>
      </c>
    </row>
    <row r="1054" spans="1:22" x14ac:dyDescent="0.35">
      <c r="A1054" s="118">
        <v>1053</v>
      </c>
      <c r="B1054" s="128" t="s">
        <v>166</v>
      </c>
      <c r="C1054" s="128" t="s">
        <v>244</v>
      </c>
      <c r="D1054" s="128" t="s">
        <v>4940</v>
      </c>
      <c r="E1054" s="128" t="s">
        <v>4941</v>
      </c>
      <c r="F1054" s="128">
        <v>1984</v>
      </c>
      <c r="G1054" s="128">
        <v>14</v>
      </c>
      <c r="H1054" s="128">
        <v>0</v>
      </c>
      <c r="I1054" s="128">
        <v>14</v>
      </c>
      <c r="J1054" s="128" t="s">
        <v>2894</v>
      </c>
      <c r="K1054" s="128">
        <v>6</v>
      </c>
      <c r="L1054" s="128" t="s">
        <v>4280</v>
      </c>
      <c r="M1054" s="128" t="s">
        <v>4419</v>
      </c>
      <c r="N1054" s="128" t="s">
        <v>4942</v>
      </c>
      <c r="O1054" s="128">
        <v>674</v>
      </c>
      <c r="P1054" s="128">
        <v>131</v>
      </c>
      <c r="Q1054" s="128">
        <v>106</v>
      </c>
      <c r="R1054" s="128">
        <v>277</v>
      </c>
      <c r="S1054" s="128">
        <v>80</v>
      </c>
      <c r="T1054" s="128">
        <v>80</v>
      </c>
      <c r="U1054" s="128">
        <v>674</v>
      </c>
      <c r="V1054" s="128" t="s">
        <v>1547</v>
      </c>
    </row>
    <row r="1055" spans="1:22" x14ac:dyDescent="0.35">
      <c r="A1055" s="118">
        <v>1054</v>
      </c>
      <c r="B1055" s="128" t="s">
        <v>166</v>
      </c>
      <c r="C1055" s="128" t="s">
        <v>244</v>
      </c>
      <c r="D1055" s="128" t="s">
        <v>4936</v>
      </c>
      <c r="E1055" s="128" t="s">
        <v>4943</v>
      </c>
      <c r="F1055" s="128">
        <v>1984</v>
      </c>
      <c r="G1055" s="128">
        <v>21</v>
      </c>
      <c r="H1055" s="128">
        <v>4</v>
      </c>
      <c r="I1055" s="128">
        <v>25</v>
      </c>
      <c r="J1055" s="128" t="s">
        <v>2894</v>
      </c>
      <c r="K1055" s="128">
        <v>11</v>
      </c>
      <c r="L1055" s="128" t="s">
        <v>4944</v>
      </c>
      <c r="M1055" s="128" t="s">
        <v>2356</v>
      </c>
      <c r="N1055" s="128" t="s">
        <v>4945</v>
      </c>
      <c r="O1055" s="128">
        <v>678</v>
      </c>
      <c r="P1055" s="128">
        <v>131</v>
      </c>
      <c r="Q1055" s="128">
        <v>110</v>
      </c>
      <c r="R1055" s="128">
        <v>280</v>
      </c>
      <c r="S1055" s="128">
        <v>80</v>
      </c>
      <c r="T1055" s="128">
        <v>80</v>
      </c>
      <c r="U1055" s="128">
        <v>681</v>
      </c>
      <c r="V1055" s="128" t="s">
        <v>1547</v>
      </c>
    </row>
    <row r="1056" spans="1:22" x14ac:dyDescent="0.35">
      <c r="A1056" s="118">
        <v>1055</v>
      </c>
      <c r="B1056" s="128" t="s">
        <v>166</v>
      </c>
      <c r="C1056" s="128" t="s">
        <v>244</v>
      </c>
      <c r="D1056" s="128" t="s">
        <v>4940</v>
      </c>
      <c r="E1056" s="128" t="s">
        <v>4946</v>
      </c>
      <c r="F1056" s="128">
        <v>1972</v>
      </c>
      <c r="G1056" s="128">
        <v>28</v>
      </c>
      <c r="H1056" s="128">
        <v>0</v>
      </c>
      <c r="I1056" s="128">
        <v>28</v>
      </c>
      <c r="J1056" s="128" t="s">
        <v>2894</v>
      </c>
      <c r="K1056" s="128">
        <v>5</v>
      </c>
      <c r="L1056" s="128" t="s">
        <v>4947</v>
      </c>
      <c r="M1056" s="128" t="s">
        <v>4948</v>
      </c>
      <c r="N1056" s="128" t="s">
        <v>2356</v>
      </c>
      <c r="O1056" s="128">
        <v>675</v>
      </c>
      <c r="P1056" s="128">
        <v>131</v>
      </c>
      <c r="Q1056" s="128">
        <v>107</v>
      </c>
      <c r="R1056" s="128">
        <v>277</v>
      </c>
      <c r="S1056" s="128">
        <v>80</v>
      </c>
      <c r="T1056" s="128">
        <v>80</v>
      </c>
      <c r="U1056" s="128">
        <v>675</v>
      </c>
      <c r="V1056" s="128" t="s">
        <v>1547</v>
      </c>
    </row>
    <row r="1057" spans="1:22" x14ac:dyDescent="0.35">
      <c r="A1057" s="118">
        <v>1056</v>
      </c>
      <c r="B1057" s="128" t="s">
        <v>166</v>
      </c>
      <c r="C1057" s="128" t="s">
        <v>233</v>
      </c>
      <c r="D1057" s="128" t="s">
        <v>2391</v>
      </c>
      <c r="E1057" s="128" t="s">
        <v>4949</v>
      </c>
      <c r="F1057" s="128">
        <v>1980</v>
      </c>
      <c r="G1057" s="128">
        <v>50</v>
      </c>
      <c r="H1057" s="128">
        <v>2</v>
      </c>
      <c r="I1057" s="128">
        <v>52</v>
      </c>
      <c r="J1057" s="128" t="s">
        <v>1929</v>
      </c>
      <c r="K1057" s="128">
        <v>2.5</v>
      </c>
      <c r="L1057" s="128" t="s">
        <v>4950</v>
      </c>
      <c r="M1057" s="128" t="s">
        <v>4951</v>
      </c>
      <c r="N1057" s="128" t="s">
        <v>4952</v>
      </c>
      <c r="O1057" s="128">
        <v>585</v>
      </c>
      <c r="P1057" s="128">
        <v>120</v>
      </c>
      <c r="Q1057" s="128">
        <v>105</v>
      </c>
      <c r="R1057" s="128">
        <v>228</v>
      </c>
      <c r="S1057" s="128">
        <v>67</v>
      </c>
      <c r="T1057" s="128">
        <v>70</v>
      </c>
      <c r="U1057" s="128">
        <v>590</v>
      </c>
      <c r="V1057" s="128" t="s">
        <v>1547</v>
      </c>
    </row>
    <row r="1058" spans="1:22" x14ac:dyDescent="0.35">
      <c r="A1058" s="118">
        <v>1057</v>
      </c>
      <c r="B1058" s="128" t="s">
        <v>166</v>
      </c>
      <c r="C1058" s="128" t="s">
        <v>233</v>
      </c>
      <c r="D1058" s="128" t="s">
        <v>2514</v>
      </c>
      <c r="E1058" s="128" t="s">
        <v>4953</v>
      </c>
      <c r="F1058" s="128">
        <v>1980</v>
      </c>
      <c r="G1058" s="128">
        <v>63</v>
      </c>
      <c r="H1058" s="128">
        <v>8</v>
      </c>
      <c r="I1058" s="128">
        <v>71</v>
      </c>
      <c r="J1058" s="128" t="s">
        <v>1929</v>
      </c>
      <c r="K1058" s="128">
        <v>6.7</v>
      </c>
      <c r="L1058" s="128" t="s">
        <v>4954</v>
      </c>
      <c r="M1058" s="128" t="s">
        <v>2566</v>
      </c>
      <c r="N1058" s="128" t="s">
        <v>2512</v>
      </c>
      <c r="O1058" s="128">
        <v>745</v>
      </c>
      <c r="P1058" s="128">
        <v>160</v>
      </c>
      <c r="Q1058" s="128">
        <v>130</v>
      </c>
      <c r="R1058" s="128">
        <v>297</v>
      </c>
      <c r="S1058" s="128">
        <v>83</v>
      </c>
      <c r="T1058" s="128">
        <v>80</v>
      </c>
      <c r="U1058" s="128">
        <v>750</v>
      </c>
      <c r="V1058" s="128" t="s">
        <v>2702</v>
      </c>
    </row>
    <row r="1059" spans="1:22" x14ac:dyDescent="0.35">
      <c r="A1059" s="118">
        <v>1058</v>
      </c>
      <c r="B1059" s="128" t="s">
        <v>166</v>
      </c>
      <c r="C1059" s="128" t="s">
        <v>233</v>
      </c>
      <c r="D1059" s="128" t="s">
        <v>4183</v>
      </c>
      <c r="E1059" s="128" t="s">
        <v>4955</v>
      </c>
      <c r="F1059" s="128">
        <v>1980</v>
      </c>
      <c r="G1059" s="128">
        <v>113</v>
      </c>
      <c r="H1059" s="128">
        <v>12</v>
      </c>
      <c r="I1059" s="128">
        <v>125</v>
      </c>
      <c r="J1059" s="128" t="s">
        <v>1929</v>
      </c>
      <c r="K1059" s="128">
        <v>6.4</v>
      </c>
      <c r="L1059" s="128" t="s">
        <v>4956</v>
      </c>
      <c r="M1059" s="128" t="s">
        <v>4957</v>
      </c>
      <c r="N1059" s="128" t="s">
        <v>4958</v>
      </c>
      <c r="O1059" s="128">
        <v>577</v>
      </c>
      <c r="P1059" s="128">
        <v>117</v>
      </c>
      <c r="Q1059" s="128">
        <v>105</v>
      </c>
      <c r="R1059" s="128">
        <v>223</v>
      </c>
      <c r="S1059" s="128">
        <v>60</v>
      </c>
      <c r="T1059" s="128">
        <v>75</v>
      </c>
      <c r="U1059" s="128">
        <v>580</v>
      </c>
      <c r="V1059" s="128" t="s">
        <v>1547</v>
      </c>
    </row>
    <row r="1060" spans="1:22" x14ac:dyDescent="0.35">
      <c r="A1060" s="118">
        <v>1059</v>
      </c>
      <c r="B1060" s="128" t="s">
        <v>166</v>
      </c>
      <c r="C1060" s="128" t="s">
        <v>233</v>
      </c>
      <c r="D1060" s="128" t="s">
        <v>4959</v>
      </c>
      <c r="E1060" s="128" t="s">
        <v>4960</v>
      </c>
      <c r="F1060" s="128">
        <v>1980</v>
      </c>
      <c r="G1060" s="128">
        <v>107</v>
      </c>
      <c r="H1060" s="128">
        <v>6</v>
      </c>
      <c r="I1060" s="128">
        <v>113</v>
      </c>
      <c r="J1060" s="128" t="s">
        <v>1929</v>
      </c>
      <c r="K1060" s="128">
        <v>9.1999999999999993</v>
      </c>
      <c r="L1060" s="128" t="s">
        <v>4961</v>
      </c>
      <c r="M1060" s="128" t="s">
        <v>2531</v>
      </c>
      <c r="N1060" s="128" t="s">
        <v>3952</v>
      </c>
      <c r="O1060" s="128">
        <v>570</v>
      </c>
      <c r="P1060" s="128">
        <v>120</v>
      </c>
      <c r="Q1060" s="128">
        <v>110</v>
      </c>
      <c r="R1060" s="128">
        <v>213</v>
      </c>
      <c r="S1060" s="128">
        <v>62</v>
      </c>
      <c r="T1060" s="128">
        <v>70</v>
      </c>
      <c r="U1060" s="128">
        <v>575</v>
      </c>
      <c r="V1060" s="128" t="s">
        <v>1547</v>
      </c>
    </row>
    <row r="1061" spans="1:22" x14ac:dyDescent="0.35">
      <c r="A1061" s="118">
        <v>1060</v>
      </c>
      <c r="B1061" s="128" t="s">
        <v>166</v>
      </c>
      <c r="C1061" s="128" t="s">
        <v>233</v>
      </c>
      <c r="D1061" s="128" t="s">
        <v>4959</v>
      </c>
      <c r="E1061" s="128" t="s">
        <v>4962</v>
      </c>
      <c r="F1061" s="128">
        <v>1980</v>
      </c>
      <c r="G1061" s="128">
        <v>30</v>
      </c>
      <c r="H1061" s="128">
        <v>5</v>
      </c>
      <c r="I1061" s="128">
        <v>35</v>
      </c>
      <c r="J1061" s="128" t="s">
        <v>1929</v>
      </c>
      <c r="K1061" s="128">
        <v>3.2</v>
      </c>
      <c r="L1061" s="128" t="s">
        <v>2531</v>
      </c>
      <c r="M1061" s="128" t="s">
        <v>4963</v>
      </c>
      <c r="N1061" s="128" t="s">
        <v>4964</v>
      </c>
      <c r="O1061" s="128">
        <v>575</v>
      </c>
      <c r="P1061" s="128">
        <v>120</v>
      </c>
      <c r="Q1061" s="128">
        <v>105</v>
      </c>
      <c r="R1061" s="128">
        <v>218</v>
      </c>
      <c r="S1061" s="128">
        <v>62</v>
      </c>
      <c r="T1061" s="128">
        <v>75</v>
      </c>
      <c r="U1061" s="128">
        <v>580</v>
      </c>
      <c r="V1061" s="128" t="s">
        <v>1547</v>
      </c>
    </row>
    <row r="1062" spans="1:22" x14ac:dyDescent="0.35">
      <c r="A1062" s="118">
        <v>1061</v>
      </c>
      <c r="B1062" s="128" t="s">
        <v>166</v>
      </c>
      <c r="C1062" s="128" t="s">
        <v>233</v>
      </c>
      <c r="D1062" s="128" t="s">
        <v>2514</v>
      </c>
      <c r="E1062" s="128" t="s">
        <v>4965</v>
      </c>
      <c r="F1062" s="128">
        <v>2014</v>
      </c>
      <c r="G1062" s="128">
        <v>0</v>
      </c>
      <c r="H1062" s="128">
        <v>30</v>
      </c>
      <c r="I1062" s="128">
        <v>30</v>
      </c>
      <c r="J1062" s="128" t="s">
        <v>4966</v>
      </c>
      <c r="K1062" s="128" t="s">
        <v>4422</v>
      </c>
      <c r="L1062" s="128" t="s">
        <v>4967</v>
      </c>
      <c r="M1062" s="128" t="s">
        <v>2532</v>
      </c>
      <c r="N1062" s="128" t="s">
        <v>4968</v>
      </c>
      <c r="O1062" s="128">
        <v>455</v>
      </c>
      <c r="P1062" s="128">
        <v>102</v>
      </c>
      <c r="Q1062" s="128">
        <v>83</v>
      </c>
      <c r="R1062" s="128">
        <v>195</v>
      </c>
      <c r="S1062" s="128">
        <v>41</v>
      </c>
      <c r="T1062" s="128">
        <v>51</v>
      </c>
      <c r="U1062" s="128">
        <v>472</v>
      </c>
      <c r="V1062" s="128" t="s">
        <v>1547</v>
      </c>
    </row>
    <row r="1063" spans="1:22" x14ac:dyDescent="0.35">
      <c r="A1063" s="118">
        <v>1062</v>
      </c>
      <c r="B1063" s="128" t="s">
        <v>166</v>
      </c>
      <c r="C1063" s="128" t="s">
        <v>235</v>
      </c>
      <c r="D1063" s="128" t="s">
        <v>4969</v>
      </c>
      <c r="E1063" s="128" t="s">
        <v>729</v>
      </c>
      <c r="F1063" s="128">
        <v>1985</v>
      </c>
      <c r="G1063" s="128">
        <v>33</v>
      </c>
      <c r="H1063" s="128">
        <v>4</v>
      </c>
      <c r="I1063" s="128">
        <v>37</v>
      </c>
      <c r="J1063" s="128" t="s">
        <v>4970</v>
      </c>
      <c r="K1063" s="128">
        <v>4.2</v>
      </c>
      <c r="L1063" s="128" t="s">
        <v>4971</v>
      </c>
      <c r="M1063" s="128" t="s">
        <v>4972</v>
      </c>
      <c r="N1063" s="128" t="s">
        <v>4973</v>
      </c>
      <c r="O1063" s="128">
        <v>530</v>
      </c>
      <c r="P1063" s="128">
        <v>107</v>
      </c>
      <c r="Q1063" s="128">
        <v>102</v>
      </c>
      <c r="R1063" s="128">
        <v>218</v>
      </c>
      <c r="S1063" s="128">
        <v>43</v>
      </c>
      <c r="T1063" s="128">
        <v>65</v>
      </c>
      <c r="U1063" s="128">
        <v>535</v>
      </c>
      <c r="V1063" s="128" t="s">
        <v>1547</v>
      </c>
    </row>
    <row r="1064" spans="1:22" x14ac:dyDescent="0.35">
      <c r="A1064" s="118">
        <v>1063</v>
      </c>
      <c r="B1064" s="128" t="s">
        <v>166</v>
      </c>
      <c r="C1064" s="128" t="s">
        <v>235</v>
      </c>
      <c r="D1064" s="128" t="s">
        <v>4974</v>
      </c>
      <c r="E1064" s="128" t="s">
        <v>728</v>
      </c>
      <c r="F1064" s="128">
        <v>1985</v>
      </c>
      <c r="G1064" s="128">
        <v>32</v>
      </c>
      <c r="H1064" s="128">
        <v>1</v>
      </c>
      <c r="I1064" s="128">
        <v>33</v>
      </c>
      <c r="J1064" s="128" t="s">
        <v>4970</v>
      </c>
      <c r="K1064" s="128">
        <v>4.5</v>
      </c>
      <c r="L1064" s="128" t="s">
        <v>4975</v>
      </c>
      <c r="M1064" s="128" t="s">
        <v>2566</v>
      </c>
      <c r="N1064" s="128" t="s">
        <v>4976</v>
      </c>
      <c r="O1064" s="128">
        <v>525</v>
      </c>
      <c r="P1064" s="128">
        <v>105</v>
      </c>
      <c r="Q1064" s="128">
        <v>99</v>
      </c>
      <c r="R1064" s="128">
        <v>217</v>
      </c>
      <c r="S1064" s="128">
        <v>44</v>
      </c>
      <c r="T1064" s="128">
        <v>65</v>
      </c>
      <c r="U1064" s="128">
        <v>530</v>
      </c>
      <c r="V1064" s="128" t="s">
        <v>1547</v>
      </c>
    </row>
    <row r="1065" spans="1:22" x14ac:dyDescent="0.35">
      <c r="A1065" s="118">
        <v>1064</v>
      </c>
      <c r="B1065" s="128" t="s">
        <v>166</v>
      </c>
      <c r="C1065" s="128" t="s">
        <v>235</v>
      </c>
      <c r="D1065" s="128" t="s">
        <v>1182</v>
      </c>
      <c r="E1065" s="128" t="s">
        <v>727</v>
      </c>
      <c r="F1065" s="128">
        <v>1985</v>
      </c>
      <c r="G1065" s="128">
        <v>43</v>
      </c>
      <c r="H1065" s="128">
        <v>1</v>
      </c>
      <c r="I1065" s="128">
        <v>44</v>
      </c>
      <c r="J1065" s="128" t="s">
        <v>4970</v>
      </c>
      <c r="K1065" s="128">
        <v>5.2</v>
      </c>
      <c r="L1065" s="128" t="s">
        <v>2516</v>
      </c>
      <c r="M1065" s="128" t="s">
        <v>4977</v>
      </c>
      <c r="N1065" s="128" t="s">
        <v>4978</v>
      </c>
      <c r="O1065" s="128">
        <v>534</v>
      </c>
      <c r="P1065" s="128">
        <v>107</v>
      </c>
      <c r="Q1065" s="128">
        <v>103</v>
      </c>
      <c r="R1065" s="128">
        <v>220</v>
      </c>
      <c r="S1065" s="128">
        <v>44</v>
      </c>
      <c r="T1065" s="128">
        <v>65</v>
      </c>
      <c r="U1065" s="128">
        <v>539</v>
      </c>
      <c r="V1065" s="128" t="s">
        <v>1547</v>
      </c>
    </row>
    <row r="1066" spans="1:22" x14ac:dyDescent="0.35">
      <c r="A1066" s="118">
        <v>1065</v>
      </c>
      <c r="B1066" s="128" t="s">
        <v>166</v>
      </c>
      <c r="C1066" s="128" t="s">
        <v>235</v>
      </c>
      <c r="D1066" s="128" t="s">
        <v>2743</v>
      </c>
      <c r="E1066" s="128" t="s">
        <v>726</v>
      </c>
      <c r="F1066" s="128">
        <v>1985</v>
      </c>
      <c r="G1066" s="128">
        <v>54</v>
      </c>
      <c r="H1066" s="128">
        <v>1</v>
      </c>
      <c r="I1066" s="128">
        <v>55</v>
      </c>
      <c r="J1066" s="128" t="s">
        <v>4970</v>
      </c>
      <c r="K1066" s="128">
        <v>5.0999999999999996</v>
      </c>
      <c r="L1066" s="128" t="s">
        <v>2678</v>
      </c>
      <c r="M1066" s="128" t="s">
        <v>2776</v>
      </c>
      <c r="N1066" s="128" t="s">
        <v>4979</v>
      </c>
      <c r="O1066" s="128">
        <v>712</v>
      </c>
      <c r="P1066" s="128">
        <v>139</v>
      </c>
      <c r="Q1066" s="128">
        <v>120</v>
      </c>
      <c r="R1066" s="128">
        <v>295</v>
      </c>
      <c r="S1066" s="128">
        <v>82</v>
      </c>
      <c r="T1066" s="128">
        <v>82</v>
      </c>
      <c r="U1066" s="128">
        <v>718</v>
      </c>
      <c r="V1066" s="128" t="s">
        <v>2702</v>
      </c>
    </row>
    <row r="1067" spans="1:22" x14ac:dyDescent="0.35">
      <c r="A1067" s="118">
        <v>1066</v>
      </c>
      <c r="B1067" s="128" t="s">
        <v>166</v>
      </c>
      <c r="C1067" s="128" t="s">
        <v>241</v>
      </c>
      <c r="D1067" s="128" t="s">
        <v>4980</v>
      </c>
      <c r="E1067" s="128" t="s">
        <v>4981</v>
      </c>
      <c r="F1067" s="128">
        <v>1987</v>
      </c>
      <c r="G1067" s="128">
        <v>25</v>
      </c>
      <c r="H1067" s="128">
        <v>1</v>
      </c>
      <c r="I1067" s="128">
        <v>26</v>
      </c>
      <c r="J1067" s="128" t="s">
        <v>4970</v>
      </c>
      <c r="K1067" s="128">
        <v>5.5</v>
      </c>
      <c r="L1067" s="128" t="s">
        <v>4982</v>
      </c>
      <c r="M1067" s="128" t="s">
        <v>4983</v>
      </c>
      <c r="N1067" s="128" t="s">
        <v>4984</v>
      </c>
      <c r="O1067" s="128">
        <v>750</v>
      </c>
      <c r="P1067" s="128">
        <v>145</v>
      </c>
      <c r="Q1067" s="128">
        <v>130</v>
      </c>
      <c r="R1067" s="128">
        <v>305</v>
      </c>
      <c r="S1067" s="128">
        <v>85</v>
      </c>
      <c r="T1067" s="128">
        <v>90</v>
      </c>
      <c r="U1067" s="128">
        <v>755</v>
      </c>
      <c r="V1067" s="128" t="s">
        <v>2702</v>
      </c>
    </row>
    <row r="1068" spans="1:22" x14ac:dyDescent="0.35">
      <c r="A1068" s="118">
        <v>1067</v>
      </c>
      <c r="B1068" s="128" t="s">
        <v>166</v>
      </c>
      <c r="C1068" s="128" t="s">
        <v>241</v>
      </c>
      <c r="D1068" s="128" t="s">
        <v>4985</v>
      </c>
      <c r="E1068" s="128" t="s">
        <v>4986</v>
      </c>
      <c r="F1068" s="128">
        <v>1987</v>
      </c>
      <c r="G1068" s="128">
        <v>41</v>
      </c>
      <c r="H1068" s="128">
        <v>4</v>
      </c>
      <c r="I1068" s="128">
        <v>45</v>
      </c>
      <c r="J1068" s="128" t="s">
        <v>4970</v>
      </c>
      <c r="K1068" s="128">
        <v>5.5</v>
      </c>
      <c r="L1068" s="128" t="s">
        <v>1647</v>
      </c>
      <c r="M1068" s="128" t="s">
        <v>4987</v>
      </c>
      <c r="N1068" s="128" t="s">
        <v>4988</v>
      </c>
      <c r="O1068" s="128">
        <v>585</v>
      </c>
      <c r="P1068" s="128">
        <v>125</v>
      </c>
      <c r="Q1068" s="128">
        <v>110</v>
      </c>
      <c r="R1068" s="128">
        <v>228</v>
      </c>
      <c r="S1068" s="128">
        <v>62</v>
      </c>
      <c r="T1068" s="128">
        <v>65</v>
      </c>
      <c r="U1068" s="128">
        <v>590</v>
      </c>
      <c r="V1068" s="128" t="s">
        <v>1547</v>
      </c>
    </row>
    <row r="1069" spans="1:22" x14ac:dyDescent="0.35">
      <c r="A1069" s="118">
        <v>1068</v>
      </c>
      <c r="B1069" s="128" t="s">
        <v>166</v>
      </c>
      <c r="C1069" s="128" t="s">
        <v>241</v>
      </c>
      <c r="D1069" s="128" t="s">
        <v>4989</v>
      </c>
      <c r="E1069" s="128" t="s">
        <v>4990</v>
      </c>
      <c r="F1069" s="128">
        <v>1987</v>
      </c>
      <c r="G1069" s="128">
        <v>68</v>
      </c>
      <c r="H1069" s="128">
        <v>3</v>
      </c>
      <c r="I1069" s="128">
        <v>71</v>
      </c>
      <c r="J1069" s="128" t="s">
        <v>4970</v>
      </c>
      <c r="K1069" s="128">
        <v>8.1</v>
      </c>
      <c r="L1069" s="128" t="s">
        <v>4991</v>
      </c>
      <c r="M1069" s="128" t="s">
        <v>4992</v>
      </c>
      <c r="N1069" s="128" t="s">
        <v>4993</v>
      </c>
      <c r="O1069" s="128">
        <v>585</v>
      </c>
      <c r="P1069" s="128">
        <v>115</v>
      </c>
      <c r="Q1069" s="128">
        <v>110</v>
      </c>
      <c r="R1069" s="128">
        <v>230</v>
      </c>
      <c r="S1069" s="128">
        <v>65</v>
      </c>
      <c r="T1069" s="128">
        <v>70</v>
      </c>
      <c r="U1069" s="128">
        <v>590</v>
      </c>
      <c r="V1069" s="128" t="s">
        <v>1547</v>
      </c>
    </row>
    <row r="1070" spans="1:22" x14ac:dyDescent="0.35">
      <c r="A1070" s="118">
        <v>1069</v>
      </c>
      <c r="B1070" s="128" t="s">
        <v>166</v>
      </c>
      <c r="C1070" s="128" t="s">
        <v>241</v>
      </c>
      <c r="D1070" s="128" t="s">
        <v>4994</v>
      </c>
      <c r="E1070" s="128" t="s">
        <v>4995</v>
      </c>
      <c r="F1070" s="128">
        <v>1987</v>
      </c>
      <c r="G1070" s="128">
        <v>74</v>
      </c>
      <c r="H1070" s="128">
        <v>4</v>
      </c>
      <c r="I1070" s="128">
        <v>78</v>
      </c>
      <c r="J1070" s="128" t="s">
        <v>4970</v>
      </c>
      <c r="K1070" s="128">
        <v>8.4</v>
      </c>
      <c r="L1070" s="128" t="s">
        <v>4996</v>
      </c>
      <c r="M1070" s="128" t="s">
        <v>4997</v>
      </c>
      <c r="N1070" s="128" t="s">
        <v>4998</v>
      </c>
      <c r="O1070" s="128">
        <v>600</v>
      </c>
      <c r="P1070" s="128">
        <v>120</v>
      </c>
      <c r="Q1070" s="128">
        <v>106</v>
      </c>
      <c r="R1070" s="128">
        <v>238</v>
      </c>
      <c r="S1070" s="128">
        <v>71</v>
      </c>
      <c r="T1070" s="128">
        <v>70</v>
      </c>
      <c r="U1070" s="128">
        <v>605</v>
      </c>
      <c r="V1070" s="128" t="s">
        <v>1547</v>
      </c>
    </row>
    <row r="1071" spans="1:22" x14ac:dyDescent="0.35">
      <c r="A1071" s="118">
        <v>1070</v>
      </c>
      <c r="B1071" s="128" t="s">
        <v>166</v>
      </c>
      <c r="C1071" s="128" t="s">
        <v>241</v>
      </c>
      <c r="D1071" s="128" t="s">
        <v>4999</v>
      </c>
      <c r="E1071" s="128" t="s">
        <v>5000</v>
      </c>
      <c r="F1071" s="128">
        <v>1987</v>
      </c>
      <c r="G1071" s="128">
        <v>43</v>
      </c>
      <c r="H1071" s="128">
        <v>2</v>
      </c>
      <c r="I1071" s="128">
        <v>45</v>
      </c>
      <c r="J1071" s="128" t="s">
        <v>4970</v>
      </c>
      <c r="K1071" s="128">
        <v>8.5</v>
      </c>
      <c r="L1071" s="128" t="s">
        <v>5001</v>
      </c>
      <c r="M1071" s="128" t="s">
        <v>1540</v>
      </c>
      <c r="N1071" s="128" t="s">
        <v>1530</v>
      </c>
      <c r="O1071" s="128">
        <v>585</v>
      </c>
      <c r="P1071" s="128">
        <v>120</v>
      </c>
      <c r="Q1071" s="128">
        <v>105</v>
      </c>
      <c r="R1071" s="128">
        <v>232</v>
      </c>
      <c r="S1071" s="128">
        <v>68</v>
      </c>
      <c r="T1071" s="128">
        <v>65</v>
      </c>
      <c r="U1071" s="128">
        <v>590</v>
      </c>
      <c r="V1071" s="128" t="s">
        <v>1547</v>
      </c>
    </row>
    <row r="1072" spans="1:22" x14ac:dyDescent="0.35">
      <c r="A1072" s="118">
        <v>1071</v>
      </c>
      <c r="B1072" s="128" t="s">
        <v>166</v>
      </c>
      <c r="C1072" s="128" t="s">
        <v>241</v>
      </c>
      <c r="D1072" s="128" t="s">
        <v>5002</v>
      </c>
      <c r="E1072" s="128" t="s">
        <v>5003</v>
      </c>
      <c r="F1072" s="128">
        <v>1987</v>
      </c>
      <c r="G1072" s="128">
        <v>39</v>
      </c>
      <c r="H1072" s="128">
        <v>2</v>
      </c>
      <c r="I1072" s="128">
        <v>41</v>
      </c>
      <c r="J1072" s="128" t="s">
        <v>4970</v>
      </c>
      <c r="K1072" s="128">
        <v>6</v>
      </c>
      <c r="L1072" s="128" t="s">
        <v>5004</v>
      </c>
      <c r="M1072" s="128" t="s">
        <v>5005</v>
      </c>
      <c r="N1072" s="128" t="s">
        <v>2213</v>
      </c>
      <c r="O1072" s="128">
        <v>580</v>
      </c>
      <c r="P1072" s="128">
        <v>115</v>
      </c>
      <c r="Q1072" s="128">
        <v>110</v>
      </c>
      <c r="R1072" s="128">
        <v>228</v>
      </c>
      <c r="S1072" s="128">
        <v>62</v>
      </c>
      <c r="T1072" s="128">
        <v>70</v>
      </c>
      <c r="U1072" s="128">
        <v>585</v>
      </c>
      <c r="V1072" s="128" t="s">
        <v>1547</v>
      </c>
    </row>
    <row r="1073" spans="1:22" x14ac:dyDescent="0.35">
      <c r="A1073" s="118">
        <v>1072</v>
      </c>
      <c r="B1073" s="128" t="s">
        <v>166</v>
      </c>
      <c r="C1073" s="128" t="s">
        <v>241</v>
      </c>
      <c r="D1073" s="128" t="s">
        <v>5006</v>
      </c>
      <c r="E1073" s="128" t="s">
        <v>5007</v>
      </c>
      <c r="F1073" s="128">
        <v>1990</v>
      </c>
      <c r="G1073" s="128">
        <v>40</v>
      </c>
      <c r="H1073" s="128">
        <v>4</v>
      </c>
      <c r="I1073" s="128">
        <v>44</v>
      </c>
      <c r="J1073" s="128" t="s">
        <v>4970</v>
      </c>
      <c r="K1073" s="128">
        <v>8.1999999999999993</v>
      </c>
      <c r="L1073" s="128" t="s">
        <v>5008</v>
      </c>
      <c r="M1073" s="128" t="s">
        <v>1904</v>
      </c>
      <c r="N1073" s="128" t="s">
        <v>5009</v>
      </c>
      <c r="O1073" s="128">
        <v>545</v>
      </c>
      <c r="P1073" s="128">
        <v>110</v>
      </c>
      <c r="Q1073" s="128">
        <v>100</v>
      </c>
      <c r="R1073" s="128">
        <v>210</v>
      </c>
      <c r="S1073" s="128">
        <v>60</v>
      </c>
      <c r="T1073" s="128">
        <v>70</v>
      </c>
      <c r="U1073" s="128">
        <v>550</v>
      </c>
      <c r="V1073" s="128" t="s">
        <v>1547</v>
      </c>
    </row>
    <row r="1074" spans="1:22" x14ac:dyDescent="0.35">
      <c r="A1074" s="118">
        <v>1073</v>
      </c>
      <c r="B1074" s="128" t="s">
        <v>166</v>
      </c>
      <c r="C1074" s="128" t="s">
        <v>241</v>
      </c>
      <c r="D1074" s="128" t="s">
        <v>5010</v>
      </c>
      <c r="E1074" s="128" t="s">
        <v>5011</v>
      </c>
      <c r="F1074" s="128">
        <v>1990</v>
      </c>
      <c r="G1074" s="128">
        <v>86</v>
      </c>
      <c r="H1074" s="128">
        <v>5</v>
      </c>
      <c r="I1074" s="128">
        <v>91</v>
      </c>
      <c r="J1074" s="128" t="s">
        <v>4970</v>
      </c>
      <c r="K1074" s="128">
        <v>6.8</v>
      </c>
      <c r="L1074" s="128" t="s">
        <v>1869</v>
      </c>
      <c r="M1074" s="128" t="s">
        <v>1620</v>
      </c>
      <c r="N1074" s="128" t="s">
        <v>5001</v>
      </c>
      <c r="O1074" s="128">
        <v>550</v>
      </c>
      <c r="P1074" s="128">
        <v>110</v>
      </c>
      <c r="Q1074" s="128">
        <v>100</v>
      </c>
      <c r="R1074" s="128">
        <v>208</v>
      </c>
      <c r="S1074" s="128">
        <v>62</v>
      </c>
      <c r="T1074" s="128">
        <v>75</v>
      </c>
      <c r="U1074" s="128">
        <v>555</v>
      </c>
      <c r="V1074" s="128" t="s">
        <v>1547</v>
      </c>
    </row>
    <row r="1075" spans="1:22" x14ac:dyDescent="0.35">
      <c r="A1075" s="118">
        <v>1074</v>
      </c>
      <c r="B1075" s="128" t="s">
        <v>166</v>
      </c>
      <c r="C1075" s="128" t="s">
        <v>241</v>
      </c>
      <c r="D1075" s="128" t="s">
        <v>4334</v>
      </c>
      <c r="E1075" s="128" t="s">
        <v>5012</v>
      </c>
      <c r="F1075" s="128">
        <v>1990</v>
      </c>
      <c r="G1075" s="128">
        <v>100</v>
      </c>
      <c r="H1075" s="128">
        <v>9</v>
      </c>
      <c r="I1075" s="128">
        <v>109</v>
      </c>
      <c r="J1075" s="128" t="s">
        <v>4970</v>
      </c>
      <c r="K1075" s="128">
        <v>11</v>
      </c>
      <c r="L1075" s="128" t="s">
        <v>5013</v>
      </c>
      <c r="M1075" s="128" t="s">
        <v>5014</v>
      </c>
      <c r="N1075" s="128" t="s">
        <v>2926</v>
      </c>
      <c r="O1075" s="128">
        <v>545</v>
      </c>
      <c r="P1075" s="128">
        <v>110</v>
      </c>
      <c r="Q1075" s="128">
        <v>100</v>
      </c>
      <c r="R1075" s="128">
        <v>210</v>
      </c>
      <c r="S1075" s="128">
        <v>65</v>
      </c>
      <c r="T1075" s="128">
        <v>65</v>
      </c>
      <c r="U1075" s="128">
        <v>550</v>
      </c>
      <c r="V1075" s="128" t="s">
        <v>1547</v>
      </c>
    </row>
    <row r="1076" spans="1:22" x14ac:dyDescent="0.35">
      <c r="A1076" s="118">
        <v>1075</v>
      </c>
      <c r="B1076" s="128" t="s">
        <v>166</v>
      </c>
      <c r="C1076" s="128" t="s">
        <v>242</v>
      </c>
      <c r="D1076" s="128" t="s">
        <v>2391</v>
      </c>
      <c r="E1076" s="128" t="s">
        <v>791</v>
      </c>
      <c r="F1076" s="128">
        <v>1981</v>
      </c>
      <c r="G1076" s="128">
        <v>54</v>
      </c>
      <c r="H1076" s="128">
        <v>0</v>
      </c>
      <c r="I1076" s="128">
        <v>54</v>
      </c>
      <c r="J1076" s="128" t="s">
        <v>5015</v>
      </c>
      <c r="K1076" s="128">
        <v>3.1</v>
      </c>
      <c r="L1076" s="128" t="s">
        <v>5016</v>
      </c>
      <c r="M1076" s="128" t="s">
        <v>2425</v>
      </c>
      <c r="N1076" s="128" t="s">
        <v>3434</v>
      </c>
      <c r="O1076" s="128">
        <v>585</v>
      </c>
      <c r="P1076" s="128">
        <v>120</v>
      </c>
      <c r="Q1076" s="128">
        <v>110</v>
      </c>
      <c r="R1076" s="128">
        <v>220</v>
      </c>
      <c r="S1076" s="128">
        <v>60</v>
      </c>
      <c r="T1076" s="128">
        <v>80</v>
      </c>
      <c r="U1076" s="128">
        <v>590</v>
      </c>
      <c r="V1076" s="128" t="s">
        <v>1547</v>
      </c>
    </row>
    <row r="1077" spans="1:22" x14ac:dyDescent="0.35">
      <c r="A1077" s="118">
        <v>1076</v>
      </c>
      <c r="B1077" s="128" t="s">
        <v>166</v>
      </c>
      <c r="C1077" s="128" t="s">
        <v>242</v>
      </c>
      <c r="D1077" s="128" t="s">
        <v>4019</v>
      </c>
      <c r="E1077" s="128" t="s">
        <v>790</v>
      </c>
      <c r="F1077" s="128">
        <v>1981</v>
      </c>
      <c r="G1077" s="128">
        <v>33</v>
      </c>
      <c r="H1077" s="128">
        <v>2</v>
      </c>
      <c r="I1077" s="128">
        <v>35</v>
      </c>
      <c r="J1077" s="128" t="s">
        <v>5015</v>
      </c>
      <c r="K1077" s="128">
        <v>4.2</v>
      </c>
      <c r="L1077" s="128" t="s">
        <v>5017</v>
      </c>
      <c r="M1077" s="128" t="s">
        <v>5018</v>
      </c>
      <c r="N1077" s="128" t="s">
        <v>5019</v>
      </c>
      <c r="O1077" s="128">
        <v>580</v>
      </c>
      <c r="P1077" s="128">
        <v>120</v>
      </c>
      <c r="Q1077" s="128">
        <v>110</v>
      </c>
      <c r="R1077" s="128">
        <v>225</v>
      </c>
      <c r="S1077" s="128">
        <v>60</v>
      </c>
      <c r="T1077" s="128">
        <v>70</v>
      </c>
      <c r="U1077" s="128">
        <v>585</v>
      </c>
      <c r="V1077" s="128" t="s">
        <v>1547</v>
      </c>
    </row>
    <row r="1078" spans="1:22" x14ac:dyDescent="0.35">
      <c r="A1078" s="118">
        <v>1077</v>
      </c>
      <c r="B1078" s="128" t="s">
        <v>166</v>
      </c>
      <c r="C1078" s="128" t="s">
        <v>242</v>
      </c>
      <c r="D1078" s="128" t="s">
        <v>5020</v>
      </c>
      <c r="E1078" s="128" t="s">
        <v>789</v>
      </c>
      <c r="F1078" s="128">
        <v>1981</v>
      </c>
      <c r="G1078" s="128">
        <v>88</v>
      </c>
      <c r="H1078" s="128">
        <v>5</v>
      </c>
      <c r="I1078" s="128">
        <v>93</v>
      </c>
      <c r="J1078" s="128" t="s">
        <v>5015</v>
      </c>
      <c r="K1078" s="128">
        <v>10.8</v>
      </c>
      <c r="L1078" s="128" t="s">
        <v>2539</v>
      </c>
      <c r="M1078" s="128" t="s">
        <v>5021</v>
      </c>
      <c r="N1078" s="128" t="s">
        <v>2406</v>
      </c>
      <c r="O1078" s="128">
        <v>553</v>
      </c>
      <c r="P1078" s="128">
        <v>117</v>
      </c>
      <c r="Q1078" s="128">
        <v>105</v>
      </c>
      <c r="R1078" s="128">
        <v>208</v>
      </c>
      <c r="S1078" s="128">
        <v>55</v>
      </c>
      <c r="T1078" s="128">
        <v>75</v>
      </c>
      <c r="U1078" s="128">
        <v>560</v>
      </c>
      <c r="V1078" s="128" t="s">
        <v>1547</v>
      </c>
    </row>
    <row r="1079" spans="1:22" x14ac:dyDescent="0.35">
      <c r="A1079" s="118">
        <v>1078</v>
      </c>
      <c r="B1079" s="128" t="s">
        <v>166</v>
      </c>
      <c r="C1079" s="128" t="s">
        <v>242</v>
      </c>
      <c r="D1079" s="128" t="s">
        <v>2391</v>
      </c>
      <c r="E1079" s="128" t="s">
        <v>788</v>
      </c>
      <c r="F1079" s="128">
        <v>1981</v>
      </c>
      <c r="G1079" s="128">
        <v>34</v>
      </c>
      <c r="H1079" s="128">
        <v>0</v>
      </c>
      <c r="I1079" s="128">
        <v>34</v>
      </c>
      <c r="J1079" s="128" t="s">
        <v>5015</v>
      </c>
      <c r="K1079" s="128">
        <v>3.5</v>
      </c>
      <c r="L1079" s="128" t="s">
        <v>5022</v>
      </c>
      <c r="M1079" s="128" t="s">
        <v>2406</v>
      </c>
      <c r="N1079" s="128" t="s">
        <v>2531</v>
      </c>
      <c r="O1079" s="128">
        <v>755</v>
      </c>
      <c r="P1079" s="128">
        <v>150</v>
      </c>
      <c r="Q1079" s="128">
        <v>134</v>
      </c>
      <c r="R1079" s="128">
        <v>314</v>
      </c>
      <c r="S1079" s="128">
        <v>82</v>
      </c>
      <c r="T1079" s="128">
        <v>80</v>
      </c>
      <c r="U1079" s="128">
        <v>760</v>
      </c>
      <c r="V1079" s="128" t="s">
        <v>2702</v>
      </c>
    </row>
    <row r="1080" spans="1:22" x14ac:dyDescent="0.35">
      <c r="A1080" s="118">
        <v>1079</v>
      </c>
      <c r="B1080" s="128" t="s">
        <v>166</v>
      </c>
      <c r="C1080" s="128" t="s">
        <v>242</v>
      </c>
      <c r="D1080" s="128" t="s">
        <v>4019</v>
      </c>
      <c r="E1080" s="128" t="s">
        <v>787</v>
      </c>
      <c r="F1080" s="128">
        <v>1981</v>
      </c>
      <c r="G1080" s="128">
        <v>64</v>
      </c>
      <c r="H1080" s="128">
        <v>9</v>
      </c>
      <c r="I1080" s="128">
        <v>73</v>
      </c>
      <c r="J1080" s="128" t="s">
        <v>5015</v>
      </c>
      <c r="K1080" s="128">
        <v>9</v>
      </c>
      <c r="L1080" s="128" t="s">
        <v>2750</v>
      </c>
      <c r="M1080" s="128" t="s">
        <v>5023</v>
      </c>
      <c r="N1080" s="128" t="s">
        <v>5024</v>
      </c>
      <c r="O1080" s="128">
        <v>568</v>
      </c>
      <c r="P1080" s="128">
        <v>120</v>
      </c>
      <c r="Q1080" s="128">
        <v>105</v>
      </c>
      <c r="R1080" s="128">
        <v>223</v>
      </c>
      <c r="S1080" s="128">
        <v>55</v>
      </c>
      <c r="T1080" s="128">
        <v>70</v>
      </c>
      <c r="U1080" s="128">
        <v>573</v>
      </c>
      <c r="V1080" s="128" t="s">
        <v>1547</v>
      </c>
    </row>
    <row r="1081" spans="1:22" x14ac:dyDescent="0.35">
      <c r="A1081" s="118">
        <v>1080</v>
      </c>
      <c r="B1081" s="128" t="s">
        <v>166</v>
      </c>
      <c r="C1081" s="128" t="s">
        <v>242</v>
      </c>
      <c r="D1081" s="128" t="s">
        <v>5025</v>
      </c>
      <c r="E1081" s="128" t="s">
        <v>786</v>
      </c>
      <c r="F1081" s="128">
        <v>1981</v>
      </c>
      <c r="G1081" s="128">
        <v>62</v>
      </c>
      <c r="H1081" s="128">
        <v>2</v>
      </c>
      <c r="I1081" s="128">
        <v>64</v>
      </c>
      <c r="J1081" s="128" t="s">
        <v>5015</v>
      </c>
      <c r="K1081" s="128">
        <v>9.6999999999999993</v>
      </c>
      <c r="L1081" s="128" t="s">
        <v>5026</v>
      </c>
      <c r="M1081" s="128" t="s">
        <v>5027</v>
      </c>
      <c r="N1081" s="128" t="s">
        <v>5028</v>
      </c>
      <c r="O1081" s="128">
        <v>563</v>
      </c>
      <c r="P1081" s="128">
        <v>120</v>
      </c>
      <c r="Q1081" s="128">
        <v>104</v>
      </c>
      <c r="R1081" s="128">
        <v>218</v>
      </c>
      <c r="S1081" s="128">
        <v>56</v>
      </c>
      <c r="T1081" s="128">
        <v>70</v>
      </c>
      <c r="U1081" s="128">
        <v>568</v>
      </c>
      <c r="V1081" s="128" t="s">
        <v>1547</v>
      </c>
    </row>
    <row r="1082" spans="1:22" x14ac:dyDescent="0.35">
      <c r="A1082" s="118">
        <v>1081</v>
      </c>
      <c r="B1082" s="128" t="s">
        <v>166</v>
      </c>
      <c r="C1082" s="128" t="s">
        <v>242</v>
      </c>
      <c r="D1082" s="128" t="s">
        <v>5025</v>
      </c>
      <c r="E1082" s="128" t="s">
        <v>785</v>
      </c>
      <c r="F1082" s="128">
        <v>2009</v>
      </c>
      <c r="G1082" s="128">
        <v>55</v>
      </c>
      <c r="H1082" s="128">
        <v>0</v>
      </c>
      <c r="I1082" s="128">
        <v>55</v>
      </c>
      <c r="J1082" s="128" t="s">
        <v>5015</v>
      </c>
      <c r="K1082" s="128">
        <v>10.7</v>
      </c>
      <c r="L1082" s="128" t="s">
        <v>5029</v>
      </c>
      <c r="M1082" s="128" t="s">
        <v>5030</v>
      </c>
      <c r="N1082" s="128" t="s">
        <v>2512</v>
      </c>
      <c r="O1082" s="128">
        <v>547</v>
      </c>
      <c r="P1082" s="128">
        <v>115</v>
      </c>
      <c r="Q1082" s="128">
        <v>104</v>
      </c>
      <c r="R1082" s="128">
        <v>213</v>
      </c>
      <c r="S1082" s="128">
        <v>56</v>
      </c>
      <c r="T1082" s="128">
        <v>65</v>
      </c>
      <c r="U1082" s="128">
        <v>553</v>
      </c>
      <c r="V1082" s="128" t="s">
        <v>1547</v>
      </c>
    </row>
    <row r="1083" spans="1:22" x14ac:dyDescent="0.35">
      <c r="A1083" s="118">
        <v>1082</v>
      </c>
      <c r="B1083" s="128" t="s">
        <v>166</v>
      </c>
      <c r="C1083" s="128" t="s">
        <v>245</v>
      </c>
      <c r="D1083" s="128" t="s">
        <v>1517</v>
      </c>
      <c r="E1083" s="128" t="s">
        <v>806</v>
      </c>
      <c r="F1083" s="128">
        <v>1970</v>
      </c>
      <c r="G1083" s="128">
        <v>96</v>
      </c>
      <c r="H1083" s="128">
        <v>11</v>
      </c>
      <c r="I1083" s="128">
        <v>107</v>
      </c>
      <c r="J1083" s="128" t="s">
        <v>5031</v>
      </c>
      <c r="K1083" s="128">
        <v>67.900000000000006</v>
      </c>
      <c r="L1083" s="128" t="s">
        <v>1722</v>
      </c>
      <c r="M1083" s="128" t="s">
        <v>1662</v>
      </c>
      <c r="N1083" s="128" t="s">
        <v>5032</v>
      </c>
      <c r="O1083" s="128">
        <v>614</v>
      </c>
      <c r="P1083" s="128">
        <v>132</v>
      </c>
      <c r="Q1083" s="128">
        <v>115</v>
      </c>
      <c r="R1083" s="128">
        <v>245</v>
      </c>
      <c r="S1083" s="128">
        <v>65</v>
      </c>
      <c r="T1083" s="128">
        <v>117</v>
      </c>
      <c r="U1083" s="128">
        <v>674</v>
      </c>
      <c r="V1083" s="128" t="s">
        <v>1547</v>
      </c>
    </row>
    <row r="1084" spans="1:22" x14ac:dyDescent="0.35">
      <c r="A1084" s="118">
        <v>1083</v>
      </c>
      <c r="B1084" s="128" t="s">
        <v>166</v>
      </c>
      <c r="C1084" s="128" t="s">
        <v>245</v>
      </c>
      <c r="D1084" s="128" t="s">
        <v>5033</v>
      </c>
      <c r="E1084" s="128" t="s">
        <v>805</v>
      </c>
      <c r="F1084" s="128">
        <v>1970</v>
      </c>
      <c r="G1084" s="128">
        <v>177</v>
      </c>
      <c r="H1084" s="128">
        <v>12</v>
      </c>
      <c r="I1084" s="128">
        <v>189</v>
      </c>
      <c r="J1084" s="128" t="s">
        <v>5031</v>
      </c>
      <c r="K1084" s="128">
        <v>129.54</v>
      </c>
      <c r="L1084" s="128" t="s">
        <v>2005</v>
      </c>
      <c r="M1084" s="128" t="s">
        <v>1699</v>
      </c>
      <c r="N1084" s="128" t="s">
        <v>5034</v>
      </c>
      <c r="O1084" s="128">
        <v>609</v>
      </c>
      <c r="P1084" s="128">
        <v>130</v>
      </c>
      <c r="Q1084" s="128">
        <v>113</v>
      </c>
      <c r="R1084" s="128">
        <v>237</v>
      </c>
      <c r="S1084" s="128">
        <v>66</v>
      </c>
      <c r="T1084" s="128">
        <v>70</v>
      </c>
      <c r="U1084" s="128">
        <v>616</v>
      </c>
      <c r="V1084" s="128" t="s">
        <v>1547</v>
      </c>
    </row>
    <row r="1085" spans="1:22" x14ac:dyDescent="0.35">
      <c r="A1085" s="118">
        <v>1084</v>
      </c>
      <c r="B1085" s="128" t="s">
        <v>166</v>
      </c>
      <c r="C1085" s="128" t="s">
        <v>245</v>
      </c>
      <c r="D1085" s="128" t="s">
        <v>5035</v>
      </c>
      <c r="E1085" s="128" t="s">
        <v>804</v>
      </c>
      <c r="F1085" s="128">
        <v>1970</v>
      </c>
      <c r="G1085" s="128">
        <v>146</v>
      </c>
      <c r="H1085" s="128">
        <v>6</v>
      </c>
      <c r="I1085" s="128">
        <v>152</v>
      </c>
      <c r="J1085" s="128" t="s">
        <v>5031</v>
      </c>
      <c r="K1085" s="128">
        <v>135.55000000000001</v>
      </c>
      <c r="L1085" s="128" t="s">
        <v>1556</v>
      </c>
      <c r="M1085" s="128" t="s">
        <v>5036</v>
      </c>
      <c r="N1085" s="128" t="s">
        <v>5037</v>
      </c>
      <c r="O1085" s="128">
        <v>584</v>
      </c>
      <c r="P1085" s="128">
        <v>122</v>
      </c>
      <c r="Q1085" s="128">
        <v>96</v>
      </c>
      <c r="R1085" s="128">
        <v>240</v>
      </c>
      <c r="S1085" s="128">
        <v>65</v>
      </c>
      <c r="T1085" s="128">
        <v>70</v>
      </c>
      <c r="U1085" s="128">
        <v>593</v>
      </c>
      <c r="V1085" s="128" t="s">
        <v>1547</v>
      </c>
    </row>
    <row r="1086" spans="1:22" x14ac:dyDescent="0.35">
      <c r="A1086" s="118">
        <v>1085</v>
      </c>
      <c r="B1086" s="128" t="s">
        <v>166</v>
      </c>
      <c r="C1086" s="128" t="s">
        <v>245</v>
      </c>
      <c r="D1086" s="128" t="s">
        <v>1513</v>
      </c>
      <c r="E1086" s="128" t="s">
        <v>803</v>
      </c>
      <c r="F1086" s="128">
        <v>1970</v>
      </c>
      <c r="G1086" s="128">
        <v>138</v>
      </c>
      <c r="H1086" s="128">
        <v>10</v>
      </c>
      <c r="I1086" s="128">
        <v>148</v>
      </c>
      <c r="J1086" s="128" t="s">
        <v>5038</v>
      </c>
      <c r="K1086" s="128">
        <v>148.25</v>
      </c>
      <c r="L1086" s="128" t="s">
        <v>5039</v>
      </c>
      <c r="M1086" s="128" t="s">
        <v>5040</v>
      </c>
      <c r="N1086" s="128" t="s">
        <v>1577</v>
      </c>
      <c r="O1086" s="128">
        <v>636</v>
      </c>
      <c r="P1086" s="128">
        <v>131</v>
      </c>
      <c r="Q1086" s="128">
        <v>115</v>
      </c>
      <c r="R1086" s="128">
        <v>248</v>
      </c>
      <c r="S1086" s="128">
        <v>70</v>
      </c>
      <c r="T1086" s="128">
        <v>80</v>
      </c>
      <c r="U1086" s="128">
        <v>644</v>
      </c>
      <c r="V1086" s="128" t="s">
        <v>1547</v>
      </c>
    </row>
    <row r="1087" spans="1:22" x14ac:dyDescent="0.35">
      <c r="A1087" s="118">
        <v>1086</v>
      </c>
      <c r="B1087" s="128" t="s">
        <v>166</v>
      </c>
      <c r="C1087" s="128" t="s">
        <v>245</v>
      </c>
      <c r="D1087" s="128" t="s">
        <v>5041</v>
      </c>
      <c r="E1087" s="128" t="s">
        <v>802</v>
      </c>
      <c r="F1087" s="128">
        <v>1970</v>
      </c>
      <c r="G1087" s="128">
        <v>164</v>
      </c>
      <c r="H1087" s="128">
        <v>6</v>
      </c>
      <c r="I1087" s="128">
        <v>170</v>
      </c>
      <c r="J1087" s="128" t="s">
        <v>5038</v>
      </c>
      <c r="K1087" s="128">
        <v>67.569999999999993</v>
      </c>
      <c r="L1087" s="128" t="s">
        <v>1586</v>
      </c>
      <c r="M1087" s="128" t="s">
        <v>5042</v>
      </c>
      <c r="N1087" s="128" t="s">
        <v>1620</v>
      </c>
      <c r="O1087" s="128">
        <v>600</v>
      </c>
      <c r="P1087" s="128">
        <v>130</v>
      </c>
      <c r="Q1087" s="128">
        <v>115</v>
      </c>
      <c r="R1087" s="128">
        <v>230</v>
      </c>
      <c r="S1087" s="128">
        <v>65</v>
      </c>
      <c r="T1087" s="128">
        <v>70</v>
      </c>
      <c r="U1087" s="128">
        <v>610</v>
      </c>
      <c r="V1087" s="128" t="s">
        <v>1547</v>
      </c>
    </row>
    <row r="1088" spans="1:22" x14ac:dyDescent="0.35">
      <c r="A1088" s="118">
        <v>1087</v>
      </c>
      <c r="B1088" s="128" t="s">
        <v>166</v>
      </c>
      <c r="C1088" s="128" t="s">
        <v>248</v>
      </c>
      <c r="D1088" s="128" t="s">
        <v>2391</v>
      </c>
      <c r="E1088" s="128" t="s">
        <v>818</v>
      </c>
      <c r="F1088" s="128">
        <v>1970</v>
      </c>
      <c r="G1088" s="128">
        <v>124</v>
      </c>
      <c r="H1088" s="128">
        <v>9</v>
      </c>
      <c r="I1088" s="128">
        <v>133</v>
      </c>
      <c r="J1088" s="128" t="s">
        <v>5043</v>
      </c>
      <c r="K1088" s="128" t="s">
        <v>5044</v>
      </c>
      <c r="L1088" s="128" t="s">
        <v>5045</v>
      </c>
      <c r="M1088" s="128" t="s">
        <v>4080</v>
      </c>
      <c r="N1088" s="128" t="s">
        <v>5046</v>
      </c>
      <c r="O1088" s="128">
        <v>622</v>
      </c>
      <c r="P1088" s="128">
        <v>115</v>
      </c>
      <c r="Q1088" s="128">
        <v>112</v>
      </c>
      <c r="R1088" s="128">
        <v>261</v>
      </c>
      <c r="S1088" s="128">
        <v>70</v>
      </c>
      <c r="T1088" s="128">
        <v>123</v>
      </c>
      <c r="U1088" s="128">
        <v>681</v>
      </c>
      <c r="V1088" s="128" t="s">
        <v>1547</v>
      </c>
    </row>
    <row r="1089" spans="1:22" x14ac:dyDescent="0.35">
      <c r="A1089" s="118">
        <v>1088</v>
      </c>
      <c r="B1089" s="128" t="s">
        <v>166</v>
      </c>
      <c r="C1089" s="128" t="s">
        <v>248</v>
      </c>
      <c r="D1089" s="128" t="s">
        <v>5047</v>
      </c>
      <c r="E1089" s="128" t="s">
        <v>817</v>
      </c>
      <c r="F1089" s="128">
        <v>1970</v>
      </c>
      <c r="G1089" s="128">
        <v>92</v>
      </c>
      <c r="H1089" s="128">
        <v>16</v>
      </c>
      <c r="I1089" s="128">
        <v>108</v>
      </c>
      <c r="J1089" s="128" t="s">
        <v>5048</v>
      </c>
      <c r="K1089" s="128" t="s">
        <v>5049</v>
      </c>
      <c r="L1089" s="128" t="s">
        <v>5050</v>
      </c>
      <c r="M1089" s="128" t="s">
        <v>5051</v>
      </c>
      <c r="N1089" s="128" t="s">
        <v>1776</v>
      </c>
      <c r="O1089" s="128">
        <v>544</v>
      </c>
      <c r="P1089" s="128">
        <v>126</v>
      </c>
      <c r="Q1089" s="128">
        <v>110</v>
      </c>
      <c r="R1089" s="128">
        <v>220</v>
      </c>
      <c r="S1089" s="128">
        <v>55</v>
      </c>
      <c r="T1089" s="128">
        <v>65</v>
      </c>
      <c r="U1089" s="128">
        <v>576</v>
      </c>
      <c r="V1089" s="128" t="s">
        <v>1547</v>
      </c>
    </row>
    <row r="1090" spans="1:22" x14ac:dyDescent="0.35">
      <c r="A1090" s="118">
        <v>1089</v>
      </c>
      <c r="B1090" s="128" t="s">
        <v>166</v>
      </c>
      <c r="C1090" s="128" t="s">
        <v>248</v>
      </c>
      <c r="D1090" s="128" t="s">
        <v>5052</v>
      </c>
      <c r="E1090" s="128" t="s">
        <v>816</v>
      </c>
      <c r="F1090" s="128">
        <v>1970</v>
      </c>
      <c r="G1090" s="128">
        <v>63</v>
      </c>
      <c r="H1090" s="128">
        <v>9</v>
      </c>
      <c r="I1090" s="128">
        <v>72</v>
      </c>
      <c r="J1090" s="128" t="s">
        <v>5043</v>
      </c>
      <c r="K1090" s="128" t="s">
        <v>5053</v>
      </c>
      <c r="L1090" s="128" t="s">
        <v>5054</v>
      </c>
      <c r="M1090" s="128" t="s">
        <v>5055</v>
      </c>
      <c r="N1090" s="128" t="s">
        <v>5056</v>
      </c>
      <c r="O1090" s="128">
        <v>770</v>
      </c>
      <c r="P1090" s="128">
        <v>158</v>
      </c>
      <c r="Q1090" s="128">
        <v>140</v>
      </c>
      <c r="R1090" s="128">
        <v>300</v>
      </c>
      <c r="S1090" s="128">
        <v>100</v>
      </c>
      <c r="T1090" s="128">
        <v>85</v>
      </c>
      <c r="U1090" s="128">
        <v>783</v>
      </c>
      <c r="V1090" s="128" t="s">
        <v>2702</v>
      </c>
    </row>
    <row r="1091" spans="1:22" x14ac:dyDescent="0.35">
      <c r="A1091" s="118">
        <v>1090</v>
      </c>
      <c r="B1091" s="128" t="s">
        <v>166</v>
      </c>
      <c r="C1091" s="128" t="s">
        <v>248</v>
      </c>
      <c r="D1091" s="128" t="s">
        <v>5057</v>
      </c>
      <c r="E1091" s="128" t="s">
        <v>815</v>
      </c>
      <c r="F1091" s="128">
        <v>1970</v>
      </c>
      <c r="G1091" s="128">
        <v>162</v>
      </c>
      <c r="H1091" s="128">
        <v>21</v>
      </c>
      <c r="I1091" s="128">
        <v>182</v>
      </c>
      <c r="J1091" s="128" t="s">
        <v>5043</v>
      </c>
      <c r="K1091" s="128" t="s">
        <v>5058</v>
      </c>
      <c r="L1091" s="128" t="s">
        <v>5059</v>
      </c>
      <c r="M1091" s="128" t="s">
        <v>1911</v>
      </c>
      <c r="N1091" s="128" t="s">
        <v>5060</v>
      </c>
      <c r="O1091" s="128">
        <v>615</v>
      </c>
      <c r="P1091" s="128">
        <v>131</v>
      </c>
      <c r="Q1091" s="128">
        <v>113</v>
      </c>
      <c r="R1091" s="128">
        <v>240</v>
      </c>
      <c r="S1091" s="128">
        <v>66</v>
      </c>
      <c r="T1091" s="128">
        <v>75</v>
      </c>
      <c r="U1091" s="128">
        <v>625</v>
      </c>
      <c r="V1091" s="128" t="s">
        <v>1547</v>
      </c>
    </row>
    <row r="1092" spans="1:22" x14ac:dyDescent="0.35">
      <c r="A1092" s="118">
        <v>1091</v>
      </c>
      <c r="B1092" s="128" t="s">
        <v>166</v>
      </c>
      <c r="C1092" s="128" t="s">
        <v>248</v>
      </c>
      <c r="D1092" s="128" t="s">
        <v>2500</v>
      </c>
      <c r="E1092" s="128" t="s">
        <v>814</v>
      </c>
      <c r="F1092" s="128">
        <v>1970</v>
      </c>
      <c r="G1092" s="128">
        <v>130</v>
      </c>
      <c r="H1092" s="128">
        <v>17</v>
      </c>
      <c r="I1092" s="128">
        <v>147</v>
      </c>
      <c r="J1092" s="128" t="s">
        <v>5043</v>
      </c>
      <c r="K1092" s="128" t="s">
        <v>5061</v>
      </c>
      <c r="L1092" s="128" t="s">
        <v>4273</v>
      </c>
      <c r="M1092" s="128" t="s">
        <v>5062</v>
      </c>
      <c r="N1092" s="128" t="s">
        <v>1813</v>
      </c>
      <c r="O1092" s="128">
        <v>624</v>
      </c>
      <c r="P1092" s="128">
        <v>130</v>
      </c>
      <c r="Q1092" s="128">
        <v>115</v>
      </c>
      <c r="R1092" s="128">
        <v>250</v>
      </c>
      <c r="S1092" s="128">
        <v>70</v>
      </c>
      <c r="T1092" s="128">
        <v>70</v>
      </c>
      <c r="U1092" s="128">
        <v>635</v>
      </c>
      <c r="V1092" s="128" t="s">
        <v>1547</v>
      </c>
    </row>
    <row r="1093" spans="1:22" x14ac:dyDescent="0.35">
      <c r="A1093" s="118">
        <v>1092</v>
      </c>
      <c r="B1093" s="128" t="s">
        <v>166</v>
      </c>
      <c r="C1093" s="128" t="s">
        <v>6254</v>
      </c>
      <c r="D1093" s="128" t="s">
        <v>1517</v>
      </c>
      <c r="E1093" s="128" t="s">
        <v>823</v>
      </c>
      <c r="F1093" s="128">
        <v>1970</v>
      </c>
      <c r="G1093" s="128">
        <v>79</v>
      </c>
      <c r="H1093" s="128">
        <v>10</v>
      </c>
      <c r="I1093" s="128">
        <v>89</v>
      </c>
      <c r="J1093" s="128" t="s">
        <v>5048</v>
      </c>
      <c r="K1093" s="128">
        <v>35.22</v>
      </c>
      <c r="L1093" s="128" t="s">
        <v>1823</v>
      </c>
      <c r="M1093" s="128" t="s">
        <v>5063</v>
      </c>
      <c r="N1093" s="128" t="s">
        <v>1737</v>
      </c>
      <c r="O1093" s="128">
        <v>643</v>
      </c>
      <c r="P1093" s="128">
        <v>132</v>
      </c>
      <c r="Q1093" s="128">
        <v>115</v>
      </c>
      <c r="R1093" s="128">
        <v>250</v>
      </c>
      <c r="S1093" s="128">
        <v>75</v>
      </c>
      <c r="T1093" s="128">
        <v>124</v>
      </c>
      <c r="U1093" s="128">
        <v>696</v>
      </c>
      <c r="V1093" s="128" t="s">
        <v>1547</v>
      </c>
    </row>
    <row r="1094" spans="1:22" x14ac:dyDescent="0.35">
      <c r="A1094" s="118">
        <v>1093</v>
      </c>
      <c r="B1094" s="128" t="s">
        <v>166</v>
      </c>
      <c r="C1094" s="128" t="s">
        <v>6254</v>
      </c>
      <c r="D1094" s="128" t="s">
        <v>3475</v>
      </c>
      <c r="E1094" s="128" t="s">
        <v>822</v>
      </c>
      <c r="F1094" s="128">
        <v>1970</v>
      </c>
      <c r="G1094" s="128">
        <v>83</v>
      </c>
      <c r="H1094" s="128">
        <v>6</v>
      </c>
      <c r="I1094" s="128">
        <v>88</v>
      </c>
      <c r="J1094" s="128" t="s">
        <v>5048</v>
      </c>
      <c r="K1094" s="128">
        <v>49.86</v>
      </c>
      <c r="L1094" s="128" t="s">
        <v>1620</v>
      </c>
      <c r="M1094" s="128" t="s">
        <v>4524</v>
      </c>
      <c r="N1094" s="128" t="s">
        <v>4028</v>
      </c>
      <c r="O1094" s="128">
        <v>763</v>
      </c>
      <c r="P1094" s="128">
        <v>160</v>
      </c>
      <c r="Q1094" s="128">
        <v>140</v>
      </c>
      <c r="R1094" s="128">
        <v>300</v>
      </c>
      <c r="S1094" s="128">
        <v>97</v>
      </c>
      <c r="T1094" s="128">
        <v>83</v>
      </c>
      <c r="U1094" s="128">
        <v>780</v>
      </c>
      <c r="V1094" s="128" t="s">
        <v>2702</v>
      </c>
    </row>
    <row r="1095" spans="1:22" x14ac:dyDescent="0.35">
      <c r="A1095" s="118">
        <v>1094</v>
      </c>
      <c r="B1095" s="128" t="s">
        <v>166</v>
      </c>
      <c r="C1095" s="128" t="s">
        <v>6254</v>
      </c>
      <c r="D1095" s="128" t="s">
        <v>5064</v>
      </c>
      <c r="E1095" s="128" t="s">
        <v>821</v>
      </c>
      <c r="F1095" s="128">
        <v>1970</v>
      </c>
      <c r="G1095" s="128">
        <v>79</v>
      </c>
      <c r="H1095" s="128">
        <v>0</v>
      </c>
      <c r="I1095" s="128">
        <v>79</v>
      </c>
      <c r="J1095" s="128" t="s">
        <v>5048</v>
      </c>
      <c r="K1095" s="128">
        <v>34.049999999999997</v>
      </c>
      <c r="L1095" s="128" t="s">
        <v>5065</v>
      </c>
      <c r="M1095" s="128" t="s">
        <v>5066</v>
      </c>
      <c r="N1095" s="128" t="s">
        <v>4276</v>
      </c>
      <c r="O1095" s="128">
        <v>775</v>
      </c>
      <c r="P1095" s="128">
        <v>165</v>
      </c>
      <c r="Q1095" s="128">
        <v>140</v>
      </c>
      <c r="R1095" s="128">
        <v>306</v>
      </c>
      <c r="S1095" s="128">
        <v>97</v>
      </c>
      <c r="T1095" s="128">
        <v>90</v>
      </c>
      <c r="U1095" s="128">
        <v>798</v>
      </c>
      <c r="V1095" s="128" t="s">
        <v>2702</v>
      </c>
    </row>
    <row r="1096" spans="1:22" x14ac:dyDescent="0.35">
      <c r="A1096" s="118">
        <v>1095</v>
      </c>
      <c r="B1096" s="128" t="s">
        <v>166</v>
      </c>
      <c r="C1096" s="128" t="s">
        <v>6254</v>
      </c>
      <c r="D1096" s="128" t="s">
        <v>5067</v>
      </c>
      <c r="E1096" s="128" t="s">
        <v>820</v>
      </c>
      <c r="F1096" s="128">
        <v>1970</v>
      </c>
      <c r="G1096" s="128">
        <v>95</v>
      </c>
      <c r="H1096" s="128">
        <v>8</v>
      </c>
      <c r="I1096" s="128">
        <v>103</v>
      </c>
      <c r="J1096" s="128" t="s">
        <v>5048</v>
      </c>
      <c r="K1096" s="128">
        <v>27.15</v>
      </c>
      <c r="L1096" s="128" t="s">
        <v>1682</v>
      </c>
      <c r="M1096" s="128" t="s">
        <v>2210</v>
      </c>
      <c r="N1096" s="128" t="s">
        <v>5068</v>
      </c>
      <c r="O1096" s="128">
        <v>616</v>
      </c>
      <c r="P1096" s="128">
        <v>130</v>
      </c>
      <c r="Q1096" s="128">
        <v>113</v>
      </c>
      <c r="R1096" s="128">
        <v>245</v>
      </c>
      <c r="S1096" s="128">
        <v>65</v>
      </c>
      <c r="T1096" s="128">
        <v>78</v>
      </c>
      <c r="U1096" s="128">
        <v>631</v>
      </c>
      <c r="V1096" s="128" t="s">
        <v>1547</v>
      </c>
    </row>
    <row r="1097" spans="1:22" x14ac:dyDescent="0.35">
      <c r="A1097" s="118">
        <v>1096</v>
      </c>
      <c r="B1097" s="128" t="s">
        <v>166</v>
      </c>
      <c r="C1097" s="128" t="s">
        <v>6254</v>
      </c>
      <c r="D1097" s="128" t="s">
        <v>5069</v>
      </c>
      <c r="E1097" s="128" t="s">
        <v>5070</v>
      </c>
      <c r="F1097" s="128">
        <v>1970</v>
      </c>
      <c r="G1097" s="128">
        <v>60</v>
      </c>
      <c r="H1097" s="128">
        <v>0</v>
      </c>
      <c r="I1097" s="128">
        <v>60</v>
      </c>
      <c r="J1097" s="128" t="s">
        <v>5048</v>
      </c>
      <c r="K1097" s="128">
        <v>13.16</v>
      </c>
      <c r="L1097" s="128" t="s">
        <v>5071</v>
      </c>
      <c r="M1097" s="128" t="s">
        <v>1732</v>
      </c>
      <c r="N1097" s="128" t="s">
        <v>5072</v>
      </c>
      <c r="O1097" s="128">
        <v>582</v>
      </c>
      <c r="P1097" s="128">
        <v>125</v>
      </c>
      <c r="Q1097" s="128">
        <v>111</v>
      </c>
      <c r="R1097" s="128">
        <v>230</v>
      </c>
      <c r="S1097" s="128">
        <v>65</v>
      </c>
      <c r="T1097" s="128">
        <v>70</v>
      </c>
      <c r="U1097" s="128">
        <v>601</v>
      </c>
      <c r="V1097" s="128" t="s">
        <v>1547</v>
      </c>
    </row>
    <row r="1098" spans="1:22" x14ac:dyDescent="0.35">
      <c r="A1098" s="118">
        <v>1097</v>
      </c>
      <c r="B1098" s="128" t="s">
        <v>166</v>
      </c>
      <c r="C1098" s="128" t="s">
        <v>237</v>
      </c>
      <c r="D1098" s="128" t="s">
        <v>5073</v>
      </c>
      <c r="E1098" s="128" t="s">
        <v>5074</v>
      </c>
      <c r="F1098" s="128">
        <v>1975</v>
      </c>
      <c r="G1098" s="128">
        <v>45</v>
      </c>
      <c r="H1098" s="128">
        <v>5</v>
      </c>
      <c r="I1098" s="128">
        <v>50</v>
      </c>
      <c r="J1098" s="128" t="s">
        <v>2894</v>
      </c>
      <c r="K1098" s="128">
        <v>7.93</v>
      </c>
      <c r="L1098" s="128" t="s">
        <v>5075</v>
      </c>
      <c r="M1098" s="128" t="s">
        <v>5076</v>
      </c>
      <c r="N1098" s="128" t="s">
        <v>5077</v>
      </c>
      <c r="O1098" s="128">
        <v>779</v>
      </c>
      <c r="P1098" s="128">
        <v>147</v>
      </c>
      <c r="Q1098" s="128">
        <v>135</v>
      </c>
      <c r="R1098" s="128">
        <v>328</v>
      </c>
      <c r="S1098" s="128">
        <v>86</v>
      </c>
      <c r="T1098" s="128">
        <v>87</v>
      </c>
      <c r="U1098" s="128">
        <v>783</v>
      </c>
      <c r="V1098" s="128" t="s">
        <v>2702</v>
      </c>
    </row>
    <row r="1099" spans="1:22" x14ac:dyDescent="0.35">
      <c r="A1099" s="118">
        <v>1098</v>
      </c>
      <c r="B1099" s="128" t="s">
        <v>166</v>
      </c>
      <c r="C1099" s="128" t="s">
        <v>237</v>
      </c>
      <c r="D1099" s="128" t="s">
        <v>5078</v>
      </c>
      <c r="E1099" s="128" t="s">
        <v>5079</v>
      </c>
      <c r="F1099" s="128">
        <v>1975</v>
      </c>
      <c r="G1099" s="128">
        <v>42</v>
      </c>
      <c r="H1099" s="128">
        <v>7</v>
      </c>
      <c r="I1099" s="128">
        <v>49</v>
      </c>
      <c r="J1099" s="128" t="s">
        <v>2894</v>
      </c>
      <c r="K1099" s="128">
        <v>7.69</v>
      </c>
      <c r="L1099" s="128" t="s">
        <v>5080</v>
      </c>
      <c r="M1099" s="128" t="s">
        <v>5081</v>
      </c>
      <c r="N1099" s="128" t="s">
        <v>1951</v>
      </c>
      <c r="O1099" s="128">
        <v>589</v>
      </c>
      <c r="P1099" s="128">
        <v>117</v>
      </c>
      <c r="Q1099" s="128">
        <v>105</v>
      </c>
      <c r="R1099" s="128">
        <v>240</v>
      </c>
      <c r="S1099" s="128">
        <v>66</v>
      </c>
      <c r="T1099" s="128">
        <v>61</v>
      </c>
      <c r="U1099" s="128">
        <v>589</v>
      </c>
      <c r="V1099" s="128" t="s">
        <v>1547</v>
      </c>
    </row>
    <row r="1100" spans="1:22" x14ac:dyDescent="0.35">
      <c r="A1100" s="118">
        <v>1099</v>
      </c>
      <c r="B1100" s="128" t="s">
        <v>166</v>
      </c>
      <c r="C1100" s="128" t="s">
        <v>237</v>
      </c>
      <c r="D1100" s="128" t="s">
        <v>5082</v>
      </c>
      <c r="E1100" s="128" t="s">
        <v>5083</v>
      </c>
      <c r="F1100" s="128">
        <v>1980</v>
      </c>
      <c r="G1100" s="128">
        <v>55</v>
      </c>
      <c r="H1100" s="128">
        <v>2</v>
      </c>
      <c r="I1100" s="128">
        <v>57</v>
      </c>
      <c r="J1100" s="128" t="s">
        <v>2894</v>
      </c>
      <c r="K1100" s="128">
        <v>10.45</v>
      </c>
      <c r="L1100" s="128" t="s">
        <v>4480</v>
      </c>
      <c r="M1100" s="128" t="s">
        <v>1653</v>
      </c>
      <c r="N1100" s="128" t="s">
        <v>5084</v>
      </c>
      <c r="O1100" s="128">
        <v>553</v>
      </c>
      <c r="P1100" s="128">
        <v>117</v>
      </c>
      <c r="Q1100" s="128">
        <v>98</v>
      </c>
      <c r="R1100" s="128">
        <v>228</v>
      </c>
      <c r="S1100" s="128">
        <v>50</v>
      </c>
      <c r="T1100" s="128">
        <v>60</v>
      </c>
      <c r="U1100" s="128">
        <v>553</v>
      </c>
      <c r="V1100" s="128" t="s">
        <v>1547</v>
      </c>
    </row>
    <row r="1101" spans="1:22" x14ac:dyDescent="0.35">
      <c r="A1101" s="118">
        <v>1100</v>
      </c>
      <c r="B1101" s="128" t="s">
        <v>166</v>
      </c>
      <c r="C1101" s="128" t="s">
        <v>237</v>
      </c>
      <c r="D1101" s="128" t="s">
        <v>5082</v>
      </c>
      <c r="E1101" s="128" t="s">
        <v>5085</v>
      </c>
      <c r="F1101" s="128">
        <v>1980</v>
      </c>
      <c r="G1101" s="128">
        <v>27</v>
      </c>
      <c r="H1101" s="128">
        <v>0</v>
      </c>
      <c r="I1101" s="128">
        <v>27</v>
      </c>
      <c r="J1101" s="128" t="s">
        <v>2894</v>
      </c>
      <c r="K1101" s="128">
        <v>1.26</v>
      </c>
      <c r="L1101" s="128" t="s">
        <v>4549</v>
      </c>
      <c r="M1101" s="128" t="s">
        <v>3055</v>
      </c>
      <c r="N1101" s="128" t="s">
        <v>5086</v>
      </c>
      <c r="O1101" s="128">
        <v>542</v>
      </c>
      <c r="P1101" s="128">
        <v>114</v>
      </c>
      <c r="Q1101" s="128">
        <v>97</v>
      </c>
      <c r="R1101" s="128">
        <v>225</v>
      </c>
      <c r="S1101" s="128">
        <v>51</v>
      </c>
      <c r="T1101" s="128">
        <v>60</v>
      </c>
      <c r="U1101" s="128">
        <v>547</v>
      </c>
      <c r="V1101" s="128" t="s">
        <v>1547</v>
      </c>
    </row>
    <row r="1102" spans="1:22" x14ac:dyDescent="0.35">
      <c r="A1102" s="118">
        <v>1101</v>
      </c>
      <c r="B1102" s="128" t="s">
        <v>166</v>
      </c>
      <c r="C1102" s="128" t="s">
        <v>237</v>
      </c>
      <c r="D1102" s="128" t="s">
        <v>5087</v>
      </c>
      <c r="E1102" s="128" t="s">
        <v>5088</v>
      </c>
      <c r="F1102" s="128">
        <v>1980</v>
      </c>
      <c r="G1102" s="128">
        <v>47</v>
      </c>
      <c r="H1102" s="128">
        <v>0</v>
      </c>
      <c r="I1102" s="128">
        <v>47</v>
      </c>
      <c r="J1102" s="128" t="s">
        <v>2894</v>
      </c>
      <c r="K1102" s="128">
        <v>9.6999999999999993</v>
      </c>
      <c r="L1102" s="128" t="s">
        <v>5089</v>
      </c>
      <c r="M1102" s="128" t="s">
        <v>5090</v>
      </c>
      <c r="N1102" s="128" t="s">
        <v>4548</v>
      </c>
      <c r="O1102" s="128">
        <v>558</v>
      </c>
      <c r="P1102" s="128">
        <v>116</v>
      </c>
      <c r="Q1102" s="128">
        <v>106</v>
      </c>
      <c r="R1102" s="128">
        <v>226</v>
      </c>
      <c r="S1102" s="128">
        <v>50</v>
      </c>
      <c r="T1102" s="128">
        <v>60</v>
      </c>
      <c r="U1102" s="128">
        <v>558</v>
      </c>
      <c r="V1102" s="128" t="s">
        <v>1547</v>
      </c>
    </row>
    <row r="1103" spans="1:22" x14ac:dyDescent="0.35">
      <c r="A1103" s="118">
        <v>1102</v>
      </c>
      <c r="B1103" s="128" t="s">
        <v>166</v>
      </c>
      <c r="C1103" s="128" t="s">
        <v>237</v>
      </c>
      <c r="D1103" s="128" t="s">
        <v>5091</v>
      </c>
      <c r="E1103" s="128" t="s">
        <v>5092</v>
      </c>
      <c r="F1103" s="128">
        <v>1980</v>
      </c>
      <c r="G1103" s="128">
        <v>42</v>
      </c>
      <c r="H1103" s="128">
        <v>4</v>
      </c>
      <c r="I1103" s="128">
        <v>46</v>
      </c>
      <c r="J1103" s="128" t="s">
        <v>2894</v>
      </c>
      <c r="K1103" s="128">
        <v>8.74</v>
      </c>
      <c r="L1103" s="128" t="s">
        <v>5093</v>
      </c>
      <c r="M1103" s="128" t="s">
        <v>5094</v>
      </c>
      <c r="N1103" s="128" t="s">
        <v>5095</v>
      </c>
      <c r="O1103" s="128">
        <v>550</v>
      </c>
      <c r="P1103" s="128">
        <v>115</v>
      </c>
      <c r="Q1103" s="128">
        <v>101</v>
      </c>
      <c r="R1103" s="128">
        <v>223</v>
      </c>
      <c r="S1103" s="128">
        <v>51</v>
      </c>
      <c r="T1103" s="128">
        <v>60</v>
      </c>
      <c r="U1103" s="128">
        <v>550</v>
      </c>
      <c r="V1103" s="128" t="s">
        <v>1547</v>
      </c>
    </row>
    <row r="1104" spans="1:22" x14ac:dyDescent="0.35">
      <c r="A1104" s="118">
        <v>1103</v>
      </c>
      <c r="B1104" s="128" t="s">
        <v>166</v>
      </c>
      <c r="C1104" s="128" t="s">
        <v>237</v>
      </c>
      <c r="D1104" s="128" t="s">
        <v>5091</v>
      </c>
      <c r="E1104" s="128" t="s">
        <v>5096</v>
      </c>
      <c r="F1104" s="128">
        <v>1980</v>
      </c>
      <c r="G1104" s="128">
        <v>31</v>
      </c>
      <c r="H1104" s="128">
        <v>2</v>
      </c>
      <c r="I1104" s="128">
        <v>33</v>
      </c>
      <c r="J1104" s="128" t="s">
        <v>5031</v>
      </c>
      <c r="K1104" s="128">
        <v>4.2699999999999996</v>
      </c>
      <c r="L1104" s="128" t="s">
        <v>1649</v>
      </c>
      <c r="M1104" s="128" t="s">
        <v>5097</v>
      </c>
      <c r="N1104" s="128" t="s">
        <v>2595</v>
      </c>
      <c r="O1104" s="128">
        <v>535</v>
      </c>
      <c r="P1104" s="128">
        <v>113</v>
      </c>
      <c r="Q1104" s="128">
        <v>94</v>
      </c>
      <c r="R1104" s="128">
        <v>220</v>
      </c>
      <c r="S1104" s="128">
        <v>50</v>
      </c>
      <c r="T1104" s="128">
        <v>58</v>
      </c>
      <c r="U1104" s="128">
        <v>535</v>
      </c>
      <c r="V1104" s="128" t="s">
        <v>1547</v>
      </c>
    </row>
    <row r="1105" spans="1:22" x14ac:dyDescent="0.35">
      <c r="A1105" s="118">
        <v>1104</v>
      </c>
      <c r="B1105" s="128" t="s">
        <v>166</v>
      </c>
      <c r="C1105" s="128" t="s">
        <v>237</v>
      </c>
      <c r="D1105" s="128" t="s">
        <v>2798</v>
      </c>
      <c r="E1105" s="128" t="s">
        <v>5098</v>
      </c>
      <c r="F1105" s="128">
        <v>1975</v>
      </c>
      <c r="G1105" s="128">
        <v>58</v>
      </c>
      <c r="H1105" s="128">
        <v>1</v>
      </c>
      <c r="I1105" s="128">
        <v>59</v>
      </c>
      <c r="J1105" s="128" t="s">
        <v>2894</v>
      </c>
      <c r="K1105" s="128">
        <v>7.96</v>
      </c>
      <c r="L1105" s="128" t="s">
        <v>5099</v>
      </c>
      <c r="M1105" s="128" t="s">
        <v>2926</v>
      </c>
      <c r="N1105" s="128" t="s">
        <v>4415</v>
      </c>
      <c r="O1105" s="128">
        <v>550</v>
      </c>
      <c r="P1105" s="128">
        <v>116</v>
      </c>
      <c r="Q1105" s="128">
        <v>101</v>
      </c>
      <c r="R1105" s="128">
        <v>227</v>
      </c>
      <c r="S1105" s="128">
        <v>50</v>
      </c>
      <c r="T1105" s="128">
        <v>59</v>
      </c>
      <c r="U1105" s="128">
        <v>553</v>
      </c>
      <c r="V1105" s="128" t="s">
        <v>1547</v>
      </c>
    </row>
    <row r="1106" spans="1:22" x14ac:dyDescent="0.35">
      <c r="A1106" s="118">
        <v>1105</v>
      </c>
      <c r="B1106" s="128" t="s">
        <v>166</v>
      </c>
      <c r="C1106" s="128" t="s">
        <v>237</v>
      </c>
      <c r="D1106" s="128" t="s">
        <v>5073</v>
      </c>
      <c r="E1106" s="128" t="s">
        <v>5100</v>
      </c>
      <c r="F1106" s="128">
        <v>1980</v>
      </c>
      <c r="G1106" s="128">
        <v>0</v>
      </c>
      <c r="H1106" s="128">
        <v>43</v>
      </c>
      <c r="I1106" s="128">
        <v>43</v>
      </c>
      <c r="J1106" s="128" t="s">
        <v>1728</v>
      </c>
      <c r="K1106" s="128"/>
      <c r="L1106" s="128" t="s">
        <v>5101</v>
      </c>
      <c r="M1106" s="128" t="s">
        <v>5102</v>
      </c>
      <c r="N1106" s="128" t="s">
        <v>5103</v>
      </c>
      <c r="O1106" s="128">
        <v>524</v>
      </c>
      <c r="P1106" s="128">
        <v>113</v>
      </c>
      <c r="Q1106" s="128">
        <v>95</v>
      </c>
      <c r="R1106" s="128">
        <v>216</v>
      </c>
      <c r="S1106" s="128">
        <v>50</v>
      </c>
      <c r="T1106" s="128">
        <v>55</v>
      </c>
      <c r="U1106" s="128">
        <v>529</v>
      </c>
      <c r="V1106" s="128" t="s">
        <v>1547</v>
      </c>
    </row>
    <row r="1107" spans="1:22" x14ac:dyDescent="0.35">
      <c r="A1107" s="118">
        <v>1106</v>
      </c>
      <c r="B1107" s="128" t="s">
        <v>166</v>
      </c>
      <c r="C1107" s="128" t="s">
        <v>237</v>
      </c>
      <c r="D1107" s="128" t="s">
        <v>5073</v>
      </c>
      <c r="E1107" s="128" t="s">
        <v>836</v>
      </c>
      <c r="F1107" s="128">
        <v>2013</v>
      </c>
      <c r="G1107" s="128">
        <v>0</v>
      </c>
      <c r="H1107" s="128">
        <v>35</v>
      </c>
      <c r="I1107" s="128">
        <v>35</v>
      </c>
      <c r="J1107" s="128" t="s">
        <v>1728</v>
      </c>
      <c r="K1107" s="128"/>
      <c r="L1107" s="128" t="s">
        <v>5104</v>
      </c>
      <c r="M1107" s="128" t="s">
        <v>5105</v>
      </c>
      <c r="N1107" s="128" t="s">
        <v>1943</v>
      </c>
      <c r="O1107" s="128">
        <v>529</v>
      </c>
      <c r="P1107" s="128">
        <v>115</v>
      </c>
      <c r="Q1107" s="128">
        <v>97</v>
      </c>
      <c r="R1107" s="128">
        <v>216</v>
      </c>
      <c r="S1107" s="128">
        <v>50</v>
      </c>
      <c r="T1107" s="128">
        <v>55</v>
      </c>
      <c r="U1107" s="128">
        <v>533</v>
      </c>
      <c r="V1107" s="128" t="s">
        <v>1547</v>
      </c>
    </row>
    <row r="1108" spans="1:22" x14ac:dyDescent="0.35">
      <c r="A1108" s="118">
        <v>1107</v>
      </c>
      <c r="B1108" s="128" t="s">
        <v>166</v>
      </c>
      <c r="C1108" s="128" t="s">
        <v>238</v>
      </c>
      <c r="D1108" s="128" t="s">
        <v>5106</v>
      </c>
      <c r="E1108" s="128" t="s">
        <v>5107</v>
      </c>
      <c r="F1108" s="128">
        <v>1976</v>
      </c>
      <c r="G1108" s="128">
        <v>54</v>
      </c>
      <c r="H1108" s="128">
        <v>5</v>
      </c>
      <c r="I1108" s="128">
        <v>59</v>
      </c>
      <c r="J1108" s="128" t="s">
        <v>1929</v>
      </c>
      <c r="K1108" s="128">
        <v>8.64</v>
      </c>
      <c r="L1108" s="128" t="s">
        <v>5108</v>
      </c>
      <c r="M1108" s="128" t="s">
        <v>5109</v>
      </c>
      <c r="N1108" s="128" t="s">
        <v>5110</v>
      </c>
      <c r="O1108" s="128">
        <v>647</v>
      </c>
      <c r="P1108" s="128">
        <v>130</v>
      </c>
      <c r="Q1108" s="128">
        <v>106</v>
      </c>
      <c r="R1108" s="128">
        <v>263</v>
      </c>
      <c r="S1108" s="128">
        <v>75</v>
      </c>
      <c r="T1108" s="128">
        <v>75</v>
      </c>
      <c r="U1108" s="128">
        <v>649</v>
      </c>
      <c r="V1108" s="128" t="s">
        <v>1547</v>
      </c>
    </row>
    <row r="1109" spans="1:22" x14ac:dyDescent="0.35">
      <c r="A1109" s="118">
        <v>1108</v>
      </c>
      <c r="B1109" s="128" t="s">
        <v>166</v>
      </c>
      <c r="C1109" s="128" t="s">
        <v>238</v>
      </c>
      <c r="D1109" s="128" t="s">
        <v>5111</v>
      </c>
      <c r="E1109" s="128" t="s">
        <v>5112</v>
      </c>
      <c r="F1109" s="128">
        <v>1983</v>
      </c>
      <c r="G1109" s="128">
        <v>49</v>
      </c>
      <c r="H1109" s="128">
        <v>7</v>
      </c>
      <c r="I1109" s="128">
        <v>56</v>
      </c>
      <c r="J1109" s="128" t="s">
        <v>1929</v>
      </c>
      <c r="K1109" s="128">
        <v>7.46</v>
      </c>
      <c r="L1109" s="128" t="s">
        <v>2243</v>
      </c>
      <c r="M1109" s="128" t="s">
        <v>5113</v>
      </c>
      <c r="N1109" s="128" t="s">
        <v>5114</v>
      </c>
      <c r="O1109" s="128">
        <v>550</v>
      </c>
      <c r="P1109" s="128">
        <v>122</v>
      </c>
      <c r="Q1109" s="128">
        <v>99</v>
      </c>
      <c r="R1109" s="128">
        <v>208</v>
      </c>
      <c r="S1109" s="128">
        <v>61</v>
      </c>
      <c r="T1109" s="128">
        <v>60</v>
      </c>
      <c r="U1109" s="128">
        <v>550</v>
      </c>
      <c r="V1109" s="128" t="s">
        <v>1547</v>
      </c>
    </row>
    <row r="1110" spans="1:22" x14ac:dyDescent="0.35">
      <c r="A1110" s="118">
        <v>1109</v>
      </c>
      <c r="B1110" s="128" t="s">
        <v>166</v>
      </c>
      <c r="C1110" s="128" t="s">
        <v>238</v>
      </c>
      <c r="D1110" s="128" t="s">
        <v>5115</v>
      </c>
      <c r="E1110" s="128" t="s">
        <v>5116</v>
      </c>
      <c r="F1110" s="128">
        <v>1983</v>
      </c>
      <c r="G1110" s="128">
        <v>62</v>
      </c>
      <c r="H1110" s="128">
        <v>8</v>
      </c>
      <c r="I1110" s="128">
        <v>70</v>
      </c>
      <c r="J1110" s="128" t="s">
        <v>1929</v>
      </c>
      <c r="K1110" s="128">
        <v>9.0500000000000007</v>
      </c>
      <c r="L1110" s="128" t="s">
        <v>5117</v>
      </c>
      <c r="M1110" s="128" t="s">
        <v>2379</v>
      </c>
      <c r="N1110" s="128" t="s">
        <v>5118</v>
      </c>
      <c r="O1110" s="128">
        <v>632</v>
      </c>
      <c r="P1110" s="128">
        <v>121</v>
      </c>
      <c r="Q1110" s="128">
        <v>105</v>
      </c>
      <c r="R1110" s="128">
        <v>254</v>
      </c>
      <c r="S1110" s="128">
        <v>76</v>
      </c>
      <c r="T1110" s="128">
        <v>76</v>
      </c>
      <c r="U1110" s="128">
        <v>632</v>
      </c>
      <c r="V1110" s="128" t="s">
        <v>1547</v>
      </c>
    </row>
    <row r="1111" spans="1:22" x14ac:dyDescent="0.35">
      <c r="A1111" s="118">
        <v>1110</v>
      </c>
      <c r="B1111" s="128" t="s">
        <v>166</v>
      </c>
      <c r="C1111" s="128" t="s">
        <v>238</v>
      </c>
      <c r="D1111" s="128" t="s">
        <v>5119</v>
      </c>
      <c r="E1111" s="128" t="s">
        <v>5120</v>
      </c>
      <c r="F1111" s="128">
        <v>1983</v>
      </c>
      <c r="G1111" s="128">
        <v>91</v>
      </c>
      <c r="H1111" s="128">
        <v>18</v>
      </c>
      <c r="I1111" s="128">
        <v>109</v>
      </c>
      <c r="J1111" s="128" t="s">
        <v>1929</v>
      </c>
      <c r="K1111" s="128">
        <v>12.07</v>
      </c>
      <c r="L1111" s="128" t="s">
        <v>5121</v>
      </c>
      <c r="M1111" s="128" t="s">
        <v>5122</v>
      </c>
      <c r="N1111" s="128" t="s">
        <v>5123</v>
      </c>
      <c r="O1111" s="128">
        <v>570</v>
      </c>
      <c r="P1111" s="128">
        <v>116</v>
      </c>
      <c r="Q1111" s="128">
        <v>110</v>
      </c>
      <c r="R1111" s="128">
        <v>228</v>
      </c>
      <c r="S1111" s="128">
        <v>61</v>
      </c>
      <c r="T1111" s="128">
        <v>60</v>
      </c>
      <c r="U1111" s="128">
        <v>575</v>
      </c>
      <c r="V1111" s="128" t="s">
        <v>1547</v>
      </c>
    </row>
    <row r="1112" spans="1:22" x14ac:dyDescent="0.35">
      <c r="A1112" s="118">
        <v>1111</v>
      </c>
      <c r="B1112" s="128" t="s">
        <v>166</v>
      </c>
      <c r="C1112" s="128" t="s">
        <v>238</v>
      </c>
      <c r="D1112" s="128" t="s">
        <v>5124</v>
      </c>
      <c r="E1112" s="128" t="s">
        <v>5125</v>
      </c>
      <c r="F1112" s="128">
        <v>1983</v>
      </c>
      <c r="G1112" s="128">
        <v>62</v>
      </c>
      <c r="H1112" s="128">
        <v>11</v>
      </c>
      <c r="I1112" s="128">
        <v>73</v>
      </c>
      <c r="J1112" s="128" t="s">
        <v>1929</v>
      </c>
      <c r="K1112" s="128">
        <v>6.48</v>
      </c>
      <c r="L1112" s="128" t="s">
        <v>5126</v>
      </c>
      <c r="M1112" s="128" t="s">
        <v>1830</v>
      </c>
      <c r="N1112" s="128" t="s">
        <v>5127</v>
      </c>
      <c r="O1112" s="128">
        <v>542</v>
      </c>
      <c r="P1112" s="128">
        <v>115</v>
      </c>
      <c r="Q1112" s="128">
        <v>105</v>
      </c>
      <c r="R1112" s="128">
        <v>204</v>
      </c>
      <c r="S1112" s="128">
        <v>60</v>
      </c>
      <c r="T1112" s="128">
        <v>58</v>
      </c>
      <c r="U1112" s="128">
        <v>542</v>
      </c>
      <c r="V1112" s="128" t="s">
        <v>1547</v>
      </c>
    </row>
    <row r="1113" spans="1:22" x14ac:dyDescent="0.35">
      <c r="A1113" s="118">
        <v>1112</v>
      </c>
      <c r="B1113" s="128" t="s">
        <v>166</v>
      </c>
      <c r="C1113" s="128" t="s">
        <v>238</v>
      </c>
      <c r="D1113" s="128" t="s">
        <v>5128</v>
      </c>
      <c r="E1113" s="128" t="s">
        <v>5129</v>
      </c>
      <c r="F1113" s="128">
        <v>1983</v>
      </c>
      <c r="G1113" s="128">
        <v>34</v>
      </c>
      <c r="H1113" s="128">
        <v>4</v>
      </c>
      <c r="I1113" s="128">
        <v>38</v>
      </c>
      <c r="J1113" s="128" t="s">
        <v>1929</v>
      </c>
      <c r="K1113" s="128">
        <v>4.24</v>
      </c>
      <c r="L1113" s="128" t="s">
        <v>5130</v>
      </c>
      <c r="M1113" s="128" t="s">
        <v>5131</v>
      </c>
      <c r="N1113" s="128" t="s">
        <v>5132</v>
      </c>
      <c r="O1113" s="128">
        <v>559</v>
      </c>
      <c r="P1113" s="128">
        <v>112</v>
      </c>
      <c r="Q1113" s="128">
        <v>110</v>
      </c>
      <c r="R1113" s="128">
        <v>221</v>
      </c>
      <c r="S1113" s="128">
        <v>58</v>
      </c>
      <c r="T1113" s="128">
        <v>58</v>
      </c>
      <c r="U1113" s="128">
        <v>559</v>
      </c>
      <c r="V1113" s="128" t="s">
        <v>1547</v>
      </c>
    </row>
    <row r="1114" spans="1:22" x14ac:dyDescent="0.35">
      <c r="A1114" s="118">
        <v>1113</v>
      </c>
      <c r="B1114" s="128" t="s">
        <v>166</v>
      </c>
      <c r="C1114" s="128" t="s">
        <v>238</v>
      </c>
      <c r="D1114" s="128" t="s">
        <v>5133</v>
      </c>
      <c r="E1114" s="128" t="s">
        <v>5134</v>
      </c>
      <c r="F1114" s="128">
        <v>1983</v>
      </c>
      <c r="G1114" s="128">
        <v>45</v>
      </c>
      <c r="H1114" s="128">
        <v>4</v>
      </c>
      <c r="I1114" s="128">
        <v>49</v>
      </c>
      <c r="J1114" s="128" t="s">
        <v>1929</v>
      </c>
      <c r="K1114" s="128">
        <v>4.03</v>
      </c>
      <c r="L1114" s="128" t="s">
        <v>5135</v>
      </c>
      <c r="M1114" s="128" t="s">
        <v>5136</v>
      </c>
      <c r="N1114" s="128" t="s">
        <v>4282</v>
      </c>
      <c r="O1114" s="128">
        <v>538</v>
      </c>
      <c r="P1114" s="128">
        <v>108</v>
      </c>
      <c r="Q1114" s="128">
        <v>108</v>
      </c>
      <c r="R1114" s="128">
        <v>211</v>
      </c>
      <c r="S1114" s="128">
        <v>58</v>
      </c>
      <c r="T1114" s="128">
        <v>57</v>
      </c>
      <c r="U1114" s="128">
        <v>542</v>
      </c>
      <c r="V1114" s="128" t="s">
        <v>1547</v>
      </c>
    </row>
    <row r="1115" spans="1:22" x14ac:dyDescent="0.35">
      <c r="A1115" s="118">
        <v>1114</v>
      </c>
      <c r="B1115" s="128" t="s">
        <v>166</v>
      </c>
      <c r="C1115" s="128" t="s">
        <v>238</v>
      </c>
      <c r="D1115" s="128" t="s">
        <v>5137</v>
      </c>
      <c r="E1115" s="128" t="s">
        <v>5138</v>
      </c>
      <c r="F1115" s="128">
        <v>1983</v>
      </c>
      <c r="G1115" s="128">
        <v>38</v>
      </c>
      <c r="H1115" s="128">
        <v>11</v>
      </c>
      <c r="I1115" s="128">
        <v>49</v>
      </c>
      <c r="J1115" s="128" t="s">
        <v>1929</v>
      </c>
      <c r="K1115" s="128">
        <v>4.57</v>
      </c>
      <c r="L1115" s="128" t="s">
        <v>1647</v>
      </c>
      <c r="M1115" s="128" t="s">
        <v>2133</v>
      </c>
      <c r="N1115" s="128" t="s">
        <v>4369</v>
      </c>
      <c r="O1115" s="128">
        <v>538</v>
      </c>
      <c r="P1115" s="128">
        <v>112</v>
      </c>
      <c r="Q1115" s="128">
        <v>105</v>
      </c>
      <c r="R1115" s="128">
        <v>211</v>
      </c>
      <c r="S1115" s="128">
        <v>55</v>
      </c>
      <c r="T1115" s="128">
        <v>55</v>
      </c>
      <c r="U1115" s="128">
        <v>538</v>
      </c>
      <c r="V1115" s="128" t="s">
        <v>1547</v>
      </c>
    </row>
    <row r="1116" spans="1:22" x14ac:dyDescent="0.35">
      <c r="A1116" s="118">
        <v>1115</v>
      </c>
      <c r="B1116" s="128" t="s">
        <v>166</v>
      </c>
      <c r="C1116" s="128" t="s">
        <v>238</v>
      </c>
      <c r="D1116" s="128" t="s">
        <v>5139</v>
      </c>
      <c r="E1116" s="128" t="s">
        <v>5140</v>
      </c>
      <c r="F1116" s="128">
        <v>1983</v>
      </c>
      <c r="G1116" s="128">
        <v>53</v>
      </c>
      <c r="H1116" s="128">
        <v>0</v>
      </c>
      <c r="I1116" s="128">
        <v>53</v>
      </c>
      <c r="J1116" s="128" t="s">
        <v>1929</v>
      </c>
      <c r="K1116" s="128">
        <v>2.46</v>
      </c>
      <c r="L1116" s="128" t="s">
        <v>5141</v>
      </c>
      <c r="M1116" s="128" t="s">
        <v>5142</v>
      </c>
      <c r="N1116" s="128" t="s">
        <v>5143</v>
      </c>
      <c r="O1116" s="128">
        <v>645</v>
      </c>
      <c r="P1116" s="128">
        <v>131</v>
      </c>
      <c r="Q1116" s="128">
        <v>112</v>
      </c>
      <c r="R1116" s="128">
        <v>257</v>
      </c>
      <c r="S1116" s="128">
        <v>75</v>
      </c>
      <c r="T1116" s="128">
        <v>73</v>
      </c>
      <c r="U1116" s="128">
        <v>648</v>
      </c>
      <c r="V1116" s="128" t="s">
        <v>1547</v>
      </c>
    </row>
    <row r="1117" spans="1:22" x14ac:dyDescent="0.35">
      <c r="A1117" s="118">
        <v>1116</v>
      </c>
      <c r="B1117" s="128" t="s">
        <v>166</v>
      </c>
      <c r="C1117" s="128" t="s">
        <v>238</v>
      </c>
      <c r="D1117" s="128" t="s">
        <v>5119</v>
      </c>
      <c r="E1117" s="128" t="s">
        <v>5144</v>
      </c>
      <c r="F1117" s="128">
        <v>2013</v>
      </c>
      <c r="G1117" s="128">
        <v>0</v>
      </c>
      <c r="H1117" s="128">
        <v>30</v>
      </c>
      <c r="I1117" s="128">
        <v>30</v>
      </c>
      <c r="J1117" s="128" t="s">
        <v>1728</v>
      </c>
      <c r="K1117" s="128"/>
      <c r="L1117" s="128" t="s">
        <v>5145</v>
      </c>
      <c r="M1117" s="128" t="s">
        <v>5146</v>
      </c>
      <c r="N1117" s="128" t="s">
        <v>5147</v>
      </c>
      <c r="O1117" s="128">
        <v>477</v>
      </c>
      <c r="P1117" s="128">
        <v>108</v>
      </c>
      <c r="Q1117" s="128">
        <v>83</v>
      </c>
      <c r="R1117" s="128">
        <v>191</v>
      </c>
      <c r="S1117" s="128">
        <v>45</v>
      </c>
      <c r="T1117" s="128">
        <v>51</v>
      </c>
      <c r="U1117" s="128">
        <v>478</v>
      </c>
      <c r="V1117" s="128" t="s">
        <v>1547</v>
      </c>
    </row>
    <row r="1118" spans="1:22" x14ac:dyDescent="0.35">
      <c r="A1118" s="118">
        <v>1117</v>
      </c>
      <c r="B1118" s="128" t="s">
        <v>166</v>
      </c>
      <c r="C1118" s="128" t="s">
        <v>6243</v>
      </c>
      <c r="D1118" s="128" t="s">
        <v>2391</v>
      </c>
      <c r="E1118" s="128" t="s">
        <v>5148</v>
      </c>
      <c r="F1118" s="128">
        <v>1977</v>
      </c>
      <c r="G1118" s="128">
        <v>36</v>
      </c>
      <c r="H1118" s="128">
        <v>5</v>
      </c>
      <c r="I1118" s="128">
        <v>41</v>
      </c>
      <c r="J1118" s="128" t="s">
        <v>2894</v>
      </c>
      <c r="K1118" s="128">
        <v>7.05</v>
      </c>
      <c r="L1118" s="128" t="s">
        <v>5149</v>
      </c>
      <c r="M1118" s="128" t="s">
        <v>5150</v>
      </c>
      <c r="N1118" s="128" t="s">
        <v>5151</v>
      </c>
      <c r="O1118" s="128">
        <v>732</v>
      </c>
      <c r="P1118" s="128">
        <v>144</v>
      </c>
      <c r="Q1118" s="128">
        <v>125</v>
      </c>
      <c r="R1118" s="128">
        <v>304</v>
      </c>
      <c r="S1118" s="128">
        <v>81</v>
      </c>
      <c r="T1118" s="128">
        <v>83</v>
      </c>
      <c r="U1118" s="128">
        <v>737</v>
      </c>
      <c r="V1118" s="128" t="s">
        <v>2702</v>
      </c>
    </row>
    <row r="1119" spans="1:22" x14ac:dyDescent="0.35">
      <c r="A1119" s="118">
        <v>1118</v>
      </c>
      <c r="B1119" s="128" t="s">
        <v>166</v>
      </c>
      <c r="C1119" s="128" t="s">
        <v>6243</v>
      </c>
      <c r="D1119" s="128" t="s">
        <v>5152</v>
      </c>
      <c r="E1119" s="128" t="s">
        <v>5153</v>
      </c>
      <c r="F1119" s="128">
        <v>1983</v>
      </c>
      <c r="G1119" s="128">
        <v>62</v>
      </c>
      <c r="H1119" s="128">
        <v>7</v>
      </c>
      <c r="I1119" s="128">
        <v>69</v>
      </c>
      <c r="J1119" s="128" t="s">
        <v>2894</v>
      </c>
      <c r="K1119" s="128">
        <v>12.21</v>
      </c>
      <c r="L1119" s="128" t="s">
        <v>1559</v>
      </c>
      <c r="M1119" s="128" t="s">
        <v>5154</v>
      </c>
      <c r="N1119" s="128" t="s">
        <v>5013</v>
      </c>
      <c r="O1119" s="128">
        <v>752</v>
      </c>
      <c r="P1119" s="128">
        <v>142</v>
      </c>
      <c r="Q1119" s="128">
        <v>126</v>
      </c>
      <c r="R1119" s="128">
        <v>316</v>
      </c>
      <c r="S1119" s="128">
        <v>85</v>
      </c>
      <c r="T1119" s="128">
        <v>87</v>
      </c>
      <c r="U1119" s="128">
        <v>756</v>
      </c>
      <c r="V1119" s="128" t="s">
        <v>2702</v>
      </c>
    </row>
    <row r="1120" spans="1:22" x14ac:dyDescent="0.35">
      <c r="A1120" s="118">
        <v>1119</v>
      </c>
      <c r="B1120" s="128" t="s">
        <v>166</v>
      </c>
      <c r="C1120" s="128" t="s">
        <v>6243</v>
      </c>
      <c r="D1120" s="128" t="s">
        <v>3417</v>
      </c>
      <c r="E1120" s="128" t="s">
        <v>5155</v>
      </c>
      <c r="F1120" s="128">
        <v>2008</v>
      </c>
      <c r="G1120" s="128">
        <v>68</v>
      </c>
      <c r="H1120" s="128">
        <v>7</v>
      </c>
      <c r="I1120" s="128">
        <v>73</v>
      </c>
      <c r="J1120" s="128" t="s">
        <v>2894</v>
      </c>
      <c r="K1120" s="128">
        <v>10.49</v>
      </c>
      <c r="L1120" s="128" t="s">
        <v>5156</v>
      </c>
      <c r="M1120" s="128" t="s">
        <v>5157</v>
      </c>
      <c r="N1120" s="128" t="s">
        <v>1620</v>
      </c>
      <c r="O1120" s="128">
        <v>530</v>
      </c>
      <c r="P1120" s="128">
        <v>115</v>
      </c>
      <c r="Q1120" s="128">
        <v>97</v>
      </c>
      <c r="R1120" s="128">
        <v>194</v>
      </c>
      <c r="S1120" s="128">
        <v>64</v>
      </c>
      <c r="T1120" s="128">
        <v>60</v>
      </c>
      <c r="U1120" s="128">
        <v>530</v>
      </c>
      <c r="V1120" s="128" t="s">
        <v>1547</v>
      </c>
    </row>
    <row r="1121" spans="1:22" x14ac:dyDescent="0.35">
      <c r="A1121" s="118">
        <v>1120</v>
      </c>
      <c r="B1121" s="128" t="s">
        <v>166</v>
      </c>
      <c r="C1121" s="128" t="s">
        <v>6243</v>
      </c>
      <c r="D1121" s="128" t="s">
        <v>5158</v>
      </c>
      <c r="E1121" s="128" t="s">
        <v>5159</v>
      </c>
      <c r="F1121" s="128">
        <v>2008</v>
      </c>
      <c r="G1121" s="128">
        <v>36</v>
      </c>
      <c r="H1121" s="128">
        <v>8</v>
      </c>
      <c r="I1121" s="128">
        <v>44</v>
      </c>
      <c r="J1121" s="128" t="s">
        <v>2894</v>
      </c>
      <c r="K1121" s="128">
        <v>4.59</v>
      </c>
      <c r="L1121" s="128" t="s">
        <v>5160</v>
      </c>
      <c r="M1121" s="128" t="s">
        <v>5161</v>
      </c>
      <c r="N1121" s="128" t="s">
        <v>5162</v>
      </c>
      <c r="O1121" s="128">
        <v>537</v>
      </c>
      <c r="P1121" s="128">
        <v>119</v>
      </c>
      <c r="Q1121" s="128">
        <v>97</v>
      </c>
      <c r="R1121" s="128">
        <v>202</v>
      </c>
      <c r="S1121" s="128">
        <v>63</v>
      </c>
      <c r="T1121" s="128">
        <v>62</v>
      </c>
      <c r="U1121" s="128">
        <v>543</v>
      </c>
      <c r="V1121" s="128" t="s">
        <v>1547</v>
      </c>
    </row>
    <row r="1122" spans="1:22" x14ac:dyDescent="0.35">
      <c r="A1122" s="118">
        <v>1121</v>
      </c>
      <c r="B1122" s="128" t="s">
        <v>166</v>
      </c>
      <c r="C1122" s="128" t="s">
        <v>6243</v>
      </c>
      <c r="D1122" s="128" t="s">
        <v>5163</v>
      </c>
      <c r="E1122" s="128" t="s">
        <v>5164</v>
      </c>
      <c r="F1122" s="128">
        <v>2008</v>
      </c>
      <c r="G1122" s="128">
        <v>35</v>
      </c>
      <c r="H1122" s="128">
        <v>3</v>
      </c>
      <c r="I1122" s="128">
        <v>38</v>
      </c>
      <c r="J1122" s="128" t="s">
        <v>2894</v>
      </c>
      <c r="K1122" s="128">
        <v>4.2699999999999996</v>
      </c>
      <c r="L1122" s="128" t="s">
        <v>5165</v>
      </c>
      <c r="M1122" s="128" t="s">
        <v>2356</v>
      </c>
      <c r="N1122" s="128" t="s">
        <v>5166</v>
      </c>
      <c r="O1122" s="128">
        <v>530</v>
      </c>
      <c r="P1122" s="128">
        <v>115</v>
      </c>
      <c r="Q1122" s="128">
        <v>97</v>
      </c>
      <c r="R1122" s="128">
        <v>194</v>
      </c>
      <c r="S1122" s="128">
        <v>64</v>
      </c>
      <c r="T1122" s="128">
        <v>60</v>
      </c>
      <c r="U1122" s="128">
        <v>530</v>
      </c>
      <c r="V1122" s="128" t="s">
        <v>1547</v>
      </c>
    </row>
    <row r="1123" spans="1:22" x14ac:dyDescent="0.35">
      <c r="A1123" s="118">
        <v>1122</v>
      </c>
      <c r="B1123" s="128" t="s">
        <v>166</v>
      </c>
      <c r="C1123" s="128" t="s">
        <v>6243</v>
      </c>
      <c r="D1123" s="128" t="s">
        <v>5167</v>
      </c>
      <c r="E1123" s="128" t="s">
        <v>5168</v>
      </c>
      <c r="F1123" s="128">
        <v>2008</v>
      </c>
      <c r="G1123" s="128">
        <v>64</v>
      </c>
      <c r="H1123" s="128">
        <v>0</v>
      </c>
      <c r="I1123" s="128">
        <v>64</v>
      </c>
      <c r="J1123" s="128" t="s">
        <v>2894</v>
      </c>
      <c r="K1123" s="128">
        <v>2.56</v>
      </c>
      <c r="L1123" s="128" t="s">
        <v>5169</v>
      </c>
      <c r="M1123" s="128" t="s">
        <v>5170</v>
      </c>
      <c r="N1123" s="128" t="s">
        <v>1773</v>
      </c>
      <c r="O1123" s="128">
        <v>546</v>
      </c>
      <c r="P1123" s="128">
        <v>120</v>
      </c>
      <c r="Q1123" s="128">
        <v>103</v>
      </c>
      <c r="R1123" s="128">
        <v>203</v>
      </c>
      <c r="S1123" s="128">
        <v>62</v>
      </c>
      <c r="T1123" s="128">
        <v>64</v>
      </c>
      <c r="U1123" s="128">
        <v>552</v>
      </c>
      <c r="V1123" s="128" t="s">
        <v>1547</v>
      </c>
    </row>
    <row r="1124" spans="1:22" x14ac:dyDescent="0.35">
      <c r="A1124" s="118">
        <v>1123</v>
      </c>
      <c r="B1124" s="128" t="s">
        <v>166</v>
      </c>
      <c r="C1124" s="128" t="s">
        <v>6243</v>
      </c>
      <c r="D1124" s="128" t="s">
        <v>5171</v>
      </c>
      <c r="E1124" s="128" t="s">
        <v>776</v>
      </c>
      <c r="F1124" s="128">
        <v>2007</v>
      </c>
      <c r="G1124" s="128">
        <v>45</v>
      </c>
      <c r="H1124" s="128">
        <v>0</v>
      </c>
      <c r="I1124" s="128">
        <v>45</v>
      </c>
      <c r="J1124" s="128" t="s">
        <v>2894</v>
      </c>
      <c r="K1124" s="128">
        <v>6.16</v>
      </c>
      <c r="L1124" s="128" t="s">
        <v>5172</v>
      </c>
      <c r="M1124" s="128" t="s">
        <v>1718</v>
      </c>
      <c r="N1124" s="128" t="s">
        <v>5173</v>
      </c>
      <c r="O1124" s="128">
        <v>571</v>
      </c>
      <c r="P1124" s="128">
        <v>119</v>
      </c>
      <c r="Q1124" s="128">
        <v>95</v>
      </c>
      <c r="R1124" s="128">
        <v>215</v>
      </c>
      <c r="S1124" s="128">
        <v>72</v>
      </c>
      <c r="T1124" s="128">
        <v>70</v>
      </c>
      <c r="U1124" s="128">
        <v>571</v>
      </c>
      <c r="V1124" s="128" t="s">
        <v>1547</v>
      </c>
    </row>
    <row r="1125" spans="1:22" x14ac:dyDescent="0.35">
      <c r="A1125" s="118">
        <v>1124</v>
      </c>
      <c r="B1125" s="128" t="s">
        <v>166</v>
      </c>
      <c r="C1125" s="128" t="s">
        <v>6243</v>
      </c>
      <c r="D1125" s="128" t="s">
        <v>5174</v>
      </c>
      <c r="E1125" s="128" t="s">
        <v>5175</v>
      </c>
      <c r="F1125" s="128">
        <v>2007</v>
      </c>
      <c r="G1125" s="128">
        <v>47</v>
      </c>
      <c r="H1125" s="128">
        <v>9</v>
      </c>
      <c r="I1125" s="128">
        <v>56</v>
      </c>
      <c r="J1125" s="128" t="s">
        <v>2894</v>
      </c>
      <c r="K1125" s="128">
        <v>1.61</v>
      </c>
      <c r="L1125" s="128" t="s">
        <v>5176</v>
      </c>
      <c r="M1125" s="128" t="s">
        <v>5177</v>
      </c>
      <c r="N1125" s="128" t="s">
        <v>5178</v>
      </c>
      <c r="O1125" s="128">
        <v>530</v>
      </c>
      <c r="P1125" s="128">
        <v>116</v>
      </c>
      <c r="Q1125" s="128">
        <v>100</v>
      </c>
      <c r="R1125" s="128">
        <v>194</v>
      </c>
      <c r="S1125" s="128">
        <v>65</v>
      </c>
      <c r="T1125" s="128">
        <v>60</v>
      </c>
      <c r="U1125" s="128">
        <v>535</v>
      </c>
      <c r="V1125" s="128" t="s">
        <v>1547</v>
      </c>
    </row>
    <row r="1126" spans="1:22" x14ac:dyDescent="0.35">
      <c r="A1126" s="118">
        <v>1125</v>
      </c>
      <c r="B1126" s="128" t="s">
        <v>166</v>
      </c>
      <c r="C1126" s="128" t="s">
        <v>6243</v>
      </c>
      <c r="D1126" s="128" t="s">
        <v>5179</v>
      </c>
      <c r="E1126" s="128" t="s">
        <v>5180</v>
      </c>
      <c r="F1126" s="128">
        <v>2007</v>
      </c>
      <c r="G1126" s="128">
        <v>48</v>
      </c>
      <c r="H1126" s="128">
        <v>5</v>
      </c>
      <c r="I1126" s="128">
        <v>53</v>
      </c>
      <c r="J1126" s="128" t="s">
        <v>2894</v>
      </c>
      <c r="K1126" s="128">
        <v>10.06</v>
      </c>
      <c r="L1126" s="128" t="s">
        <v>2379</v>
      </c>
      <c r="M1126" s="128" t="s">
        <v>4272</v>
      </c>
      <c r="N1126" s="128" t="s">
        <v>5181</v>
      </c>
      <c r="O1126" s="128">
        <v>540</v>
      </c>
      <c r="P1126" s="128">
        <v>120</v>
      </c>
      <c r="Q1126" s="128">
        <v>99</v>
      </c>
      <c r="R1126" s="128">
        <v>191</v>
      </c>
      <c r="S1126" s="128">
        <v>65</v>
      </c>
      <c r="T1126" s="128">
        <v>65</v>
      </c>
      <c r="U1126" s="128">
        <v>540</v>
      </c>
      <c r="V1126" s="128" t="s">
        <v>1547</v>
      </c>
    </row>
    <row r="1127" spans="1:22" x14ac:dyDescent="0.35">
      <c r="A1127" s="118">
        <v>1126</v>
      </c>
      <c r="B1127" s="128" t="s">
        <v>166</v>
      </c>
      <c r="C1127" s="128" t="s">
        <v>6243</v>
      </c>
      <c r="D1127" s="128"/>
      <c r="E1127" s="128" t="s">
        <v>5182</v>
      </c>
      <c r="F1127" s="128">
        <v>2013</v>
      </c>
      <c r="G1127" s="128">
        <v>0</v>
      </c>
      <c r="H1127" s="128">
        <v>30</v>
      </c>
      <c r="I1127" s="128">
        <v>30</v>
      </c>
      <c r="J1127" s="128" t="s">
        <v>1728</v>
      </c>
      <c r="K1127" s="128"/>
      <c r="L1127" s="128" t="s">
        <v>5183</v>
      </c>
      <c r="M1127" s="128" t="s">
        <v>2285</v>
      </c>
      <c r="N1127" s="128" t="s">
        <v>5184</v>
      </c>
      <c r="O1127" s="128">
        <v>510</v>
      </c>
      <c r="P1127" s="128">
        <v>120</v>
      </c>
      <c r="Q1127" s="128">
        <v>89</v>
      </c>
      <c r="R1127" s="128">
        <v>190</v>
      </c>
      <c r="S1127" s="128">
        <v>60</v>
      </c>
      <c r="T1127" s="128">
        <v>51</v>
      </c>
      <c r="U1127" s="128">
        <v>510</v>
      </c>
      <c r="V1127" s="128" t="s">
        <v>1547</v>
      </c>
    </row>
    <row r="1128" spans="1:22" x14ac:dyDescent="0.35">
      <c r="A1128" s="118">
        <v>1127</v>
      </c>
      <c r="B1128" s="128" t="s">
        <v>166</v>
      </c>
      <c r="C1128" s="128" t="s">
        <v>234</v>
      </c>
      <c r="D1128" s="128" t="s">
        <v>5185</v>
      </c>
      <c r="E1128" s="128" t="s">
        <v>5186</v>
      </c>
      <c r="F1128" s="128">
        <v>1980</v>
      </c>
      <c r="G1128" s="128">
        <v>44</v>
      </c>
      <c r="H1128" s="128">
        <v>1</v>
      </c>
      <c r="I1128" s="128">
        <v>45</v>
      </c>
      <c r="J1128" s="128" t="s">
        <v>2894</v>
      </c>
      <c r="K1128" s="128">
        <v>1</v>
      </c>
      <c r="L1128" s="128" t="s">
        <v>2661</v>
      </c>
      <c r="M1128" s="128" t="s">
        <v>2493</v>
      </c>
      <c r="N1128" s="128" t="s">
        <v>5187</v>
      </c>
      <c r="O1128" s="128">
        <v>569</v>
      </c>
      <c r="P1128" s="128">
        <v>114</v>
      </c>
      <c r="Q1128" s="128">
        <v>109</v>
      </c>
      <c r="R1128" s="128">
        <v>235</v>
      </c>
      <c r="S1128" s="128">
        <v>48</v>
      </c>
      <c r="T1128" s="128">
        <v>71</v>
      </c>
      <c r="U1128" s="128">
        <v>577</v>
      </c>
      <c r="V1128" s="128" t="s">
        <v>1547</v>
      </c>
    </row>
    <row r="1129" spans="1:22" x14ac:dyDescent="0.35">
      <c r="A1129" s="118">
        <v>1128</v>
      </c>
      <c r="B1129" s="128" t="s">
        <v>166</v>
      </c>
      <c r="C1129" s="128" t="s">
        <v>234</v>
      </c>
      <c r="D1129" s="128" t="s">
        <v>5185</v>
      </c>
      <c r="E1129" s="128" t="s">
        <v>5188</v>
      </c>
      <c r="F1129" s="128">
        <v>1980</v>
      </c>
      <c r="G1129" s="128">
        <v>44</v>
      </c>
      <c r="H1129" s="128" t="s">
        <v>4422</v>
      </c>
      <c r="I1129" s="128">
        <v>44</v>
      </c>
      <c r="J1129" s="128" t="s">
        <v>2894</v>
      </c>
      <c r="K1129" s="128">
        <v>1</v>
      </c>
      <c r="L1129" s="128" t="s">
        <v>5189</v>
      </c>
      <c r="M1129" s="128" t="s">
        <v>5190</v>
      </c>
      <c r="N1129" s="128" t="s">
        <v>5191</v>
      </c>
      <c r="O1129" s="128">
        <v>549</v>
      </c>
      <c r="P1129" s="128">
        <v>113</v>
      </c>
      <c r="Q1129" s="128">
        <v>107</v>
      </c>
      <c r="R1129" s="128">
        <v>230</v>
      </c>
      <c r="S1129" s="128">
        <v>46</v>
      </c>
      <c r="T1129" s="128">
        <v>66</v>
      </c>
      <c r="U1129" s="128">
        <v>562</v>
      </c>
      <c r="V1129" s="128" t="s">
        <v>1547</v>
      </c>
    </row>
    <row r="1130" spans="1:22" x14ac:dyDescent="0.35">
      <c r="A1130" s="118">
        <v>1129</v>
      </c>
      <c r="B1130" s="128" t="s">
        <v>166</v>
      </c>
      <c r="C1130" s="128" t="s">
        <v>234</v>
      </c>
      <c r="D1130" s="128" t="s">
        <v>5192</v>
      </c>
      <c r="E1130" s="128" t="s">
        <v>5193</v>
      </c>
      <c r="F1130" s="128">
        <v>1980</v>
      </c>
      <c r="G1130" s="128">
        <v>44</v>
      </c>
      <c r="H1130" s="128">
        <v>1</v>
      </c>
      <c r="I1130" s="128">
        <v>45</v>
      </c>
      <c r="J1130" s="128" t="s">
        <v>2894</v>
      </c>
      <c r="K1130" s="128">
        <v>0</v>
      </c>
      <c r="L1130" s="128" t="s">
        <v>5194</v>
      </c>
      <c r="M1130" s="128" t="s">
        <v>5195</v>
      </c>
      <c r="N1130" s="128" t="s">
        <v>5196</v>
      </c>
      <c r="O1130" s="128">
        <v>534</v>
      </c>
      <c r="P1130" s="128">
        <v>110</v>
      </c>
      <c r="Q1130" s="128">
        <v>101</v>
      </c>
      <c r="R1130" s="128">
        <v>225</v>
      </c>
      <c r="S1130" s="128">
        <v>44</v>
      </c>
      <c r="T1130" s="128">
        <v>65</v>
      </c>
      <c r="U1130" s="128">
        <v>545</v>
      </c>
      <c r="V1130" s="128" t="s">
        <v>1547</v>
      </c>
    </row>
    <row r="1131" spans="1:22" x14ac:dyDescent="0.35">
      <c r="A1131" s="118">
        <v>1130</v>
      </c>
      <c r="B1131" s="128" t="s">
        <v>166</v>
      </c>
      <c r="C1131" s="128" t="s">
        <v>234</v>
      </c>
      <c r="D1131" s="128" t="s">
        <v>5192</v>
      </c>
      <c r="E1131" s="128" t="s">
        <v>5197</v>
      </c>
      <c r="F1131" s="128">
        <v>1980</v>
      </c>
      <c r="G1131" s="128">
        <v>34</v>
      </c>
      <c r="H1131" s="128" t="s">
        <v>4422</v>
      </c>
      <c r="I1131" s="128">
        <v>34</v>
      </c>
      <c r="J1131" s="128" t="s">
        <v>2894</v>
      </c>
      <c r="K1131" s="128">
        <v>2.15</v>
      </c>
      <c r="L1131" s="128" t="s">
        <v>2752</v>
      </c>
      <c r="M1131" s="128" t="s">
        <v>5198</v>
      </c>
      <c r="N1131" s="128" t="s">
        <v>2426</v>
      </c>
      <c r="O1131" s="128">
        <v>532</v>
      </c>
      <c r="P1131" s="128">
        <v>109</v>
      </c>
      <c r="Q1131" s="128">
        <v>99</v>
      </c>
      <c r="R1131" s="128">
        <v>221</v>
      </c>
      <c r="S1131" s="128">
        <v>44</v>
      </c>
      <c r="T1131" s="128">
        <v>67</v>
      </c>
      <c r="U1131" s="128">
        <v>540</v>
      </c>
      <c r="V1131" s="128" t="s">
        <v>1547</v>
      </c>
    </row>
    <row r="1132" spans="1:22" x14ac:dyDescent="0.35">
      <c r="A1132" s="118">
        <v>1131</v>
      </c>
      <c r="B1132" s="128" t="s">
        <v>166</v>
      </c>
      <c r="C1132" s="128" t="s">
        <v>234</v>
      </c>
      <c r="D1132" s="128" t="s">
        <v>5199</v>
      </c>
      <c r="E1132" s="128" t="s">
        <v>5200</v>
      </c>
      <c r="F1132" s="128">
        <v>1980</v>
      </c>
      <c r="G1132" s="128">
        <v>23</v>
      </c>
      <c r="H1132" s="128" t="s">
        <v>4422</v>
      </c>
      <c r="I1132" s="128">
        <v>23</v>
      </c>
      <c r="J1132" s="128" t="s">
        <v>2894</v>
      </c>
      <c r="K1132" s="128">
        <v>1.32</v>
      </c>
      <c r="L1132" s="128" t="s">
        <v>5201</v>
      </c>
      <c r="M1132" s="128" t="s">
        <v>5202</v>
      </c>
      <c r="N1132" s="128" t="s">
        <v>3670</v>
      </c>
      <c r="O1132" s="128">
        <v>525</v>
      </c>
      <c r="P1132" s="128">
        <v>108</v>
      </c>
      <c r="Q1132" s="128">
        <v>98</v>
      </c>
      <c r="R1132" s="128">
        <v>218</v>
      </c>
      <c r="S1132" s="128">
        <v>46</v>
      </c>
      <c r="T1132" s="128">
        <v>64</v>
      </c>
      <c r="U1132" s="128">
        <v>534</v>
      </c>
      <c r="V1132" s="128" t="s">
        <v>1547</v>
      </c>
    </row>
    <row r="1133" spans="1:22" x14ac:dyDescent="0.35">
      <c r="A1133" s="118">
        <v>1132</v>
      </c>
      <c r="B1133" s="128" t="s">
        <v>166</v>
      </c>
      <c r="C1133" s="128" t="s">
        <v>234</v>
      </c>
      <c r="D1133" s="128" t="s">
        <v>5203</v>
      </c>
      <c r="E1133" s="128" t="s">
        <v>5204</v>
      </c>
      <c r="F1133" s="128">
        <v>1980</v>
      </c>
      <c r="G1133" s="128">
        <v>46</v>
      </c>
      <c r="H1133" s="128" t="s">
        <v>4422</v>
      </c>
      <c r="I1133" s="128">
        <v>46</v>
      </c>
      <c r="J1133" s="128" t="s">
        <v>2894</v>
      </c>
      <c r="K1133" s="128">
        <v>7.12</v>
      </c>
      <c r="L1133" s="128" t="s">
        <v>5205</v>
      </c>
      <c r="M1133" s="128" t="s">
        <v>5206</v>
      </c>
      <c r="N1133" s="128" t="s">
        <v>5207</v>
      </c>
      <c r="O1133" s="128">
        <v>537</v>
      </c>
      <c r="P1133" s="128">
        <v>108</v>
      </c>
      <c r="Q1133" s="128">
        <v>104</v>
      </c>
      <c r="R1133" s="128">
        <v>223</v>
      </c>
      <c r="S1133" s="128">
        <v>44</v>
      </c>
      <c r="T1133" s="128">
        <v>66</v>
      </c>
      <c r="U1133" s="128">
        <v>545</v>
      </c>
      <c r="V1133" s="128" t="s">
        <v>1547</v>
      </c>
    </row>
    <row r="1134" spans="1:22" x14ac:dyDescent="0.35">
      <c r="A1134" s="118">
        <v>1133</v>
      </c>
      <c r="B1134" s="128" t="s">
        <v>166</v>
      </c>
      <c r="C1134" s="128" t="s">
        <v>234</v>
      </c>
      <c r="D1134" s="128" t="s">
        <v>5208</v>
      </c>
      <c r="E1134" s="128" t="s">
        <v>5209</v>
      </c>
      <c r="F1134" s="128">
        <v>1980</v>
      </c>
      <c r="G1134" s="128">
        <v>99</v>
      </c>
      <c r="H1134" s="128" t="s">
        <v>4422</v>
      </c>
      <c r="I1134" s="128">
        <v>99</v>
      </c>
      <c r="J1134" s="128" t="s">
        <v>2894</v>
      </c>
      <c r="K1134" s="128">
        <v>7</v>
      </c>
      <c r="L1134" s="128" t="s">
        <v>5210</v>
      </c>
      <c r="M1134" s="128" t="s">
        <v>5211</v>
      </c>
      <c r="N1134" s="128" t="s">
        <v>5212</v>
      </c>
      <c r="O1134" s="128">
        <v>719</v>
      </c>
      <c r="P1134" s="128">
        <v>139</v>
      </c>
      <c r="Q1134" s="128">
        <v>120</v>
      </c>
      <c r="R1134" s="128">
        <v>297</v>
      </c>
      <c r="S1134" s="128">
        <v>83</v>
      </c>
      <c r="T1134" s="128">
        <v>82</v>
      </c>
      <c r="U1134" s="128">
        <v>721</v>
      </c>
      <c r="V1134" s="128" t="s">
        <v>2702</v>
      </c>
    </row>
    <row r="1135" spans="1:22" x14ac:dyDescent="0.35">
      <c r="A1135" s="118">
        <v>1134</v>
      </c>
      <c r="B1135" s="128" t="s">
        <v>166</v>
      </c>
      <c r="C1135" s="128" t="s">
        <v>234</v>
      </c>
      <c r="D1135" s="128" t="s">
        <v>5213</v>
      </c>
      <c r="E1135" s="128" t="s">
        <v>5214</v>
      </c>
      <c r="F1135" s="128">
        <v>2011</v>
      </c>
      <c r="G1135" s="128" t="s">
        <v>4422</v>
      </c>
      <c r="H1135" s="128">
        <v>58</v>
      </c>
      <c r="I1135" s="128">
        <v>58</v>
      </c>
      <c r="J1135" s="128"/>
      <c r="K1135" s="128">
        <v>0.1</v>
      </c>
      <c r="L1135" s="128" t="s">
        <v>5215</v>
      </c>
      <c r="M1135" s="128" t="s">
        <v>5216</v>
      </c>
      <c r="N1135" s="128" t="s">
        <v>3368</v>
      </c>
      <c r="O1135" s="128">
        <v>500</v>
      </c>
      <c r="P1135" s="128">
        <v>105</v>
      </c>
      <c r="Q1135" s="128">
        <v>93</v>
      </c>
      <c r="R1135" s="128">
        <v>196</v>
      </c>
      <c r="S1135" s="128">
        <v>41</v>
      </c>
      <c r="T1135" s="128">
        <v>65</v>
      </c>
      <c r="U1135" s="128">
        <v>525</v>
      </c>
      <c r="V1135" s="128" t="s">
        <v>1397</v>
      </c>
    </row>
    <row r="1136" spans="1:22" x14ac:dyDescent="0.35">
      <c r="A1136" s="118">
        <v>1135</v>
      </c>
      <c r="B1136" s="128" t="s">
        <v>166</v>
      </c>
      <c r="C1136" s="128" t="s">
        <v>6255</v>
      </c>
      <c r="D1136" s="128"/>
      <c r="E1136" s="128" t="s">
        <v>765</v>
      </c>
      <c r="F1136" s="128">
        <v>1979</v>
      </c>
      <c r="G1136" s="128">
        <v>24</v>
      </c>
      <c r="H1136" s="128">
        <v>5</v>
      </c>
      <c r="I1136" s="128">
        <v>29</v>
      </c>
      <c r="J1136" s="128" t="s">
        <v>2894</v>
      </c>
      <c r="K1136" s="128">
        <v>5</v>
      </c>
      <c r="L1136" s="128" t="s">
        <v>5218</v>
      </c>
      <c r="M1136" s="128" t="s">
        <v>1703</v>
      </c>
      <c r="N1136" s="128" t="s">
        <v>2243</v>
      </c>
      <c r="O1136" s="128">
        <v>742</v>
      </c>
      <c r="P1136" s="128">
        <v>145</v>
      </c>
      <c r="Q1136" s="128">
        <v>127</v>
      </c>
      <c r="R1136" s="128">
        <v>310</v>
      </c>
      <c r="S1136" s="128">
        <v>85</v>
      </c>
      <c r="T1136" s="128">
        <v>85</v>
      </c>
      <c r="U1136" s="128">
        <v>752</v>
      </c>
      <c r="V1136" s="128" t="s">
        <v>2702</v>
      </c>
    </row>
    <row r="1137" spans="1:22" x14ac:dyDescent="0.35">
      <c r="A1137" s="118">
        <v>1136</v>
      </c>
      <c r="B1137" s="128" t="s">
        <v>166</v>
      </c>
      <c r="C1137" s="128" t="s">
        <v>6255</v>
      </c>
      <c r="D1137" s="128"/>
      <c r="E1137" s="128" t="s">
        <v>764</v>
      </c>
      <c r="F1137" s="128">
        <v>1979</v>
      </c>
      <c r="G1137" s="128">
        <v>39</v>
      </c>
      <c r="H1137" s="128">
        <v>4</v>
      </c>
      <c r="I1137" s="128">
        <v>43</v>
      </c>
      <c r="J1137" s="128" t="s">
        <v>2894</v>
      </c>
      <c r="K1137" s="128">
        <v>5</v>
      </c>
      <c r="L1137" s="128" t="s">
        <v>5219</v>
      </c>
      <c r="M1137" s="128" t="s">
        <v>4513</v>
      </c>
      <c r="N1137" s="128" t="s">
        <v>4427</v>
      </c>
      <c r="O1137" s="128">
        <v>572</v>
      </c>
      <c r="P1137" s="128">
        <v>120</v>
      </c>
      <c r="Q1137" s="128">
        <v>108</v>
      </c>
      <c r="R1137" s="128">
        <v>237</v>
      </c>
      <c r="S1137" s="128">
        <v>52</v>
      </c>
      <c r="T1137" s="128">
        <v>65</v>
      </c>
      <c r="U1137" s="128">
        <v>582</v>
      </c>
      <c r="V1137" s="128" t="s">
        <v>1547</v>
      </c>
    </row>
    <row r="1138" spans="1:22" x14ac:dyDescent="0.35">
      <c r="A1138" s="118">
        <v>1137</v>
      </c>
      <c r="B1138" s="128" t="s">
        <v>166</v>
      </c>
      <c r="C1138" s="128" t="s">
        <v>6255</v>
      </c>
      <c r="D1138" s="128"/>
      <c r="E1138" s="128" t="s">
        <v>763</v>
      </c>
      <c r="F1138" s="128">
        <v>1979</v>
      </c>
      <c r="G1138" s="128">
        <v>41</v>
      </c>
      <c r="H1138" s="128">
        <v>1</v>
      </c>
      <c r="I1138" s="128">
        <v>43</v>
      </c>
      <c r="J1138" s="128" t="s">
        <v>2894</v>
      </c>
      <c r="K1138" s="128">
        <v>2</v>
      </c>
      <c r="L1138" s="128" t="s">
        <v>4276</v>
      </c>
      <c r="M1138" s="128" t="s">
        <v>1662</v>
      </c>
      <c r="N1138" s="128" t="s">
        <v>5220</v>
      </c>
      <c r="O1138" s="128">
        <v>567</v>
      </c>
      <c r="P1138" s="128">
        <v>120</v>
      </c>
      <c r="Q1138" s="128">
        <v>107</v>
      </c>
      <c r="R1138" s="128">
        <v>232</v>
      </c>
      <c r="S1138" s="128">
        <v>56</v>
      </c>
      <c r="T1138" s="128">
        <v>63</v>
      </c>
      <c r="U1138" s="128">
        <v>578</v>
      </c>
      <c r="V1138" s="128" t="s">
        <v>1547</v>
      </c>
    </row>
    <row r="1139" spans="1:22" x14ac:dyDescent="0.35">
      <c r="A1139" s="118">
        <v>1138</v>
      </c>
      <c r="B1139" s="128" t="s">
        <v>166</v>
      </c>
      <c r="C1139" s="128" t="s">
        <v>6255</v>
      </c>
      <c r="D1139" s="128"/>
      <c r="E1139" s="128" t="s">
        <v>762</v>
      </c>
      <c r="F1139" s="128">
        <v>1979</v>
      </c>
      <c r="G1139" s="128">
        <v>101</v>
      </c>
      <c r="H1139" s="128">
        <v>1</v>
      </c>
      <c r="I1139" s="128">
        <v>102</v>
      </c>
      <c r="J1139" s="128" t="s">
        <v>2894</v>
      </c>
      <c r="K1139" s="128">
        <v>0</v>
      </c>
      <c r="L1139" s="128" t="s">
        <v>1572</v>
      </c>
      <c r="M1139" s="128" t="s">
        <v>2282</v>
      </c>
      <c r="N1139" s="128" t="s">
        <v>5221</v>
      </c>
      <c r="O1139" s="128">
        <v>528</v>
      </c>
      <c r="P1139" s="128">
        <v>112</v>
      </c>
      <c r="Q1139" s="128">
        <v>107</v>
      </c>
      <c r="R1139" s="128">
        <v>211</v>
      </c>
      <c r="S1139" s="128">
        <v>53</v>
      </c>
      <c r="T1139" s="128">
        <v>58</v>
      </c>
      <c r="U1139" s="128">
        <v>541</v>
      </c>
      <c r="V1139" s="128" t="s">
        <v>1547</v>
      </c>
    </row>
    <row r="1140" spans="1:22" x14ac:dyDescent="0.35">
      <c r="A1140" s="118">
        <v>1139</v>
      </c>
      <c r="B1140" s="128" t="s">
        <v>166</v>
      </c>
      <c r="C1140" s="128" t="s">
        <v>6255</v>
      </c>
      <c r="D1140" s="128"/>
      <c r="E1140" s="128" t="s">
        <v>761</v>
      </c>
      <c r="F1140" s="128">
        <v>1979</v>
      </c>
      <c r="G1140" s="128">
        <v>81</v>
      </c>
      <c r="H1140" s="128">
        <v>3</v>
      </c>
      <c r="I1140" s="128">
        <v>84</v>
      </c>
      <c r="J1140" s="128" t="s">
        <v>2894</v>
      </c>
      <c r="K1140" s="128">
        <v>0</v>
      </c>
      <c r="L1140" s="128" t="s">
        <v>1946</v>
      </c>
      <c r="M1140" s="128" t="s">
        <v>2303</v>
      </c>
      <c r="N1140" s="128" t="s">
        <v>5222</v>
      </c>
      <c r="O1140" s="128">
        <v>558</v>
      </c>
      <c r="P1140" s="128">
        <v>114</v>
      </c>
      <c r="Q1140" s="128">
        <v>102</v>
      </c>
      <c r="R1140" s="128">
        <v>236</v>
      </c>
      <c r="S1140" s="128">
        <v>54</v>
      </c>
      <c r="T1140" s="128">
        <v>64</v>
      </c>
      <c r="U1140" s="128">
        <v>570</v>
      </c>
      <c r="V1140" s="128" t="s">
        <v>1547</v>
      </c>
    </row>
    <row r="1141" spans="1:22" x14ac:dyDescent="0.35">
      <c r="A1141" s="118">
        <v>1140</v>
      </c>
      <c r="B1141" s="128" t="s">
        <v>166</v>
      </c>
      <c r="C1141" s="128" t="s">
        <v>246</v>
      </c>
      <c r="D1141" s="128" t="s">
        <v>3380</v>
      </c>
      <c r="E1141" s="128" t="s">
        <v>32</v>
      </c>
      <c r="F1141" s="128">
        <v>1995</v>
      </c>
      <c r="G1141" s="128">
        <v>67</v>
      </c>
      <c r="H1141" s="128">
        <v>0</v>
      </c>
      <c r="I1141" s="128">
        <v>67</v>
      </c>
      <c r="J1141" s="128" t="s">
        <v>2894</v>
      </c>
      <c r="K1141" s="128">
        <v>0</v>
      </c>
      <c r="L1141" s="128" t="s">
        <v>1550</v>
      </c>
      <c r="M1141" s="128" t="s">
        <v>2926</v>
      </c>
      <c r="N1141" s="128" t="s">
        <v>2375</v>
      </c>
      <c r="O1141" s="128">
        <v>518</v>
      </c>
      <c r="P1141" s="128">
        <v>114</v>
      </c>
      <c r="Q1141" s="128">
        <v>88</v>
      </c>
      <c r="R1141" s="128">
        <v>212</v>
      </c>
      <c r="S1141" s="128">
        <v>59</v>
      </c>
      <c r="T1141" s="128">
        <v>57</v>
      </c>
      <c r="U1141" s="128">
        <v>530</v>
      </c>
      <c r="V1141" s="128" t="s">
        <v>1547</v>
      </c>
    </row>
    <row r="1142" spans="1:22" x14ac:dyDescent="0.35">
      <c r="A1142" s="118">
        <v>1141</v>
      </c>
      <c r="B1142" s="128" t="s">
        <v>166</v>
      </c>
      <c r="C1142" s="128" t="s">
        <v>246</v>
      </c>
      <c r="D1142" s="128" t="s">
        <v>2415</v>
      </c>
      <c r="E1142" s="128" t="s">
        <v>50</v>
      </c>
      <c r="F1142" s="128">
        <v>1995</v>
      </c>
      <c r="G1142" s="128">
        <v>59</v>
      </c>
      <c r="H1142" s="128">
        <v>3</v>
      </c>
      <c r="I1142" s="128">
        <v>62</v>
      </c>
      <c r="J1142" s="128" t="s">
        <v>2894</v>
      </c>
      <c r="K1142" s="128">
        <v>2</v>
      </c>
      <c r="L1142" s="128" t="s">
        <v>5223</v>
      </c>
      <c r="M1142" s="128" t="s">
        <v>5224</v>
      </c>
      <c r="N1142" s="128" t="s">
        <v>1638</v>
      </c>
      <c r="O1142" s="128">
        <v>622</v>
      </c>
      <c r="P1142" s="128">
        <v>131</v>
      </c>
      <c r="Q1142" s="128">
        <v>115</v>
      </c>
      <c r="R1142" s="128">
        <v>242</v>
      </c>
      <c r="S1142" s="128">
        <v>73</v>
      </c>
      <c r="T1142" s="128">
        <v>66</v>
      </c>
      <c r="U1142" s="128">
        <v>627</v>
      </c>
      <c r="V1142" s="128" t="s">
        <v>1547</v>
      </c>
    </row>
    <row r="1143" spans="1:22" x14ac:dyDescent="0.35">
      <c r="A1143" s="118">
        <v>1142</v>
      </c>
      <c r="B1143" s="128" t="s">
        <v>166</v>
      </c>
      <c r="C1143" s="128" t="s">
        <v>246</v>
      </c>
      <c r="D1143" s="128" t="s">
        <v>5225</v>
      </c>
      <c r="E1143" s="128" t="s">
        <v>68</v>
      </c>
      <c r="F1143" s="128">
        <v>1995</v>
      </c>
      <c r="G1143" s="128">
        <v>86</v>
      </c>
      <c r="H1143" s="128">
        <v>3</v>
      </c>
      <c r="I1143" s="128">
        <v>89</v>
      </c>
      <c r="J1143" s="128" t="s">
        <v>2894</v>
      </c>
      <c r="K1143" s="128">
        <v>0</v>
      </c>
      <c r="L1143" s="128" t="s">
        <v>4415</v>
      </c>
      <c r="M1143" s="128" t="s">
        <v>5226</v>
      </c>
      <c r="N1143" s="128" t="s">
        <v>1856</v>
      </c>
      <c r="O1143" s="128">
        <v>564</v>
      </c>
      <c r="P1143" s="128">
        <v>122</v>
      </c>
      <c r="Q1143" s="128">
        <v>103</v>
      </c>
      <c r="R1143" s="128">
        <v>231</v>
      </c>
      <c r="S1143" s="128">
        <v>57</v>
      </c>
      <c r="T1143" s="128">
        <v>65</v>
      </c>
      <c r="U1143" s="128">
        <v>578</v>
      </c>
      <c r="V1143" s="128" t="s">
        <v>1547</v>
      </c>
    </row>
    <row r="1144" spans="1:22" x14ac:dyDescent="0.35">
      <c r="A1144" s="118">
        <v>1143</v>
      </c>
      <c r="B1144" s="128" t="s">
        <v>166</v>
      </c>
      <c r="C1144" s="128" t="s">
        <v>246</v>
      </c>
      <c r="D1144" s="128" t="s">
        <v>3155</v>
      </c>
      <c r="E1144" s="128" t="s">
        <v>84</v>
      </c>
      <c r="F1144" s="128">
        <v>1995</v>
      </c>
      <c r="G1144" s="128">
        <v>45</v>
      </c>
      <c r="H1144" s="128">
        <v>0</v>
      </c>
      <c r="I1144" s="128">
        <v>45</v>
      </c>
      <c r="J1144" s="128" t="s">
        <v>2894</v>
      </c>
      <c r="K1144" s="128">
        <v>0</v>
      </c>
      <c r="L1144" s="128" t="s">
        <v>1536</v>
      </c>
      <c r="M1144" s="128" t="s">
        <v>5227</v>
      </c>
      <c r="N1144" s="128" t="s">
        <v>4524</v>
      </c>
      <c r="O1144" s="128">
        <v>532</v>
      </c>
      <c r="P1144" s="128">
        <v>117</v>
      </c>
      <c r="Q1144" s="128">
        <v>97</v>
      </c>
      <c r="R1144" s="128">
        <v>212</v>
      </c>
      <c r="S1144" s="128">
        <v>58</v>
      </c>
      <c r="T1144" s="128">
        <v>59</v>
      </c>
      <c r="U1144" s="128">
        <v>543</v>
      </c>
      <c r="V1144" s="128" t="s">
        <v>1547</v>
      </c>
    </row>
    <row r="1145" spans="1:22" x14ac:dyDescent="0.35">
      <c r="A1145" s="118">
        <v>1144</v>
      </c>
      <c r="B1145" s="128" t="s">
        <v>166</v>
      </c>
      <c r="C1145" s="128" t="s">
        <v>246</v>
      </c>
      <c r="D1145" s="128" t="s">
        <v>2391</v>
      </c>
      <c r="E1145" s="128" t="s">
        <v>813</v>
      </c>
      <c r="F1145" s="128">
        <v>1971</v>
      </c>
      <c r="G1145" s="128">
        <v>49</v>
      </c>
      <c r="H1145" s="128">
        <v>1</v>
      </c>
      <c r="I1145" s="128">
        <v>50</v>
      </c>
      <c r="J1145" s="128" t="s">
        <v>2894</v>
      </c>
      <c r="K1145" s="128">
        <v>8</v>
      </c>
      <c r="L1145" s="128" t="s">
        <v>5228</v>
      </c>
      <c r="M1145" s="128" t="s">
        <v>1615</v>
      </c>
      <c r="N1145" s="128" t="s">
        <v>5229</v>
      </c>
      <c r="O1145" s="128">
        <v>838</v>
      </c>
      <c r="P1145" s="128">
        <v>183</v>
      </c>
      <c r="Q1145" s="128">
        <v>143</v>
      </c>
      <c r="R1145" s="128">
        <v>334</v>
      </c>
      <c r="S1145" s="128">
        <v>90</v>
      </c>
      <c r="T1145" s="128">
        <v>98</v>
      </c>
      <c r="U1145" s="128">
        <v>848</v>
      </c>
      <c r="V1145" s="128" t="s">
        <v>2702</v>
      </c>
    </row>
    <row r="1146" spans="1:22" x14ac:dyDescent="0.35">
      <c r="A1146" s="118">
        <v>1145</v>
      </c>
      <c r="B1146" s="128" t="s">
        <v>166</v>
      </c>
      <c r="C1146" s="128" t="s">
        <v>246</v>
      </c>
      <c r="D1146" s="128" t="s">
        <v>5230</v>
      </c>
      <c r="E1146" s="128" t="s">
        <v>812</v>
      </c>
      <c r="F1146" s="128">
        <v>1992</v>
      </c>
      <c r="G1146" s="128">
        <v>20</v>
      </c>
      <c r="H1146" s="128">
        <v>0</v>
      </c>
      <c r="I1146" s="128">
        <v>20</v>
      </c>
      <c r="J1146" s="128" t="s">
        <v>2894</v>
      </c>
      <c r="K1146" s="128">
        <v>0</v>
      </c>
      <c r="L1146" s="128" t="s">
        <v>5231</v>
      </c>
      <c r="M1146" s="128" t="s">
        <v>5232</v>
      </c>
      <c r="N1146" s="128" t="s">
        <v>1939</v>
      </c>
      <c r="O1146" s="128">
        <v>527</v>
      </c>
      <c r="P1146" s="128">
        <v>112</v>
      </c>
      <c r="Q1146" s="128">
        <v>89</v>
      </c>
      <c r="R1146" s="128">
        <v>221</v>
      </c>
      <c r="S1146" s="128">
        <v>57</v>
      </c>
      <c r="T1146" s="128">
        <v>60</v>
      </c>
      <c r="U1146" s="128">
        <v>539</v>
      </c>
      <c r="V1146" s="128" t="s">
        <v>1547</v>
      </c>
    </row>
    <row r="1147" spans="1:22" x14ac:dyDescent="0.35">
      <c r="A1147" s="118">
        <v>1146</v>
      </c>
      <c r="B1147" s="128" t="s">
        <v>166</v>
      </c>
      <c r="C1147" s="128" t="s">
        <v>246</v>
      </c>
      <c r="D1147" s="128" t="s">
        <v>5225</v>
      </c>
      <c r="E1147" s="128" t="s">
        <v>811</v>
      </c>
      <c r="F1147" s="128">
        <v>1992</v>
      </c>
      <c r="G1147" s="128">
        <v>89</v>
      </c>
      <c r="H1147" s="128">
        <v>3</v>
      </c>
      <c r="I1147" s="128">
        <v>92</v>
      </c>
      <c r="J1147" s="128" t="s">
        <v>2894</v>
      </c>
      <c r="K1147" s="128">
        <v>0</v>
      </c>
      <c r="L1147" s="128" t="s">
        <v>4588</v>
      </c>
      <c r="M1147" s="128" t="s">
        <v>2244</v>
      </c>
      <c r="N1147" s="128" t="s">
        <v>4181</v>
      </c>
      <c r="O1147" s="128">
        <v>513</v>
      </c>
      <c r="P1147" s="128">
        <v>118</v>
      </c>
      <c r="Q1147" s="128">
        <v>89</v>
      </c>
      <c r="R1147" s="128">
        <v>216</v>
      </c>
      <c r="S1147" s="128">
        <v>50</v>
      </c>
      <c r="T1147" s="128">
        <v>56</v>
      </c>
      <c r="U1147" s="128">
        <v>529</v>
      </c>
      <c r="V1147" s="128" t="s">
        <v>1547</v>
      </c>
    </row>
    <row r="1148" spans="1:22" x14ac:dyDescent="0.35">
      <c r="A1148" s="118">
        <v>1147</v>
      </c>
      <c r="B1148" s="128" t="s">
        <v>166</v>
      </c>
      <c r="C1148" s="128" t="s">
        <v>246</v>
      </c>
      <c r="D1148" s="128" t="s">
        <v>5230</v>
      </c>
      <c r="E1148" s="128" t="s">
        <v>810</v>
      </c>
      <c r="F1148" s="128">
        <v>1992</v>
      </c>
      <c r="G1148" s="128">
        <v>20</v>
      </c>
      <c r="H1148" s="128">
        <v>0</v>
      </c>
      <c r="I1148" s="128">
        <v>20</v>
      </c>
      <c r="J1148" s="128" t="s">
        <v>2894</v>
      </c>
      <c r="K1148" s="128">
        <v>0</v>
      </c>
      <c r="L1148" s="128" t="s">
        <v>5233</v>
      </c>
      <c r="M1148" s="128" t="s">
        <v>5234</v>
      </c>
      <c r="N1148" s="128" t="s">
        <v>5235</v>
      </c>
      <c r="O1148" s="128">
        <v>523</v>
      </c>
      <c r="P1148" s="128">
        <v>116</v>
      </c>
      <c r="Q1148" s="128">
        <v>94</v>
      </c>
      <c r="R1148" s="128">
        <v>213</v>
      </c>
      <c r="S1148" s="128">
        <v>48</v>
      </c>
      <c r="T1148" s="128">
        <v>65</v>
      </c>
      <c r="U1148" s="128">
        <v>536</v>
      </c>
      <c r="V1148" s="128" t="s">
        <v>1547</v>
      </c>
    </row>
    <row r="1149" spans="1:22" x14ac:dyDescent="0.35">
      <c r="A1149" s="118">
        <v>1148</v>
      </c>
      <c r="B1149" s="128" t="s">
        <v>166</v>
      </c>
      <c r="C1149" s="128" t="s">
        <v>246</v>
      </c>
      <c r="D1149" s="128" t="s">
        <v>3155</v>
      </c>
      <c r="E1149" s="128" t="s">
        <v>809</v>
      </c>
      <c r="F1149" s="128">
        <v>1992</v>
      </c>
      <c r="G1149" s="128">
        <v>28</v>
      </c>
      <c r="H1149" s="128">
        <v>0</v>
      </c>
      <c r="I1149" s="128">
        <v>28</v>
      </c>
      <c r="J1149" s="128" t="s">
        <v>2894</v>
      </c>
      <c r="K1149" s="128">
        <v>2</v>
      </c>
      <c r="L1149" s="128" t="s">
        <v>5236</v>
      </c>
      <c r="M1149" s="128" t="s">
        <v>5237</v>
      </c>
      <c r="N1149" s="128" t="s">
        <v>5238</v>
      </c>
      <c r="O1149" s="128">
        <v>516</v>
      </c>
      <c r="P1149" s="128">
        <v>114</v>
      </c>
      <c r="Q1149" s="128">
        <v>99</v>
      </c>
      <c r="R1149" s="128">
        <v>211</v>
      </c>
      <c r="S1149" s="128">
        <v>53</v>
      </c>
      <c r="T1149" s="128">
        <v>53</v>
      </c>
      <c r="U1149" s="128">
        <v>530</v>
      </c>
      <c r="V1149" s="128" t="s">
        <v>1547</v>
      </c>
    </row>
    <row r="1150" spans="1:22" x14ac:dyDescent="0.35">
      <c r="A1150" s="118">
        <v>1149</v>
      </c>
      <c r="B1150" s="128" t="s">
        <v>166</v>
      </c>
      <c r="C1150" s="128" t="s">
        <v>246</v>
      </c>
      <c r="D1150" s="128" t="s">
        <v>3380</v>
      </c>
      <c r="E1150" s="128" t="s">
        <v>808</v>
      </c>
      <c r="F1150" s="128">
        <v>1992</v>
      </c>
      <c r="G1150" s="128">
        <v>36</v>
      </c>
      <c r="H1150" s="128">
        <v>2</v>
      </c>
      <c r="I1150" s="128">
        <v>38</v>
      </c>
      <c r="J1150" s="128" t="s">
        <v>2894</v>
      </c>
      <c r="K1150" s="128">
        <v>2</v>
      </c>
      <c r="L1150" s="128" t="s">
        <v>1969</v>
      </c>
      <c r="M1150" s="128" t="s">
        <v>5239</v>
      </c>
      <c r="N1150" s="128" t="s">
        <v>5240</v>
      </c>
      <c r="O1150" s="128">
        <v>565</v>
      </c>
      <c r="P1150" s="128">
        <v>114</v>
      </c>
      <c r="Q1150" s="128">
        <v>111</v>
      </c>
      <c r="R1150" s="128">
        <v>223</v>
      </c>
      <c r="S1150" s="128">
        <v>65</v>
      </c>
      <c r="T1150" s="128">
        <v>63</v>
      </c>
      <c r="U1150" s="128">
        <v>576</v>
      </c>
      <c r="V1150" s="128" t="s">
        <v>1547</v>
      </c>
    </row>
    <row r="1151" spans="1:22" x14ac:dyDescent="0.35">
      <c r="A1151" s="118">
        <v>1150</v>
      </c>
      <c r="B1151" s="128" t="s">
        <v>166</v>
      </c>
      <c r="C1151" s="128" t="s">
        <v>246</v>
      </c>
      <c r="D1151" s="128" t="s">
        <v>5241</v>
      </c>
      <c r="E1151" s="128" t="s">
        <v>5242</v>
      </c>
      <c r="F1151" s="128">
        <v>1995</v>
      </c>
      <c r="G1151" s="128">
        <v>72</v>
      </c>
      <c r="H1151" s="128">
        <v>4</v>
      </c>
      <c r="I1151" s="128">
        <v>76</v>
      </c>
      <c r="J1151" s="128" t="s">
        <v>2894</v>
      </c>
      <c r="K1151" s="128">
        <v>0</v>
      </c>
      <c r="L1151" s="128" t="s">
        <v>1540</v>
      </c>
      <c r="M1151" s="128" t="s">
        <v>5243</v>
      </c>
      <c r="N1151" s="128" t="s">
        <v>5244</v>
      </c>
      <c r="O1151" s="128">
        <v>565</v>
      </c>
      <c r="P1151" s="128">
        <v>114</v>
      </c>
      <c r="Q1151" s="128">
        <v>111</v>
      </c>
      <c r="R1151" s="128">
        <v>224</v>
      </c>
      <c r="S1151" s="128">
        <v>65</v>
      </c>
      <c r="T1151" s="128">
        <v>64</v>
      </c>
      <c r="U1151" s="128">
        <v>578</v>
      </c>
      <c r="V1151" s="128" t="s">
        <v>1547</v>
      </c>
    </row>
    <row r="1152" spans="1:22" x14ac:dyDescent="0.35">
      <c r="A1152" s="118">
        <v>1151</v>
      </c>
      <c r="B1152" s="128" t="s">
        <v>166</v>
      </c>
      <c r="C1152" s="128" t="s">
        <v>247</v>
      </c>
      <c r="D1152" s="128" t="s">
        <v>5245</v>
      </c>
      <c r="E1152" s="128" t="s">
        <v>909</v>
      </c>
      <c r="F1152" s="128">
        <v>2006</v>
      </c>
      <c r="G1152" s="128">
        <v>23</v>
      </c>
      <c r="H1152" s="128" t="s">
        <v>4422</v>
      </c>
      <c r="I1152" s="128">
        <v>23</v>
      </c>
      <c r="J1152" s="128" t="s">
        <v>2894</v>
      </c>
      <c r="K1152" s="128">
        <v>3</v>
      </c>
      <c r="L1152" s="128" t="s">
        <v>5246</v>
      </c>
      <c r="M1152" s="128" t="s">
        <v>3961</v>
      </c>
      <c r="N1152" s="128" t="s">
        <v>3604</v>
      </c>
      <c r="O1152" s="128">
        <v>557</v>
      </c>
      <c r="P1152" s="128">
        <v>114</v>
      </c>
      <c r="Q1152" s="128">
        <v>105</v>
      </c>
      <c r="R1152" s="128">
        <v>228</v>
      </c>
      <c r="S1152" s="128">
        <v>49</v>
      </c>
      <c r="T1152" s="128">
        <v>71</v>
      </c>
      <c r="U1152" s="128">
        <v>567</v>
      </c>
      <c r="V1152" s="128" t="s">
        <v>1547</v>
      </c>
    </row>
    <row r="1153" spans="1:22" x14ac:dyDescent="0.35">
      <c r="A1153" s="118">
        <v>1152</v>
      </c>
      <c r="B1153" s="128" t="s">
        <v>166</v>
      </c>
      <c r="C1153" s="128" t="s">
        <v>247</v>
      </c>
      <c r="D1153" s="128" t="s">
        <v>5247</v>
      </c>
      <c r="E1153" s="128" t="s">
        <v>709</v>
      </c>
      <c r="F1153" s="128">
        <v>2007</v>
      </c>
      <c r="G1153" s="128">
        <v>49</v>
      </c>
      <c r="H1153" s="128">
        <v>1</v>
      </c>
      <c r="I1153" s="128">
        <v>50</v>
      </c>
      <c r="J1153" s="128" t="s">
        <v>2894</v>
      </c>
      <c r="K1153" s="128">
        <v>4</v>
      </c>
      <c r="L1153" s="128" t="s">
        <v>5248</v>
      </c>
      <c r="M1153" s="128" t="s">
        <v>2430</v>
      </c>
      <c r="N1153" s="128" t="s">
        <v>5249</v>
      </c>
      <c r="O1153" s="128">
        <v>559</v>
      </c>
      <c r="P1153" s="128">
        <v>115</v>
      </c>
      <c r="Q1153" s="128">
        <v>105</v>
      </c>
      <c r="R1153" s="128">
        <v>230</v>
      </c>
      <c r="S1153" s="128">
        <v>48</v>
      </c>
      <c r="T1153" s="128">
        <v>70</v>
      </c>
      <c r="U1153" s="128">
        <v>568</v>
      </c>
      <c r="V1153" s="128" t="s">
        <v>1547</v>
      </c>
    </row>
    <row r="1154" spans="1:22" x14ac:dyDescent="0.35">
      <c r="A1154" s="118">
        <v>1153</v>
      </c>
      <c r="B1154" s="128" t="s">
        <v>166</v>
      </c>
      <c r="C1154" s="128" t="s">
        <v>247</v>
      </c>
      <c r="D1154" s="128" t="s">
        <v>5250</v>
      </c>
      <c r="E1154" s="128" t="s">
        <v>908</v>
      </c>
      <c r="F1154" s="128">
        <v>2007</v>
      </c>
      <c r="G1154" s="128">
        <v>17</v>
      </c>
      <c r="H1154" s="128">
        <v>0</v>
      </c>
      <c r="I1154" s="128">
        <v>17</v>
      </c>
      <c r="J1154" s="128" t="s">
        <v>2894</v>
      </c>
      <c r="K1154" s="128">
        <v>1</v>
      </c>
      <c r="L1154" s="128" t="s">
        <v>5251</v>
      </c>
      <c r="M1154" s="128" t="s">
        <v>5252</v>
      </c>
      <c r="N1154" s="128" t="s">
        <v>5253</v>
      </c>
      <c r="O1154" s="128">
        <v>507</v>
      </c>
      <c r="P1154" s="128">
        <v>118</v>
      </c>
      <c r="Q1154" s="128">
        <v>91</v>
      </c>
      <c r="R1154" s="128">
        <v>202</v>
      </c>
      <c r="S1154" s="128">
        <v>42</v>
      </c>
      <c r="T1154" s="128">
        <v>63</v>
      </c>
      <c r="U1154" s="128">
        <v>516</v>
      </c>
      <c r="V1154" s="128" t="s">
        <v>1547</v>
      </c>
    </row>
    <row r="1155" spans="1:22" x14ac:dyDescent="0.35">
      <c r="A1155" s="118">
        <v>1154</v>
      </c>
      <c r="B1155" s="128" t="s">
        <v>166</v>
      </c>
      <c r="C1155" s="128" t="s">
        <v>247</v>
      </c>
      <c r="D1155" s="128" t="s">
        <v>5128</v>
      </c>
      <c r="E1155" s="128" t="s">
        <v>907</v>
      </c>
      <c r="F1155" s="128">
        <v>2006</v>
      </c>
      <c r="G1155" s="128">
        <v>34</v>
      </c>
      <c r="H1155" s="128" t="s">
        <v>4422</v>
      </c>
      <c r="I1155" s="128">
        <v>34</v>
      </c>
      <c r="J1155" s="128" t="s">
        <v>2894</v>
      </c>
      <c r="K1155" s="128">
        <v>0</v>
      </c>
      <c r="L1155" s="128" t="s">
        <v>5254</v>
      </c>
      <c r="M1155" s="128" t="s">
        <v>3857</v>
      </c>
      <c r="N1155" s="128" t="s">
        <v>5255</v>
      </c>
      <c r="O1155" s="128">
        <v>490</v>
      </c>
      <c r="P1155" s="128">
        <v>109</v>
      </c>
      <c r="Q1155" s="128">
        <v>88</v>
      </c>
      <c r="R1155" s="128">
        <v>202</v>
      </c>
      <c r="S1155" s="128">
        <v>43</v>
      </c>
      <c r="T1155" s="128">
        <v>62</v>
      </c>
      <c r="U1155" s="128">
        <v>504</v>
      </c>
      <c r="V1155" s="128" t="s">
        <v>1547</v>
      </c>
    </row>
    <row r="1156" spans="1:22" x14ac:dyDescent="0.35">
      <c r="A1156" s="118">
        <v>1155</v>
      </c>
      <c r="B1156" s="128" t="s">
        <v>166</v>
      </c>
      <c r="C1156" s="128" t="s">
        <v>247</v>
      </c>
      <c r="D1156" s="128" t="s">
        <v>5256</v>
      </c>
      <c r="E1156" s="128" t="s">
        <v>906</v>
      </c>
      <c r="F1156" s="128">
        <v>2006</v>
      </c>
      <c r="G1156" s="128">
        <v>30</v>
      </c>
      <c r="H1156" s="128">
        <v>1</v>
      </c>
      <c r="I1156" s="128">
        <v>31</v>
      </c>
      <c r="J1156" s="128" t="s">
        <v>2894</v>
      </c>
      <c r="K1156" s="128">
        <v>0</v>
      </c>
      <c r="L1156" s="128" t="s">
        <v>5257</v>
      </c>
      <c r="M1156" s="128" t="s">
        <v>5258</v>
      </c>
      <c r="N1156" s="128" t="s">
        <v>3132</v>
      </c>
      <c r="O1156" s="128">
        <v>496</v>
      </c>
      <c r="P1156" s="128">
        <v>107</v>
      </c>
      <c r="Q1156" s="128">
        <v>89</v>
      </c>
      <c r="R1156" s="128">
        <v>205</v>
      </c>
      <c r="S1156" s="128">
        <v>45</v>
      </c>
      <c r="T1156" s="128">
        <v>64</v>
      </c>
      <c r="U1156" s="128">
        <v>510</v>
      </c>
      <c r="V1156" s="128" t="s">
        <v>1547</v>
      </c>
    </row>
    <row r="1157" spans="1:22" x14ac:dyDescent="0.35">
      <c r="A1157" s="118">
        <v>1156</v>
      </c>
      <c r="B1157" s="128" t="s">
        <v>166</v>
      </c>
      <c r="C1157" s="128" t="s">
        <v>247</v>
      </c>
      <c r="D1157" s="128" t="s">
        <v>5259</v>
      </c>
      <c r="E1157" s="128" t="s">
        <v>905</v>
      </c>
      <c r="F1157" s="128">
        <v>2007</v>
      </c>
      <c r="G1157" s="128">
        <v>40</v>
      </c>
      <c r="H1157" s="128" t="s">
        <v>4422</v>
      </c>
      <c r="I1157" s="128">
        <v>40</v>
      </c>
      <c r="J1157" s="128" t="s">
        <v>2894</v>
      </c>
      <c r="K1157" s="128">
        <v>3</v>
      </c>
      <c r="L1157" s="128" t="s">
        <v>2508</v>
      </c>
      <c r="M1157" s="128" t="s">
        <v>2637</v>
      </c>
      <c r="N1157" s="128" t="s">
        <v>5260</v>
      </c>
      <c r="O1157" s="128">
        <v>514</v>
      </c>
      <c r="P1157" s="128">
        <v>108</v>
      </c>
      <c r="Q1157" s="128">
        <v>95</v>
      </c>
      <c r="R1157" s="128">
        <v>216</v>
      </c>
      <c r="S1157" s="128">
        <v>42</v>
      </c>
      <c r="T1157" s="128">
        <v>62</v>
      </c>
      <c r="U1157" s="128">
        <v>523</v>
      </c>
      <c r="V1157" s="128" t="s">
        <v>1547</v>
      </c>
    </row>
    <row r="1158" spans="1:22" x14ac:dyDescent="0.35">
      <c r="A1158" s="118">
        <v>1157</v>
      </c>
      <c r="B1158" s="128" t="s">
        <v>167</v>
      </c>
      <c r="C1158" s="128" t="s">
        <v>910</v>
      </c>
      <c r="D1158" s="128" t="s">
        <v>1952</v>
      </c>
      <c r="E1158" s="128" t="s">
        <v>909</v>
      </c>
      <c r="F1158" s="128">
        <v>1975</v>
      </c>
      <c r="G1158" s="128">
        <v>49</v>
      </c>
      <c r="H1158" s="128">
        <v>0</v>
      </c>
      <c r="I1158" s="128">
        <v>49</v>
      </c>
      <c r="J1158" s="128" t="s">
        <v>1509</v>
      </c>
      <c r="K1158" s="128">
        <v>15</v>
      </c>
      <c r="L1158" s="128" t="s">
        <v>5261</v>
      </c>
      <c r="M1158" s="128" t="s">
        <v>5262</v>
      </c>
      <c r="N1158" s="128" t="s">
        <v>1877</v>
      </c>
      <c r="O1158" s="128">
        <v>540</v>
      </c>
      <c r="P1158" s="128">
        <v>115</v>
      </c>
      <c r="Q1158" s="128">
        <v>96</v>
      </c>
      <c r="R1158" s="128">
        <v>219</v>
      </c>
      <c r="S1158" s="128">
        <v>58</v>
      </c>
      <c r="T1158" s="128">
        <v>57</v>
      </c>
      <c r="U1158" s="128">
        <v>545</v>
      </c>
      <c r="V1158" s="128" t="s">
        <v>1547</v>
      </c>
    </row>
    <row r="1159" spans="1:22" x14ac:dyDescent="0.35">
      <c r="A1159" s="118">
        <v>1158</v>
      </c>
      <c r="B1159" s="128" t="s">
        <v>167</v>
      </c>
      <c r="C1159" s="128" t="s">
        <v>910</v>
      </c>
      <c r="D1159" s="128" t="s">
        <v>5263</v>
      </c>
      <c r="E1159" s="128" t="s">
        <v>709</v>
      </c>
      <c r="F1159" s="128">
        <v>1998</v>
      </c>
      <c r="G1159" s="128">
        <v>36</v>
      </c>
      <c r="H1159" s="128">
        <v>4</v>
      </c>
      <c r="I1159" s="128">
        <v>40</v>
      </c>
      <c r="J1159" s="128" t="s">
        <v>1509</v>
      </c>
      <c r="K1159" s="128">
        <v>17</v>
      </c>
      <c r="L1159" s="128" t="s">
        <v>5264</v>
      </c>
      <c r="M1159" s="128" t="s">
        <v>4200</v>
      </c>
      <c r="N1159" s="128" t="s">
        <v>1969</v>
      </c>
      <c r="O1159" s="128">
        <v>530</v>
      </c>
      <c r="P1159" s="128">
        <v>118</v>
      </c>
      <c r="Q1159" s="128">
        <v>96</v>
      </c>
      <c r="R1159" s="128">
        <v>206</v>
      </c>
      <c r="S1159" s="128">
        <v>55</v>
      </c>
      <c r="T1159" s="128">
        <v>60</v>
      </c>
      <c r="U1159" s="128">
        <v>535</v>
      </c>
      <c r="V1159" s="128" t="s">
        <v>1547</v>
      </c>
    </row>
    <row r="1160" spans="1:22" x14ac:dyDescent="0.35">
      <c r="A1160" s="118">
        <v>1159</v>
      </c>
      <c r="B1160" s="128" t="s">
        <v>167</v>
      </c>
      <c r="C1160" s="128" t="s">
        <v>910</v>
      </c>
      <c r="D1160" s="128" t="s">
        <v>5265</v>
      </c>
      <c r="E1160" s="128" t="s">
        <v>908</v>
      </c>
      <c r="F1160" s="128">
        <v>1998</v>
      </c>
      <c r="G1160" s="128">
        <v>53</v>
      </c>
      <c r="H1160" s="128">
        <v>1</v>
      </c>
      <c r="I1160" s="128">
        <v>54</v>
      </c>
      <c r="J1160" s="128" t="s">
        <v>5266</v>
      </c>
      <c r="K1160" s="128">
        <v>18</v>
      </c>
      <c r="L1160" s="128" t="s">
        <v>1647</v>
      </c>
      <c r="M1160" s="128" t="s">
        <v>5267</v>
      </c>
      <c r="N1160" s="128" t="s">
        <v>5268</v>
      </c>
      <c r="O1160" s="128">
        <v>555</v>
      </c>
      <c r="P1160" s="128">
        <v>115</v>
      </c>
      <c r="Q1160" s="128">
        <v>96</v>
      </c>
      <c r="R1160" s="128">
        <v>229</v>
      </c>
      <c r="S1160" s="128">
        <v>60</v>
      </c>
      <c r="T1160" s="128">
        <v>60</v>
      </c>
      <c r="U1160" s="128">
        <v>560</v>
      </c>
      <c r="V1160" s="128" t="s">
        <v>1547</v>
      </c>
    </row>
    <row r="1161" spans="1:22" x14ac:dyDescent="0.35">
      <c r="A1161" s="118">
        <v>1160</v>
      </c>
      <c r="B1161" s="128" t="s">
        <v>167</v>
      </c>
      <c r="C1161" s="128" t="s">
        <v>910</v>
      </c>
      <c r="D1161" s="128" t="s">
        <v>5269</v>
      </c>
      <c r="E1161" s="128" t="s">
        <v>907</v>
      </c>
      <c r="F1161" s="128">
        <v>1998</v>
      </c>
      <c r="G1161" s="128">
        <v>60</v>
      </c>
      <c r="H1161" s="128">
        <v>3</v>
      </c>
      <c r="I1161" s="128">
        <v>63</v>
      </c>
      <c r="J1161" s="128" t="s">
        <v>5266</v>
      </c>
      <c r="K1161" s="128">
        <v>16</v>
      </c>
      <c r="L1161" s="128" t="s">
        <v>5270</v>
      </c>
      <c r="M1161" s="128" t="s">
        <v>5271</v>
      </c>
      <c r="N1161" s="128" t="s">
        <v>5272</v>
      </c>
      <c r="O1161" s="128">
        <v>650</v>
      </c>
      <c r="P1161" s="128">
        <v>125</v>
      </c>
      <c r="Q1161" s="128">
        <v>111</v>
      </c>
      <c r="R1161" s="128">
        <v>269</v>
      </c>
      <c r="S1161" s="128">
        <v>75</v>
      </c>
      <c r="T1161" s="128">
        <v>75</v>
      </c>
      <c r="U1161" s="128">
        <v>655</v>
      </c>
      <c r="V1161" s="128" t="s">
        <v>1547</v>
      </c>
    </row>
    <row r="1162" spans="1:22" x14ac:dyDescent="0.35">
      <c r="A1162" s="118">
        <v>1161</v>
      </c>
      <c r="B1162" s="128" t="s">
        <v>167</v>
      </c>
      <c r="C1162" s="128" t="s">
        <v>910</v>
      </c>
      <c r="D1162" s="128" t="s">
        <v>5273</v>
      </c>
      <c r="E1162" s="128" t="s">
        <v>906</v>
      </c>
      <c r="F1162" s="128">
        <v>1998</v>
      </c>
      <c r="G1162" s="128">
        <v>69</v>
      </c>
      <c r="H1162" s="128">
        <v>18</v>
      </c>
      <c r="I1162" s="128">
        <v>87</v>
      </c>
      <c r="J1162" s="128" t="s">
        <v>2136</v>
      </c>
      <c r="K1162" s="128">
        <v>30</v>
      </c>
      <c r="L1162" s="128" t="s">
        <v>1550</v>
      </c>
      <c r="M1162" s="128" t="s">
        <v>5274</v>
      </c>
      <c r="N1162" s="128" t="s">
        <v>5275</v>
      </c>
      <c r="O1162" s="128">
        <v>805</v>
      </c>
      <c r="P1162" s="128">
        <v>155</v>
      </c>
      <c r="Q1162" s="128">
        <v>130</v>
      </c>
      <c r="R1162" s="128">
        <v>330</v>
      </c>
      <c r="S1162" s="128">
        <v>85</v>
      </c>
      <c r="T1162" s="128">
        <v>110</v>
      </c>
      <c r="U1162" s="128">
        <v>810</v>
      </c>
      <c r="V1162" s="128" t="s">
        <v>2702</v>
      </c>
    </row>
    <row r="1163" spans="1:22" x14ac:dyDescent="0.35">
      <c r="A1163" s="118">
        <v>1162</v>
      </c>
      <c r="B1163" s="128" t="s">
        <v>167</v>
      </c>
      <c r="C1163" s="128" t="s">
        <v>910</v>
      </c>
      <c r="D1163" s="128" t="s">
        <v>1585</v>
      </c>
      <c r="E1163" s="128" t="s">
        <v>905</v>
      </c>
      <c r="F1163" s="128">
        <v>1998</v>
      </c>
      <c r="G1163" s="128">
        <v>56</v>
      </c>
      <c r="H1163" s="128">
        <v>6</v>
      </c>
      <c r="I1163" s="128">
        <v>62</v>
      </c>
      <c r="J1163" s="128" t="s">
        <v>1509</v>
      </c>
      <c r="K1163" s="128">
        <v>18</v>
      </c>
      <c r="L1163" s="128" t="s">
        <v>5276</v>
      </c>
      <c r="M1163" s="128" t="s">
        <v>5277</v>
      </c>
      <c r="N1163" s="128" t="s">
        <v>5278</v>
      </c>
      <c r="O1163" s="128">
        <v>575</v>
      </c>
      <c r="P1163" s="128">
        <v>115</v>
      </c>
      <c r="Q1163" s="128">
        <v>105</v>
      </c>
      <c r="R1163" s="128">
        <v>230</v>
      </c>
      <c r="S1163" s="128">
        <v>65</v>
      </c>
      <c r="T1163" s="128">
        <v>65</v>
      </c>
      <c r="U1163" s="128">
        <v>580</v>
      </c>
      <c r="V1163" s="128" t="s">
        <v>1547</v>
      </c>
    </row>
    <row r="1164" spans="1:22" x14ac:dyDescent="0.35">
      <c r="A1164" s="118">
        <v>1163</v>
      </c>
      <c r="B1164" s="128" t="s">
        <v>167</v>
      </c>
      <c r="C1164" s="128" t="s">
        <v>910</v>
      </c>
      <c r="D1164" s="128" t="s">
        <v>5279</v>
      </c>
      <c r="E1164" s="128" t="s">
        <v>904</v>
      </c>
      <c r="F1164" s="128">
        <v>2011</v>
      </c>
      <c r="G1164" s="128">
        <v>29</v>
      </c>
      <c r="H1164" s="128">
        <v>6</v>
      </c>
      <c r="I1164" s="128">
        <v>35</v>
      </c>
      <c r="J1164" s="128" t="s">
        <v>1509</v>
      </c>
      <c r="K1164" s="128">
        <v>14</v>
      </c>
      <c r="L1164" s="128" t="s">
        <v>5280</v>
      </c>
      <c r="M1164" s="128" t="s">
        <v>5281</v>
      </c>
      <c r="N1164" s="128" t="s">
        <v>5282</v>
      </c>
      <c r="O1164" s="128">
        <v>525</v>
      </c>
      <c r="P1164" s="128">
        <v>113</v>
      </c>
      <c r="Q1164" s="128">
        <v>99</v>
      </c>
      <c r="R1164" s="128">
        <v>213</v>
      </c>
      <c r="S1164" s="128">
        <v>50</v>
      </c>
      <c r="T1164" s="128">
        <v>55</v>
      </c>
      <c r="U1164" s="128">
        <v>530</v>
      </c>
      <c r="V1164" s="128" t="s">
        <v>1547</v>
      </c>
    </row>
    <row r="1165" spans="1:22" x14ac:dyDescent="0.35">
      <c r="A1165" s="118">
        <v>1164</v>
      </c>
      <c r="B1165" s="128" t="s">
        <v>167</v>
      </c>
      <c r="C1165" s="128" t="s">
        <v>910</v>
      </c>
      <c r="D1165" s="128" t="s">
        <v>5283</v>
      </c>
      <c r="E1165" s="128" t="s">
        <v>903</v>
      </c>
      <c r="F1165" s="128">
        <v>2011</v>
      </c>
      <c r="G1165" s="128">
        <v>74</v>
      </c>
      <c r="H1165" s="128">
        <v>2</v>
      </c>
      <c r="I1165" s="128">
        <v>76</v>
      </c>
      <c r="J1165" s="128" t="s">
        <v>1509</v>
      </c>
      <c r="K1165" s="128">
        <v>17</v>
      </c>
      <c r="L1165" s="128" t="s">
        <v>5284</v>
      </c>
      <c r="M1165" s="128" t="s">
        <v>5285</v>
      </c>
      <c r="N1165" s="128" t="s">
        <v>5286</v>
      </c>
      <c r="O1165" s="128">
        <v>515</v>
      </c>
      <c r="P1165" s="128">
        <v>112</v>
      </c>
      <c r="Q1165" s="128">
        <v>93</v>
      </c>
      <c r="R1165" s="128">
        <v>210</v>
      </c>
      <c r="S1165" s="128">
        <v>50</v>
      </c>
      <c r="T1165" s="128">
        <v>55</v>
      </c>
      <c r="U1165" s="128">
        <v>520</v>
      </c>
      <c r="V1165" s="128" t="s">
        <v>1547</v>
      </c>
    </row>
    <row r="1166" spans="1:22" x14ac:dyDescent="0.35">
      <c r="A1166" s="118">
        <v>1165</v>
      </c>
      <c r="B1166" s="128" t="s">
        <v>167</v>
      </c>
      <c r="C1166" s="128" t="s">
        <v>910</v>
      </c>
      <c r="D1166" s="128" t="s">
        <v>2095</v>
      </c>
      <c r="E1166" s="128" t="s">
        <v>900</v>
      </c>
      <c r="F1166" s="128">
        <v>2014</v>
      </c>
      <c r="G1166" s="128">
        <v>39</v>
      </c>
      <c r="H1166" s="128">
        <v>0</v>
      </c>
      <c r="I1166" s="128">
        <v>39</v>
      </c>
      <c r="J1166" s="128" t="s">
        <v>1509</v>
      </c>
      <c r="K1166" s="128">
        <v>11</v>
      </c>
      <c r="L1166" s="128" t="s">
        <v>5287</v>
      </c>
      <c r="M1166" s="128" t="s">
        <v>2926</v>
      </c>
      <c r="N1166" s="128" t="s">
        <v>5288</v>
      </c>
      <c r="O1166" s="128">
        <v>545</v>
      </c>
      <c r="P1166" s="128">
        <v>110</v>
      </c>
      <c r="Q1166" s="128">
        <v>95</v>
      </c>
      <c r="R1166" s="128">
        <v>225</v>
      </c>
      <c r="S1166" s="128">
        <v>60</v>
      </c>
      <c r="T1166" s="128">
        <v>60</v>
      </c>
      <c r="U1166" s="128">
        <v>550</v>
      </c>
      <c r="V1166" s="128" t="s">
        <v>1547</v>
      </c>
    </row>
    <row r="1167" spans="1:22" x14ac:dyDescent="0.35">
      <c r="A1167" s="118">
        <v>1166</v>
      </c>
      <c r="B1167" s="128" t="s">
        <v>167</v>
      </c>
      <c r="C1167" s="128" t="s">
        <v>910</v>
      </c>
      <c r="D1167" s="128" t="s">
        <v>5273</v>
      </c>
      <c r="E1167" s="128" t="s">
        <v>899</v>
      </c>
      <c r="F1167" s="128">
        <v>2019</v>
      </c>
      <c r="G1167" s="128">
        <v>43</v>
      </c>
      <c r="H1167" s="128">
        <v>1</v>
      </c>
      <c r="I1167" s="128">
        <v>44</v>
      </c>
      <c r="J1167" s="128" t="s">
        <v>2136</v>
      </c>
      <c r="K1167" s="128">
        <v>15</v>
      </c>
      <c r="L1167" s="128" t="s">
        <v>5289</v>
      </c>
      <c r="M1167" s="128" t="s">
        <v>1576</v>
      </c>
      <c r="N1167" s="128" t="s">
        <v>3907</v>
      </c>
      <c r="O1167" s="128">
        <v>195</v>
      </c>
      <c r="P1167" s="128">
        <v>60</v>
      </c>
      <c r="Q1167" s="128">
        <v>40</v>
      </c>
      <c r="R1167" s="128">
        <v>67</v>
      </c>
      <c r="S1167" s="128">
        <v>8</v>
      </c>
      <c r="T1167" s="128">
        <v>25</v>
      </c>
      <c r="U1167" s="128">
        <v>200</v>
      </c>
      <c r="V1167" s="128" t="s">
        <v>3122</v>
      </c>
    </row>
    <row r="1168" spans="1:22" x14ac:dyDescent="0.35">
      <c r="A1168" s="118">
        <v>1167</v>
      </c>
      <c r="B1168" s="128" t="s">
        <v>167</v>
      </c>
      <c r="C1168" s="128" t="s">
        <v>910</v>
      </c>
      <c r="D1168" s="128" t="s">
        <v>1585</v>
      </c>
      <c r="E1168" s="128" t="s">
        <v>898</v>
      </c>
      <c r="F1168" s="128">
        <v>2019</v>
      </c>
      <c r="G1168" s="128">
        <v>31</v>
      </c>
      <c r="H1168" s="128">
        <v>5</v>
      </c>
      <c r="I1168" s="128">
        <v>36</v>
      </c>
      <c r="J1168" s="128" t="s">
        <v>1509</v>
      </c>
      <c r="K1168" s="128">
        <v>15</v>
      </c>
      <c r="L1168" s="128" t="s">
        <v>5290</v>
      </c>
      <c r="M1168" s="128" t="s">
        <v>5291</v>
      </c>
      <c r="N1168" s="128" t="s">
        <v>1757</v>
      </c>
      <c r="O1168" s="128">
        <v>190</v>
      </c>
      <c r="P1168" s="128">
        <v>50</v>
      </c>
      <c r="Q1168" s="128">
        <v>38</v>
      </c>
      <c r="R1168" s="128">
        <v>75</v>
      </c>
      <c r="S1168" s="128">
        <v>7</v>
      </c>
      <c r="T1168" s="128">
        <v>25</v>
      </c>
      <c r="U1168" s="128">
        <v>195</v>
      </c>
      <c r="V1168" s="128" t="s">
        <v>3122</v>
      </c>
    </row>
    <row r="1169" spans="1:22" x14ac:dyDescent="0.35">
      <c r="A1169" s="118">
        <v>1168</v>
      </c>
      <c r="B1169" s="128" t="s">
        <v>167</v>
      </c>
      <c r="C1169" s="128" t="s">
        <v>910</v>
      </c>
      <c r="D1169" s="128" t="s">
        <v>5273</v>
      </c>
      <c r="E1169" s="128" t="s">
        <v>902</v>
      </c>
      <c r="F1169" s="128">
        <v>2009</v>
      </c>
      <c r="G1169" s="128">
        <v>0</v>
      </c>
      <c r="H1169" s="128">
        <v>0</v>
      </c>
      <c r="I1169" s="128">
        <v>0</v>
      </c>
      <c r="J1169" s="128" t="s">
        <v>5292</v>
      </c>
      <c r="K1169" s="128">
        <v>0</v>
      </c>
      <c r="L1169" s="128" t="s">
        <v>5293</v>
      </c>
      <c r="M1169" s="128" t="s">
        <v>5294</v>
      </c>
      <c r="N1169" s="128" t="s">
        <v>5295</v>
      </c>
      <c r="O1169" s="128">
        <v>335</v>
      </c>
      <c r="P1169" s="128">
        <v>80</v>
      </c>
      <c r="Q1169" s="128">
        <v>60</v>
      </c>
      <c r="R1169" s="128">
        <v>135</v>
      </c>
      <c r="S1169" s="128">
        <v>30</v>
      </c>
      <c r="T1169" s="128">
        <v>35</v>
      </c>
      <c r="U1169" s="128">
        <v>340</v>
      </c>
      <c r="V1169" s="128" t="s">
        <v>2643</v>
      </c>
    </row>
    <row r="1170" spans="1:22" x14ac:dyDescent="0.35">
      <c r="A1170" s="118">
        <v>1169</v>
      </c>
      <c r="B1170" s="128" t="s">
        <v>167</v>
      </c>
      <c r="C1170" s="128" t="s">
        <v>910</v>
      </c>
      <c r="D1170" s="128" t="s">
        <v>5283</v>
      </c>
      <c r="E1170" s="128" t="s">
        <v>901</v>
      </c>
      <c r="F1170" s="128">
        <v>2013</v>
      </c>
      <c r="G1170" s="128">
        <v>0</v>
      </c>
      <c r="H1170" s="128">
        <v>0</v>
      </c>
      <c r="I1170" s="128">
        <v>0</v>
      </c>
      <c r="J1170" s="128" t="s">
        <v>5296</v>
      </c>
      <c r="K1170" s="128">
        <v>0</v>
      </c>
      <c r="L1170" s="128" t="s">
        <v>5297</v>
      </c>
      <c r="M1170" s="128" t="s">
        <v>5298</v>
      </c>
      <c r="N1170" s="128" t="s">
        <v>5299</v>
      </c>
      <c r="O1170" s="128">
        <v>345</v>
      </c>
      <c r="P1170" s="128">
        <v>80</v>
      </c>
      <c r="Q1170" s="128">
        <v>65</v>
      </c>
      <c r="R1170" s="128">
        <v>135</v>
      </c>
      <c r="S1170" s="128">
        <v>30</v>
      </c>
      <c r="T1170" s="128">
        <v>40</v>
      </c>
      <c r="U1170" s="128">
        <v>350</v>
      </c>
      <c r="V1170" s="128" t="s">
        <v>2643</v>
      </c>
    </row>
    <row r="1171" spans="1:22" x14ac:dyDescent="0.35">
      <c r="A1171" s="118">
        <v>1170</v>
      </c>
      <c r="B1171" s="128" t="s">
        <v>167</v>
      </c>
      <c r="C1171" s="128" t="s">
        <v>910</v>
      </c>
      <c r="D1171" s="128" t="s">
        <v>1521</v>
      </c>
      <c r="E1171" s="128" t="s">
        <v>43</v>
      </c>
      <c r="F1171" s="128">
        <v>1975</v>
      </c>
      <c r="G1171" s="128">
        <v>61</v>
      </c>
      <c r="H1171" s="128">
        <v>10</v>
      </c>
      <c r="I1171" s="128">
        <v>71</v>
      </c>
      <c r="J1171" s="128" t="s">
        <v>1509</v>
      </c>
      <c r="K1171" s="128">
        <v>11</v>
      </c>
      <c r="L1171" s="128" t="s">
        <v>1591</v>
      </c>
      <c r="M1171" s="128" t="s">
        <v>5300</v>
      </c>
      <c r="N1171" s="128" t="s">
        <v>2170</v>
      </c>
      <c r="O1171" s="128">
        <v>645</v>
      </c>
      <c r="P1171" s="128">
        <v>145</v>
      </c>
      <c r="Q1171" s="128">
        <v>110</v>
      </c>
      <c r="R1171" s="128">
        <v>255</v>
      </c>
      <c r="S1171" s="128">
        <v>70</v>
      </c>
      <c r="T1171" s="128">
        <v>70</v>
      </c>
      <c r="U1171" s="128">
        <v>650</v>
      </c>
      <c r="V1171" s="128" t="s">
        <v>1547</v>
      </c>
    </row>
    <row r="1172" spans="1:22" x14ac:dyDescent="0.35">
      <c r="A1172" s="118">
        <v>1171</v>
      </c>
      <c r="B1172" s="128" t="s">
        <v>167</v>
      </c>
      <c r="C1172" s="128" t="s">
        <v>910</v>
      </c>
      <c r="D1172" s="128" t="s">
        <v>2338</v>
      </c>
      <c r="E1172" s="128" t="s">
        <v>61</v>
      </c>
      <c r="F1172" s="128">
        <v>1975</v>
      </c>
      <c r="G1172" s="128">
        <v>49</v>
      </c>
      <c r="H1172" s="128">
        <v>4</v>
      </c>
      <c r="I1172" s="128">
        <v>53</v>
      </c>
      <c r="J1172" s="128" t="s">
        <v>1509</v>
      </c>
      <c r="K1172" s="128">
        <v>10</v>
      </c>
      <c r="L1172" s="128" t="s">
        <v>2473</v>
      </c>
      <c r="M1172" s="128" t="s">
        <v>5301</v>
      </c>
      <c r="N1172" s="128" t="s">
        <v>1650</v>
      </c>
      <c r="O1172" s="128">
        <v>620</v>
      </c>
      <c r="P1172" s="128">
        <v>140</v>
      </c>
      <c r="Q1172" s="128">
        <v>110</v>
      </c>
      <c r="R1172" s="128">
        <v>230</v>
      </c>
      <c r="S1172" s="128">
        <v>75</v>
      </c>
      <c r="T1172" s="128">
        <v>70</v>
      </c>
      <c r="U1172" s="128">
        <v>625</v>
      </c>
      <c r="V1172" s="128" t="s">
        <v>1547</v>
      </c>
    </row>
    <row r="1173" spans="1:22" x14ac:dyDescent="0.35">
      <c r="A1173" s="118">
        <v>1172</v>
      </c>
      <c r="B1173" s="128" t="s">
        <v>167</v>
      </c>
      <c r="C1173" s="128" t="s">
        <v>910</v>
      </c>
      <c r="D1173" s="128" t="s">
        <v>5302</v>
      </c>
      <c r="E1173" s="128" t="s">
        <v>78</v>
      </c>
      <c r="F1173" s="128">
        <v>1975</v>
      </c>
      <c r="G1173" s="128">
        <v>53</v>
      </c>
      <c r="H1173" s="128">
        <v>5</v>
      </c>
      <c r="I1173" s="128">
        <v>58</v>
      </c>
      <c r="J1173" s="128" t="s">
        <v>1509</v>
      </c>
      <c r="K1173" s="128">
        <v>12</v>
      </c>
      <c r="L1173" s="128" t="s">
        <v>5303</v>
      </c>
      <c r="M1173" s="128" t="s">
        <v>5304</v>
      </c>
      <c r="N1173" s="128" t="s">
        <v>5305</v>
      </c>
      <c r="O1173" s="128">
        <v>590</v>
      </c>
      <c r="P1173" s="128">
        <v>140</v>
      </c>
      <c r="Q1173" s="128">
        <v>100</v>
      </c>
      <c r="R1173" s="128">
        <v>225</v>
      </c>
      <c r="S1173" s="128">
        <v>65</v>
      </c>
      <c r="T1173" s="128">
        <v>65</v>
      </c>
      <c r="U1173" s="128">
        <v>595</v>
      </c>
      <c r="V1173" s="128" t="s">
        <v>1547</v>
      </c>
    </row>
    <row r="1174" spans="1:22" x14ac:dyDescent="0.35">
      <c r="A1174" s="118">
        <v>1173</v>
      </c>
      <c r="B1174" s="128" t="s">
        <v>167</v>
      </c>
      <c r="C1174" s="128" t="s">
        <v>910</v>
      </c>
      <c r="D1174" s="128" t="s">
        <v>2329</v>
      </c>
      <c r="E1174" s="128" t="s">
        <v>93</v>
      </c>
      <c r="F1174" s="128">
        <v>1998</v>
      </c>
      <c r="G1174" s="128">
        <v>41</v>
      </c>
      <c r="H1174" s="128">
        <v>4</v>
      </c>
      <c r="I1174" s="128">
        <v>45</v>
      </c>
      <c r="J1174" s="128" t="s">
        <v>1509</v>
      </c>
      <c r="K1174" s="128">
        <v>12</v>
      </c>
      <c r="L1174" s="128" t="s">
        <v>2379</v>
      </c>
      <c r="M1174" s="128" t="s">
        <v>5306</v>
      </c>
      <c r="N1174" s="128" t="s">
        <v>5307</v>
      </c>
      <c r="O1174" s="128">
        <v>575</v>
      </c>
      <c r="P1174" s="128">
        <v>140</v>
      </c>
      <c r="Q1174" s="128">
        <v>105</v>
      </c>
      <c r="R1174" s="128">
        <v>215</v>
      </c>
      <c r="S1174" s="128">
        <v>60</v>
      </c>
      <c r="T1174" s="128">
        <v>60</v>
      </c>
      <c r="U1174" s="128">
        <v>580</v>
      </c>
      <c r="V1174" s="128" t="s">
        <v>1547</v>
      </c>
    </row>
    <row r="1175" spans="1:22" x14ac:dyDescent="0.35">
      <c r="A1175" s="118">
        <v>1174</v>
      </c>
      <c r="B1175" s="128" t="s">
        <v>167</v>
      </c>
      <c r="C1175" s="128" t="s">
        <v>910</v>
      </c>
      <c r="D1175" s="128" t="s">
        <v>2316</v>
      </c>
      <c r="E1175" s="128" t="s">
        <v>863</v>
      </c>
      <c r="F1175" s="128">
        <v>1998</v>
      </c>
      <c r="G1175" s="128">
        <v>46</v>
      </c>
      <c r="H1175" s="128">
        <v>9</v>
      </c>
      <c r="I1175" s="128">
        <v>55</v>
      </c>
      <c r="J1175" s="128" t="s">
        <v>1509</v>
      </c>
      <c r="K1175" s="128">
        <v>10</v>
      </c>
      <c r="L1175" s="128" t="s">
        <v>5308</v>
      </c>
      <c r="M1175" s="128" t="s">
        <v>5309</v>
      </c>
      <c r="N1175" s="128" t="s">
        <v>1751</v>
      </c>
      <c r="O1175" s="128">
        <v>595</v>
      </c>
      <c r="P1175" s="128">
        <v>125</v>
      </c>
      <c r="Q1175" s="128">
        <v>105</v>
      </c>
      <c r="R1175" s="128">
        <v>230</v>
      </c>
      <c r="S1175" s="128">
        <v>70</v>
      </c>
      <c r="T1175" s="128">
        <v>70</v>
      </c>
      <c r="U1175" s="128">
        <v>600</v>
      </c>
      <c r="V1175" s="128" t="s">
        <v>1547</v>
      </c>
    </row>
    <row r="1176" spans="1:22" x14ac:dyDescent="0.35">
      <c r="A1176" s="118">
        <v>1175</v>
      </c>
      <c r="B1176" s="128" t="s">
        <v>167</v>
      </c>
      <c r="C1176" s="128" t="s">
        <v>910</v>
      </c>
      <c r="D1176" s="128" t="s">
        <v>5310</v>
      </c>
      <c r="E1176" s="128" t="s">
        <v>862</v>
      </c>
      <c r="F1176" s="128">
        <v>1998</v>
      </c>
      <c r="G1176" s="128">
        <v>31</v>
      </c>
      <c r="H1176" s="128">
        <v>5</v>
      </c>
      <c r="I1176" s="128">
        <v>36</v>
      </c>
      <c r="J1176" s="128" t="s">
        <v>1509</v>
      </c>
      <c r="K1176" s="128">
        <v>13</v>
      </c>
      <c r="L1176" s="128" t="s">
        <v>5311</v>
      </c>
      <c r="M1176" s="128" t="s">
        <v>5312</v>
      </c>
      <c r="N1176" s="128" t="s">
        <v>5313</v>
      </c>
      <c r="O1176" s="128">
        <v>585</v>
      </c>
      <c r="P1176" s="128">
        <v>120</v>
      </c>
      <c r="Q1176" s="128">
        <v>105</v>
      </c>
      <c r="R1176" s="128">
        <v>230</v>
      </c>
      <c r="S1176" s="128">
        <v>70</v>
      </c>
      <c r="T1176" s="128">
        <v>65</v>
      </c>
      <c r="U1176" s="128">
        <v>590</v>
      </c>
      <c r="V1176" s="128" t="s">
        <v>1547</v>
      </c>
    </row>
    <row r="1177" spans="1:22" x14ac:dyDescent="0.35">
      <c r="A1177" s="118">
        <v>1176</v>
      </c>
      <c r="B1177" s="128" t="s">
        <v>167</v>
      </c>
      <c r="C1177" s="128" t="s">
        <v>910</v>
      </c>
      <c r="D1177" s="128" t="s">
        <v>5314</v>
      </c>
      <c r="E1177" s="128" t="s">
        <v>861</v>
      </c>
      <c r="F1177" s="128">
        <v>1998</v>
      </c>
      <c r="G1177" s="128">
        <v>60</v>
      </c>
      <c r="H1177" s="128">
        <v>5</v>
      </c>
      <c r="I1177" s="128">
        <v>65</v>
      </c>
      <c r="J1177" s="128" t="s">
        <v>1509</v>
      </c>
      <c r="K1177" s="128">
        <v>14</v>
      </c>
      <c r="L1177" s="128" t="s">
        <v>5315</v>
      </c>
      <c r="M1177" s="128" t="s">
        <v>5316</v>
      </c>
      <c r="N1177" s="128" t="s">
        <v>5317</v>
      </c>
      <c r="O1177" s="128">
        <v>600</v>
      </c>
      <c r="P1177" s="128">
        <v>150</v>
      </c>
      <c r="Q1177" s="128">
        <v>110</v>
      </c>
      <c r="R1177" s="128">
        <v>220</v>
      </c>
      <c r="S1177" s="128">
        <v>65</v>
      </c>
      <c r="T1177" s="128">
        <v>60</v>
      </c>
      <c r="U1177" s="128">
        <v>605</v>
      </c>
      <c r="V1177" s="128" t="s">
        <v>1547</v>
      </c>
    </row>
    <row r="1178" spans="1:22" x14ac:dyDescent="0.35">
      <c r="A1178" s="118">
        <v>1177</v>
      </c>
      <c r="B1178" s="128" t="s">
        <v>167</v>
      </c>
      <c r="C1178" s="128" t="s">
        <v>910</v>
      </c>
      <c r="D1178" s="128" t="s">
        <v>5273</v>
      </c>
      <c r="E1178" s="128" t="s">
        <v>860</v>
      </c>
      <c r="F1178" s="128">
        <v>1998</v>
      </c>
      <c r="G1178" s="128">
        <v>45</v>
      </c>
      <c r="H1178" s="128">
        <v>0</v>
      </c>
      <c r="I1178" s="128">
        <v>45</v>
      </c>
      <c r="J1178" s="128" t="s">
        <v>1509</v>
      </c>
      <c r="K1178" s="128" t="s">
        <v>5318</v>
      </c>
      <c r="L1178" s="128" t="s">
        <v>2356</v>
      </c>
      <c r="M1178" s="128" t="s">
        <v>5319</v>
      </c>
      <c r="N1178" s="128" t="s">
        <v>5320</v>
      </c>
      <c r="O1178" s="128">
        <v>580</v>
      </c>
      <c r="P1178" s="128">
        <v>125</v>
      </c>
      <c r="Q1178" s="128">
        <v>105</v>
      </c>
      <c r="R1178" s="128">
        <v>225</v>
      </c>
      <c r="S1178" s="128">
        <v>65</v>
      </c>
      <c r="T1178" s="128">
        <v>65</v>
      </c>
      <c r="U1178" s="128">
        <v>585</v>
      </c>
      <c r="V1178" s="128" t="s">
        <v>1547</v>
      </c>
    </row>
    <row r="1179" spans="1:22" x14ac:dyDescent="0.35">
      <c r="A1179" s="118">
        <v>1178</v>
      </c>
      <c r="B1179" s="128" t="s">
        <v>167</v>
      </c>
      <c r="C1179" s="128" t="s">
        <v>910</v>
      </c>
      <c r="D1179" s="128" t="s">
        <v>5273</v>
      </c>
      <c r="E1179" s="128" t="s">
        <v>859</v>
      </c>
      <c r="F1179" s="128">
        <v>2009</v>
      </c>
      <c r="G1179" s="128">
        <v>24</v>
      </c>
      <c r="H1179" s="128">
        <v>0</v>
      </c>
      <c r="I1179" s="128">
        <v>24</v>
      </c>
      <c r="J1179" s="128" t="s">
        <v>1509</v>
      </c>
      <c r="K1179" s="128">
        <v>4</v>
      </c>
      <c r="L1179" s="128" t="s">
        <v>5321</v>
      </c>
      <c r="M1179" s="128" t="s">
        <v>5322</v>
      </c>
      <c r="N1179" s="128" t="s">
        <v>5323</v>
      </c>
      <c r="O1179" s="128">
        <v>505</v>
      </c>
      <c r="P1179" s="128">
        <v>105</v>
      </c>
      <c r="Q1179" s="128">
        <v>90</v>
      </c>
      <c r="R1179" s="128">
        <v>210</v>
      </c>
      <c r="S1179" s="128">
        <v>50</v>
      </c>
      <c r="T1179" s="128">
        <v>55</v>
      </c>
      <c r="U1179" s="128">
        <v>510</v>
      </c>
      <c r="V1179" s="128" t="s">
        <v>1547</v>
      </c>
    </row>
    <row r="1180" spans="1:22" x14ac:dyDescent="0.35">
      <c r="A1180" s="118">
        <v>1179</v>
      </c>
      <c r="B1180" s="128" t="s">
        <v>167</v>
      </c>
      <c r="C1180" s="128" t="s">
        <v>910</v>
      </c>
      <c r="D1180" s="128" t="s">
        <v>5310</v>
      </c>
      <c r="E1180" s="128" t="s">
        <v>858</v>
      </c>
      <c r="F1180" s="128">
        <v>2011</v>
      </c>
      <c r="G1180" s="128">
        <v>0</v>
      </c>
      <c r="H1180" s="128">
        <v>20</v>
      </c>
      <c r="I1180" s="128">
        <v>20</v>
      </c>
      <c r="J1180" s="128" t="s">
        <v>5292</v>
      </c>
      <c r="K1180" s="128">
        <v>0</v>
      </c>
      <c r="L1180" s="128" t="s">
        <v>5324</v>
      </c>
      <c r="M1180" s="128" t="s">
        <v>5325</v>
      </c>
      <c r="N1180" s="128" t="s">
        <v>5326</v>
      </c>
      <c r="O1180" s="128">
        <v>265</v>
      </c>
      <c r="P1180" s="128">
        <v>69</v>
      </c>
      <c r="Q1180" s="128">
        <v>52</v>
      </c>
      <c r="R1180" s="128">
        <v>104</v>
      </c>
      <c r="S1180" s="128">
        <v>13</v>
      </c>
      <c r="T1180" s="128">
        <v>32</v>
      </c>
      <c r="U1180" s="128">
        <v>270</v>
      </c>
      <c r="V1180" s="128" t="s">
        <v>2643</v>
      </c>
    </row>
    <row r="1181" spans="1:22" x14ac:dyDescent="0.35">
      <c r="A1181" s="118">
        <v>1180</v>
      </c>
      <c r="B1181" s="128" t="s">
        <v>167</v>
      </c>
      <c r="C1181" s="128" t="s">
        <v>254</v>
      </c>
      <c r="D1181" s="128" t="s">
        <v>2293</v>
      </c>
      <c r="E1181" s="128" t="s">
        <v>574</v>
      </c>
      <c r="F1181" s="128">
        <v>1975</v>
      </c>
      <c r="G1181" s="128">
        <v>75</v>
      </c>
      <c r="H1181" s="128">
        <v>7</v>
      </c>
      <c r="I1181" s="128">
        <v>82</v>
      </c>
      <c r="J1181" s="128" t="s">
        <v>1509</v>
      </c>
      <c r="K1181" s="128">
        <v>22.8</v>
      </c>
      <c r="L1181" s="128" t="s">
        <v>5327</v>
      </c>
      <c r="M1181" s="128" t="s">
        <v>1662</v>
      </c>
      <c r="N1181" s="128" t="s">
        <v>5328</v>
      </c>
      <c r="O1181" s="128">
        <v>675</v>
      </c>
      <c r="P1181" s="128">
        <v>135</v>
      </c>
      <c r="Q1181" s="128">
        <v>115</v>
      </c>
      <c r="R1181" s="128">
        <v>270</v>
      </c>
      <c r="S1181" s="128">
        <v>80</v>
      </c>
      <c r="T1181" s="128">
        <v>80</v>
      </c>
      <c r="U1181" s="128">
        <v>680</v>
      </c>
      <c r="V1181" s="128" t="s">
        <v>1547</v>
      </c>
    </row>
    <row r="1182" spans="1:22" x14ac:dyDescent="0.35">
      <c r="A1182" s="118">
        <v>1181</v>
      </c>
      <c r="B1182" s="128" t="s">
        <v>167</v>
      </c>
      <c r="C1182" s="128" t="s">
        <v>254</v>
      </c>
      <c r="D1182" s="128" t="s">
        <v>5329</v>
      </c>
      <c r="E1182" s="128" t="s">
        <v>573</v>
      </c>
      <c r="F1182" s="128">
        <v>1975</v>
      </c>
      <c r="G1182" s="128">
        <v>92</v>
      </c>
      <c r="H1182" s="128">
        <v>4</v>
      </c>
      <c r="I1182" s="128">
        <v>96</v>
      </c>
      <c r="J1182" s="128" t="s">
        <v>1509</v>
      </c>
      <c r="K1182" s="128">
        <v>43.5</v>
      </c>
      <c r="L1182" s="128" t="s">
        <v>2046</v>
      </c>
      <c r="M1182" s="128" t="s">
        <v>5330</v>
      </c>
      <c r="N1182" s="128" t="s">
        <v>5331</v>
      </c>
      <c r="O1182" s="128">
        <v>585</v>
      </c>
      <c r="P1182" s="128">
        <v>120</v>
      </c>
      <c r="Q1182" s="128">
        <v>105</v>
      </c>
      <c r="R1182" s="128">
        <v>250</v>
      </c>
      <c r="S1182" s="128">
        <v>55</v>
      </c>
      <c r="T1182" s="128">
        <v>65</v>
      </c>
      <c r="U1182" s="128">
        <v>595</v>
      </c>
      <c r="V1182" s="128" t="s">
        <v>1547</v>
      </c>
    </row>
    <row r="1183" spans="1:22" x14ac:dyDescent="0.35">
      <c r="A1183" s="118">
        <v>1182</v>
      </c>
      <c r="B1183" s="128" t="s">
        <v>167</v>
      </c>
      <c r="C1183" s="128" t="s">
        <v>254</v>
      </c>
      <c r="D1183" s="128" t="s">
        <v>4435</v>
      </c>
      <c r="E1183" s="128" t="s">
        <v>572</v>
      </c>
      <c r="F1183" s="128">
        <v>1980</v>
      </c>
      <c r="G1183" s="128">
        <v>70</v>
      </c>
      <c r="H1183" s="128">
        <v>4</v>
      </c>
      <c r="I1183" s="128">
        <v>74</v>
      </c>
      <c r="J1183" s="128" t="s">
        <v>1509</v>
      </c>
      <c r="K1183" s="128">
        <v>13.2</v>
      </c>
      <c r="L1183" s="128" t="s">
        <v>4365</v>
      </c>
      <c r="M1183" s="128" t="s">
        <v>5332</v>
      </c>
      <c r="N1183" s="128" t="s">
        <v>1570</v>
      </c>
      <c r="O1183" s="128">
        <v>500</v>
      </c>
      <c r="P1183" s="128">
        <v>108</v>
      </c>
      <c r="Q1183" s="128">
        <v>95</v>
      </c>
      <c r="R1183" s="128">
        <v>212</v>
      </c>
      <c r="S1183" s="128">
        <v>45</v>
      </c>
      <c r="T1183" s="128">
        <v>55</v>
      </c>
      <c r="U1183" s="128">
        <v>515</v>
      </c>
      <c r="V1183" s="128" t="s">
        <v>1547</v>
      </c>
    </row>
    <row r="1184" spans="1:22" x14ac:dyDescent="0.35">
      <c r="A1184" s="118">
        <v>1183</v>
      </c>
      <c r="B1184" s="128" t="s">
        <v>167</v>
      </c>
      <c r="C1184" s="128" t="s">
        <v>254</v>
      </c>
      <c r="D1184" s="128" t="s">
        <v>1517</v>
      </c>
      <c r="E1184" s="128" t="s">
        <v>571</v>
      </c>
      <c r="F1184" s="128">
        <v>1980</v>
      </c>
      <c r="G1184" s="128">
        <v>49</v>
      </c>
      <c r="H1184" s="128">
        <v>1</v>
      </c>
      <c r="I1184" s="128">
        <v>50</v>
      </c>
      <c r="J1184" s="128" t="s">
        <v>1509</v>
      </c>
      <c r="K1184" s="128">
        <v>12</v>
      </c>
      <c r="L1184" s="128" t="s">
        <v>5333</v>
      </c>
      <c r="M1184" s="128" t="s">
        <v>5334</v>
      </c>
      <c r="N1184" s="128" t="s">
        <v>5335</v>
      </c>
      <c r="O1184" s="128">
        <v>585</v>
      </c>
      <c r="P1184" s="128">
        <v>120</v>
      </c>
      <c r="Q1184" s="128">
        <v>105</v>
      </c>
      <c r="R1184" s="128">
        <v>250</v>
      </c>
      <c r="S1184" s="128">
        <v>55</v>
      </c>
      <c r="T1184" s="128">
        <v>65</v>
      </c>
      <c r="U1184" s="128">
        <v>595</v>
      </c>
      <c r="V1184" s="128" t="s">
        <v>1547</v>
      </c>
    </row>
    <row r="1185" spans="1:22" x14ac:dyDescent="0.35">
      <c r="A1185" s="118">
        <v>1184</v>
      </c>
      <c r="B1185" s="128" t="s">
        <v>167</v>
      </c>
      <c r="C1185" s="128" t="s">
        <v>254</v>
      </c>
      <c r="D1185" s="128" t="s">
        <v>2031</v>
      </c>
      <c r="E1185" s="128" t="s">
        <v>570</v>
      </c>
      <c r="F1185" s="128">
        <v>1980</v>
      </c>
      <c r="G1185" s="128">
        <v>90</v>
      </c>
      <c r="H1185" s="128">
        <v>7</v>
      </c>
      <c r="I1185" s="128">
        <v>97</v>
      </c>
      <c r="J1185" s="128" t="s">
        <v>1509</v>
      </c>
      <c r="K1185" s="128">
        <v>23.5</v>
      </c>
      <c r="L1185" s="128" t="s">
        <v>3274</v>
      </c>
      <c r="M1185" s="128" t="s">
        <v>2926</v>
      </c>
      <c r="N1185" s="128" t="s">
        <v>1682</v>
      </c>
      <c r="O1185" s="128">
        <v>670</v>
      </c>
      <c r="P1185" s="128">
        <v>135</v>
      </c>
      <c r="Q1185" s="128">
        <v>115</v>
      </c>
      <c r="R1185" s="128">
        <v>270</v>
      </c>
      <c r="S1185" s="128">
        <v>75</v>
      </c>
      <c r="T1185" s="128">
        <v>80</v>
      </c>
      <c r="U1185" s="128">
        <v>675</v>
      </c>
      <c r="V1185" s="128" t="s">
        <v>1547</v>
      </c>
    </row>
    <row r="1186" spans="1:22" x14ac:dyDescent="0.35">
      <c r="A1186" s="118">
        <v>1185</v>
      </c>
      <c r="B1186" s="128" t="s">
        <v>167</v>
      </c>
      <c r="C1186" s="128" t="s">
        <v>264</v>
      </c>
      <c r="D1186" s="128" t="s">
        <v>5336</v>
      </c>
      <c r="E1186" s="128" t="s">
        <v>21</v>
      </c>
      <c r="F1186" s="128">
        <v>1985</v>
      </c>
      <c r="G1186" s="128">
        <v>69</v>
      </c>
      <c r="H1186" s="128">
        <v>8</v>
      </c>
      <c r="I1186" s="128">
        <v>77</v>
      </c>
      <c r="J1186" s="128" t="s">
        <v>1509</v>
      </c>
      <c r="K1186" s="128">
        <v>30</v>
      </c>
      <c r="L1186" s="128" t="s">
        <v>5337</v>
      </c>
      <c r="M1186" s="128" t="s">
        <v>5338</v>
      </c>
      <c r="N1186" s="128" t="s">
        <v>5339</v>
      </c>
      <c r="O1186" s="128">
        <v>745</v>
      </c>
      <c r="P1186" s="128">
        <v>150</v>
      </c>
      <c r="Q1186" s="128">
        <v>124</v>
      </c>
      <c r="R1186" s="128">
        <v>304</v>
      </c>
      <c r="S1186" s="128">
        <v>82</v>
      </c>
      <c r="T1186" s="128">
        <v>90</v>
      </c>
      <c r="U1186" s="128">
        <v>750</v>
      </c>
      <c r="V1186" s="128" t="s">
        <v>2702</v>
      </c>
    </row>
    <row r="1187" spans="1:22" x14ac:dyDescent="0.35">
      <c r="A1187" s="118">
        <v>1186</v>
      </c>
      <c r="B1187" s="128" t="s">
        <v>167</v>
      </c>
      <c r="C1187" s="128" t="s">
        <v>264</v>
      </c>
      <c r="D1187" s="128" t="s">
        <v>5340</v>
      </c>
      <c r="E1187" s="128" t="s">
        <v>40</v>
      </c>
      <c r="F1187" s="128">
        <v>1984</v>
      </c>
      <c r="G1187" s="128">
        <v>67</v>
      </c>
      <c r="H1187" s="128">
        <v>11</v>
      </c>
      <c r="I1187" s="128">
        <v>78</v>
      </c>
      <c r="J1187" s="128" t="s">
        <v>1509</v>
      </c>
      <c r="K1187" s="128">
        <v>26.1</v>
      </c>
      <c r="L1187" s="128" t="s">
        <v>5341</v>
      </c>
      <c r="M1187" s="128" t="s">
        <v>5342</v>
      </c>
      <c r="N1187" s="128" t="s">
        <v>5343</v>
      </c>
      <c r="O1187" s="128">
        <v>860</v>
      </c>
      <c r="P1187" s="128">
        <v>175</v>
      </c>
      <c r="Q1187" s="128">
        <v>130</v>
      </c>
      <c r="R1187" s="128">
        <v>340</v>
      </c>
      <c r="S1187" s="128">
        <v>90</v>
      </c>
      <c r="T1187" s="128">
        <v>130</v>
      </c>
      <c r="U1187" s="128">
        <v>865</v>
      </c>
      <c r="V1187" s="128" t="s">
        <v>2702</v>
      </c>
    </row>
    <row r="1188" spans="1:22" x14ac:dyDescent="0.35">
      <c r="A1188" s="118">
        <v>1187</v>
      </c>
      <c r="B1188" s="128" t="s">
        <v>167</v>
      </c>
      <c r="C1188" s="128" t="s">
        <v>264</v>
      </c>
      <c r="D1188" s="128" t="s">
        <v>4088</v>
      </c>
      <c r="E1188" s="128" t="s">
        <v>58</v>
      </c>
      <c r="F1188" s="128">
        <v>1983</v>
      </c>
      <c r="G1188" s="128">
        <v>81</v>
      </c>
      <c r="H1188" s="128">
        <v>12</v>
      </c>
      <c r="I1188" s="128">
        <v>93</v>
      </c>
      <c r="J1188" s="128" t="s">
        <v>1509</v>
      </c>
      <c r="K1188" s="128">
        <v>21.9</v>
      </c>
      <c r="L1188" s="128" t="s">
        <v>5344</v>
      </c>
      <c r="M1188" s="128" t="s">
        <v>1751</v>
      </c>
      <c r="N1188" s="128" t="s">
        <v>5345</v>
      </c>
      <c r="O1188" s="128">
        <v>680</v>
      </c>
      <c r="P1188" s="128">
        <v>130</v>
      </c>
      <c r="Q1188" s="128">
        <v>115</v>
      </c>
      <c r="R1188" s="128">
        <v>290</v>
      </c>
      <c r="S1188" s="128">
        <v>75</v>
      </c>
      <c r="T1188" s="128">
        <v>75</v>
      </c>
      <c r="U1188" s="128">
        <v>685</v>
      </c>
      <c r="V1188" s="128" t="s">
        <v>1547</v>
      </c>
    </row>
    <row r="1189" spans="1:22" x14ac:dyDescent="0.35">
      <c r="A1189" s="118">
        <v>1188</v>
      </c>
      <c r="B1189" s="128" t="s">
        <v>167</v>
      </c>
      <c r="C1189" s="128" t="s">
        <v>264</v>
      </c>
      <c r="D1189" s="128" t="s">
        <v>5340</v>
      </c>
      <c r="E1189" s="128" t="s">
        <v>5346</v>
      </c>
      <c r="F1189" s="128">
        <v>2013</v>
      </c>
      <c r="G1189" s="128">
        <v>0</v>
      </c>
      <c r="H1189" s="128">
        <v>20</v>
      </c>
      <c r="I1189" s="128">
        <v>20</v>
      </c>
      <c r="J1189" s="128" t="s">
        <v>2136</v>
      </c>
      <c r="K1189" s="128">
        <v>1</v>
      </c>
      <c r="L1189" s="128" t="s">
        <v>4425</v>
      </c>
      <c r="M1189" s="128" t="s">
        <v>5347</v>
      </c>
      <c r="N1189" s="128" t="s">
        <v>5348</v>
      </c>
      <c r="O1189" s="128">
        <v>505</v>
      </c>
      <c r="P1189" s="128">
        <v>115</v>
      </c>
      <c r="Q1189" s="128">
        <v>90</v>
      </c>
      <c r="R1189" s="128">
        <v>195</v>
      </c>
      <c r="S1189" s="128">
        <v>50</v>
      </c>
      <c r="T1189" s="128">
        <v>55</v>
      </c>
      <c r="U1189" s="128">
        <v>505</v>
      </c>
      <c r="V1189" s="128" t="s">
        <v>1547</v>
      </c>
    </row>
    <row r="1190" spans="1:22" x14ac:dyDescent="0.35">
      <c r="A1190" s="118">
        <v>1189</v>
      </c>
      <c r="B1190" s="128" t="s">
        <v>167</v>
      </c>
      <c r="C1190" s="128" t="s">
        <v>253</v>
      </c>
      <c r="D1190" s="128" t="s">
        <v>4725</v>
      </c>
      <c r="E1190" s="128" t="s">
        <v>11</v>
      </c>
      <c r="F1190" s="128">
        <v>1986</v>
      </c>
      <c r="G1190" s="128">
        <v>91</v>
      </c>
      <c r="H1190" s="128">
        <v>13</v>
      </c>
      <c r="I1190" s="128">
        <v>104</v>
      </c>
      <c r="J1190" s="128" t="s">
        <v>1509</v>
      </c>
      <c r="K1190" s="128">
        <v>15.5</v>
      </c>
      <c r="L1190" s="128" t="s">
        <v>1703</v>
      </c>
      <c r="M1190" s="128" t="s">
        <v>1908</v>
      </c>
      <c r="N1190" s="128" t="s">
        <v>5349</v>
      </c>
      <c r="O1190" s="128">
        <v>830</v>
      </c>
      <c r="P1190" s="128">
        <v>160</v>
      </c>
      <c r="Q1190" s="128">
        <v>130</v>
      </c>
      <c r="R1190" s="128">
        <v>325</v>
      </c>
      <c r="S1190" s="128">
        <v>90</v>
      </c>
      <c r="T1190" s="128">
        <v>130</v>
      </c>
      <c r="U1190" s="128">
        <v>835</v>
      </c>
      <c r="V1190" s="128" t="s">
        <v>2702</v>
      </c>
    </row>
    <row r="1191" spans="1:22" x14ac:dyDescent="0.35">
      <c r="A1191" s="118">
        <v>1190</v>
      </c>
      <c r="B1191" s="128" t="s">
        <v>167</v>
      </c>
      <c r="C1191" s="128" t="s">
        <v>253</v>
      </c>
      <c r="D1191" s="128" t="s">
        <v>5350</v>
      </c>
      <c r="E1191" s="128" t="s">
        <v>29</v>
      </c>
      <c r="F1191" s="128">
        <v>1986</v>
      </c>
      <c r="G1191" s="128">
        <v>73</v>
      </c>
      <c r="H1191" s="128">
        <v>6</v>
      </c>
      <c r="I1191" s="128">
        <v>79</v>
      </c>
      <c r="J1191" s="128" t="s">
        <v>1509</v>
      </c>
      <c r="K1191" s="128">
        <v>16</v>
      </c>
      <c r="L1191" s="128" t="s">
        <v>5351</v>
      </c>
      <c r="M1191" s="128" t="s">
        <v>1737</v>
      </c>
      <c r="N1191" s="128" t="s">
        <v>2278</v>
      </c>
      <c r="O1191" s="128">
        <v>845</v>
      </c>
      <c r="P1191" s="128">
        <v>170</v>
      </c>
      <c r="Q1191" s="128">
        <v>130</v>
      </c>
      <c r="R1191" s="128">
        <v>325</v>
      </c>
      <c r="S1191" s="128">
        <v>90</v>
      </c>
      <c r="T1191" s="128">
        <v>135</v>
      </c>
      <c r="U1191" s="128">
        <v>850</v>
      </c>
      <c r="V1191" s="128" t="s">
        <v>2702</v>
      </c>
    </row>
    <row r="1192" spans="1:22" x14ac:dyDescent="0.35">
      <c r="A1192" s="118">
        <v>1191</v>
      </c>
      <c r="B1192" s="128" t="s">
        <v>167</v>
      </c>
      <c r="C1192" s="128" t="s">
        <v>253</v>
      </c>
      <c r="D1192" s="128" t="s">
        <v>1517</v>
      </c>
      <c r="E1192" s="128" t="s">
        <v>47</v>
      </c>
      <c r="F1192" s="128">
        <v>1987</v>
      </c>
      <c r="G1192" s="128">
        <v>47</v>
      </c>
      <c r="H1192" s="128">
        <v>8</v>
      </c>
      <c r="I1192" s="128">
        <v>55</v>
      </c>
      <c r="J1192" s="128" t="s">
        <v>1509</v>
      </c>
      <c r="K1192" s="128">
        <v>8</v>
      </c>
      <c r="L1192" s="128" t="s">
        <v>5352</v>
      </c>
      <c r="M1192" s="128" t="s">
        <v>5353</v>
      </c>
      <c r="N1192" s="128" t="s">
        <v>2034</v>
      </c>
      <c r="O1192" s="128">
        <v>760</v>
      </c>
      <c r="P1192" s="128">
        <v>150</v>
      </c>
      <c r="Q1192" s="128">
        <v>125</v>
      </c>
      <c r="R1192" s="128">
        <v>310</v>
      </c>
      <c r="S1192" s="128">
        <v>85</v>
      </c>
      <c r="T1192" s="128">
        <v>95</v>
      </c>
      <c r="U1192" s="128">
        <v>765</v>
      </c>
      <c r="V1192" s="128" t="s">
        <v>2702</v>
      </c>
    </row>
    <row r="1193" spans="1:22" x14ac:dyDescent="0.35">
      <c r="A1193" s="118">
        <v>1192</v>
      </c>
      <c r="B1193" s="128" t="s">
        <v>167</v>
      </c>
      <c r="C1193" s="128" t="s">
        <v>253</v>
      </c>
      <c r="D1193" s="128" t="s">
        <v>5354</v>
      </c>
      <c r="E1193" s="128" t="s">
        <v>65</v>
      </c>
      <c r="F1193" s="128">
        <v>1990</v>
      </c>
      <c r="G1193" s="128">
        <v>31</v>
      </c>
      <c r="H1193" s="128">
        <v>4</v>
      </c>
      <c r="I1193" s="128">
        <v>35</v>
      </c>
      <c r="J1193" s="128" t="s">
        <v>1509</v>
      </c>
      <c r="K1193" s="128">
        <v>9.8000000000000007</v>
      </c>
      <c r="L1193" s="128" t="s">
        <v>5355</v>
      </c>
      <c r="M1193" s="128" t="s">
        <v>5356</v>
      </c>
      <c r="N1193" s="128" t="s">
        <v>2146</v>
      </c>
      <c r="O1193" s="128">
        <v>725</v>
      </c>
      <c r="P1193" s="128">
        <v>140</v>
      </c>
      <c r="Q1193" s="128">
        <v>125</v>
      </c>
      <c r="R1193" s="128">
        <v>300</v>
      </c>
      <c r="S1193" s="128">
        <v>84</v>
      </c>
      <c r="T1193" s="128">
        <v>81</v>
      </c>
      <c r="U1193" s="128">
        <v>730</v>
      </c>
      <c r="V1193" s="128" t="s">
        <v>2702</v>
      </c>
    </row>
    <row r="1194" spans="1:22" x14ac:dyDescent="0.35">
      <c r="A1194" s="118">
        <v>1193</v>
      </c>
      <c r="B1194" s="128" t="s">
        <v>167</v>
      </c>
      <c r="C1194" s="128" t="s">
        <v>253</v>
      </c>
      <c r="D1194" s="128" t="s">
        <v>5357</v>
      </c>
      <c r="E1194" s="128" t="s">
        <v>81</v>
      </c>
      <c r="F1194" s="128">
        <v>1992</v>
      </c>
      <c r="G1194" s="128">
        <v>98</v>
      </c>
      <c r="H1194" s="128">
        <v>11</v>
      </c>
      <c r="I1194" s="128">
        <v>109</v>
      </c>
      <c r="J1194" s="128" t="s">
        <v>1509</v>
      </c>
      <c r="K1194" s="128">
        <v>16</v>
      </c>
      <c r="L1194" s="128" t="s">
        <v>2197</v>
      </c>
      <c r="M1194" s="128" t="s">
        <v>1634</v>
      </c>
      <c r="N1194" s="128" t="s">
        <v>5358</v>
      </c>
      <c r="O1194" s="128">
        <v>750</v>
      </c>
      <c r="P1194" s="128">
        <v>150</v>
      </c>
      <c r="Q1194" s="128">
        <v>130</v>
      </c>
      <c r="R1194" s="128">
        <v>300</v>
      </c>
      <c r="S1194" s="128">
        <v>85</v>
      </c>
      <c r="T1194" s="128">
        <v>90</v>
      </c>
      <c r="U1194" s="128">
        <v>755</v>
      </c>
      <c r="V1194" s="128" t="s">
        <v>2702</v>
      </c>
    </row>
    <row r="1195" spans="1:22" x14ac:dyDescent="0.35">
      <c r="A1195" s="118">
        <v>1194</v>
      </c>
      <c r="B1195" s="128" t="s">
        <v>167</v>
      </c>
      <c r="C1195" s="128" t="s">
        <v>253</v>
      </c>
      <c r="D1195" s="128" t="s">
        <v>5350</v>
      </c>
      <c r="E1195" s="128" t="s">
        <v>843</v>
      </c>
      <c r="F1195" s="128">
        <v>2011</v>
      </c>
      <c r="G1195" s="128">
        <v>0</v>
      </c>
      <c r="H1195" s="128">
        <v>20</v>
      </c>
      <c r="I1195" s="128">
        <v>20</v>
      </c>
      <c r="J1195" s="128" t="s">
        <v>2136</v>
      </c>
      <c r="K1195" s="128">
        <v>1</v>
      </c>
      <c r="L1195" s="128" t="s">
        <v>5359</v>
      </c>
      <c r="M1195" s="128" t="s">
        <v>5360</v>
      </c>
      <c r="N1195" s="128" t="s">
        <v>5361</v>
      </c>
      <c r="O1195" s="128">
        <v>690</v>
      </c>
      <c r="P1195" s="128">
        <v>130</v>
      </c>
      <c r="Q1195" s="128">
        <v>115</v>
      </c>
      <c r="R1195" s="128">
        <v>285</v>
      </c>
      <c r="S1195" s="128">
        <v>80</v>
      </c>
      <c r="T1195" s="128">
        <v>80</v>
      </c>
      <c r="U1195" s="128">
        <v>690</v>
      </c>
      <c r="V1195" s="128" t="s">
        <v>1547</v>
      </c>
    </row>
    <row r="1196" spans="1:22" x14ac:dyDescent="0.35">
      <c r="A1196" s="118">
        <v>1195</v>
      </c>
      <c r="B1196" s="128" t="s">
        <v>167</v>
      </c>
      <c r="C1196" s="128" t="s">
        <v>253</v>
      </c>
      <c r="D1196" s="128" t="s">
        <v>1517</v>
      </c>
      <c r="E1196" s="128" t="s">
        <v>842</v>
      </c>
      <c r="F1196" s="128">
        <v>2013</v>
      </c>
      <c r="G1196" s="128">
        <v>0</v>
      </c>
      <c r="H1196" s="128">
        <v>20</v>
      </c>
      <c r="I1196" s="128">
        <v>20</v>
      </c>
      <c r="J1196" s="128" t="s">
        <v>2136</v>
      </c>
      <c r="K1196" s="128">
        <v>1</v>
      </c>
      <c r="L1196" s="128" t="s">
        <v>5362</v>
      </c>
      <c r="M1196" s="128" t="s">
        <v>5363</v>
      </c>
      <c r="N1196" s="128" t="s">
        <v>5364</v>
      </c>
      <c r="O1196" s="128">
        <v>550</v>
      </c>
      <c r="P1196" s="128">
        <v>120</v>
      </c>
      <c r="Q1196" s="128">
        <v>95</v>
      </c>
      <c r="R1196" s="128">
        <v>215</v>
      </c>
      <c r="S1196" s="128">
        <v>60</v>
      </c>
      <c r="T1196" s="128">
        <v>60</v>
      </c>
      <c r="U1196" s="128">
        <v>550</v>
      </c>
      <c r="V1196" s="128" t="s">
        <v>1547</v>
      </c>
    </row>
    <row r="1197" spans="1:22" x14ac:dyDescent="0.35">
      <c r="A1197" s="118">
        <v>1196</v>
      </c>
      <c r="B1197" s="128" t="s">
        <v>167</v>
      </c>
      <c r="C1197" s="128" t="s">
        <v>263</v>
      </c>
      <c r="D1197" s="128" t="s">
        <v>1517</v>
      </c>
      <c r="E1197" s="128" t="s">
        <v>411</v>
      </c>
      <c r="F1197" s="128">
        <v>1975</v>
      </c>
      <c r="G1197" s="128">
        <v>51</v>
      </c>
      <c r="H1197" s="128">
        <v>2</v>
      </c>
      <c r="I1197" s="128">
        <v>53</v>
      </c>
      <c r="J1197" s="128" t="s">
        <v>1509</v>
      </c>
      <c r="K1197" s="128">
        <v>11.05</v>
      </c>
      <c r="L1197" s="128" t="s">
        <v>5365</v>
      </c>
      <c r="M1197" s="128" t="s">
        <v>5366</v>
      </c>
      <c r="N1197" s="128" t="s">
        <v>5367</v>
      </c>
      <c r="O1197" s="128">
        <v>615</v>
      </c>
      <c r="P1197" s="128">
        <v>125</v>
      </c>
      <c r="Q1197" s="128">
        <v>105</v>
      </c>
      <c r="R1197" s="128">
        <v>240</v>
      </c>
      <c r="S1197" s="128">
        <v>75</v>
      </c>
      <c r="T1197" s="128">
        <v>75</v>
      </c>
      <c r="U1197" s="128">
        <v>620</v>
      </c>
      <c r="V1197" s="128" t="s">
        <v>1547</v>
      </c>
    </row>
    <row r="1198" spans="1:22" x14ac:dyDescent="0.35">
      <c r="A1198" s="118">
        <v>1197</v>
      </c>
      <c r="B1198" s="128" t="s">
        <v>167</v>
      </c>
      <c r="C1198" s="128" t="s">
        <v>263</v>
      </c>
      <c r="D1198" s="128" t="s">
        <v>4098</v>
      </c>
      <c r="E1198" s="128" t="s">
        <v>410</v>
      </c>
      <c r="F1198" s="128">
        <v>1975</v>
      </c>
      <c r="G1198" s="128">
        <v>84</v>
      </c>
      <c r="H1198" s="128">
        <v>6</v>
      </c>
      <c r="I1198" s="128">
        <v>90</v>
      </c>
      <c r="J1198" s="128" t="s">
        <v>1509</v>
      </c>
      <c r="K1198" s="128">
        <v>14.6</v>
      </c>
      <c r="L1198" s="128" t="s">
        <v>1555</v>
      </c>
      <c r="M1198" s="128" t="s">
        <v>5368</v>
      </c>
      <c r="N1198" s="128" t="s">
        <v>1614</v>
      </c>
      <c r="O1198" s="128">
        <v>605</v>
      </c>
      <c r="P1198" s="128">
        <v>120</v>
      </c>
      <c r="Q1198" s="128">
        <v>100</v>
      </c>
      <c r="R1198" s="128">
        <v>240</v>
      </c>
      <c r="S1198" s="128">
        <v>75</v>
      </c>
      <c r="T1198" s="128">
        <v>75</v>
      </c>
      <c r="U1198" s="128">
        <v>610</v>
      </c>
      <c r="V1198" s="128" t="s">
        <v>1547</v>
      </c>
    </row>
    <row r="1199" spans="1:22" x14ac:dyDescent="0.35">
      <c r="A1199" s="118">
        <v>1198</v>
      </c>
      <c r="B1199" s="128" t="s">
        <v>167</v>
      </c>
      <c r="C1199" s="128" t="s">
        <v>263</v>
      </c>
      <c r="D1199" s="128" t="s">
        <v>1517</v>
      </c>
      <c r="E1199" s="128" t="s">
        <v>913</v>
      </c>
      <c r="F1199" s="128">
        <v>1998</v>
      </c>
      <c r="G1199" s="128">
        <v>44</v>
      </c>
      <c r="H1199" s="128">
        <v>7</v>
      </c>
      <c r="I1199" s="128">
        <v>51</v>
      </c>
      <c r="J1199" s="128" t="s">
        <v>1509</v>
      </c>
      <c r="K1199" s="128">
        <v>9.4</v>
      </c>
      <c r="L1199" s="128" t="s">
        <v>1620</v>
      </c>
      <c r="M1199" s="128" t="s">
        <v>5369</v>
      </c>
      <c r="N1199" s="128" t="s">
        <v>5370</v>
      </c>
      <c r="O1199" s="128">
        <v>685</v>
      </c>
      <c r="P1199" s="128">
        <v>135</v>
      </c>
      <c r="Q1199" s="128">
        <v>115</v>
      </c>
      <c r="R1199" s="128">
        <v>280</v>
      </c>
      <c r="S1199" s="128">
        <v>80</v>
      </c>
      <c r="T1199" s="128">
        <v>80</v>
      </c>
      <c r="U1199" s="128">
        <v>690</v>
      </c>
      <c r="V1199" s="128" t="s">
        <v>1547</v>
      </c>
    </row>
    <row r="1200" spans="1:22" x14ac:dyDescent="0.35">
      <c r="A1200" s="118">
        <v>1199</v>
      </c>
      <c r="B1200" s="128" t="s">
        <v>167</v>
      </c>
      <c r="C1200" s="128" t="s">
        <v>263</v>
      </c>
      <c r="D1200" s="128" t="s">
        <v>5371</v>
      </c>
      <c r="E1200" s="128" t="s">
        <v>912</v>
      </c>
      <c r="F1200" s="128">
        <v>1998</v>
      </c>
      <c r="G1200" s="128">
        <v>53</v>
      </c>
      <c r="H1200" s="128">
        <v>6</v>
      </c>
      <c r="I1200" s="128">
        <v>59</v>
      </c>
      <c r="J1200" s="128" t="s">
        <v>1509</v>
      </c>
      <c r="K1200" s="128">
        <v>12.3</v>
      </c>
      <c r="L1200" s="128" t="s">
        <v>5372</v>
      </c>
      <c r="M1200" s="128" t="s">
        <v>5373</v>
      </c>
      <c r="N1200" s="128" t="s">
        <v>2129</v>
      </c>
      <c r="O1200" s="128">
        <v>605</v>
      </c>
      <c r="P1200" s="128">
        <v>120</v>
      </c>
      <c r="Q1200" s="128">
        <v>100</v>
      </c>
      <c r="R1200" s="128">
        <v>240</v>
      </c>
      <c r="S1200" s="128">
        <v>70</v>
      </c>
      <c r="T1200" s="128">
        <v>80</v>
      </c>
      <c r="U1200" s="128">
        <v>610</v>
      </c>
      <c r="V1200" s="128" t="s">
        <v>1547</v>
      </c>
    </row>
    <row r="1201" spans="1:22" x14ac:dyDescent="0.35">
      <c r="A1201" s="118">
        <v>1200</v>
      </c>
      <c r="B1201" s="128" t="s">
        <v>167</v>
      </c>
      <c r="C1201" s="128" t="s">
        <v>263</v>
      </c>
      <c r="D1201" s="128" t="s">
        <v>5374</v>
      </c>
      <c r="E1201" s="128" t="s">
        <v>911</v>
      </c>
      <c r="F1201" s="128">
        <v>1998</v>
      </c>
      <c r="G1201" s="128">
        <v>56</v>
      </c>
      <c r="H1201" s="128">
        <v>4</v>
      </c>
      <c r="I1201" s="128">
        <v>60</v>
      </c>
      <c r="J1201" s="128" t="s">
        <v>1509</v>
      </c>
      <c r="K1201" s="128">
        <v>11.2</v>
      </c>
      <c r="L1201" s="128" t="s">
        <v>2233</v>
      </c>
      <c r="M1201" s="128" t="s">
        <v>5375</v>
      </c>
      <c r="N1201" s="128" t="s">
        <v>5376</v>
      </c>
      <c r="O1201" s="128">
        <v>555</v>
      </c>
      <c r="P1201" s="128">
        <v>120</v>
      </c>
      <c r="Q1201" s="128">
        <v>100</v>
      </c>
      <c r="R1201" s="128">
        <v>220</v>
      </c>
      <c r="S1201" s="128">
        <v>50</v>
      </c>
      <c r="T1201" s="128">
        <v>70</v>
      </c>
      <c r="U1201" s="128">
        <v>560</v>
      </c>
      <c r="V1201" s="128" t="s">
        <v>1547</v>
      </c>
    </row>
    <row r="1202" spans="1:22" x14ac:dyDescent="0.35">
      <c r="A1202" s="118">
        <v>1201</v>
      </c>
      <c r="B1202" s="128" t="s">
        <v>167</v>
      </c>
      <c r="C1202" s="128" t="s">
        <v>263</v>
      </c>
      <c r="D1202" s="128" t="s">
        <v>1517</v>
      </c>
      <c r="E1202" s="128" t="s">
        <v>441</v>
      </c>
      <c r="F1202" s="128">
        <v>2013</v>
      </c>
      <c r="G1202" s="128">
        <v>0</v>
      </c>
      <c r="H1202" s="128">
        <v>20</v>
      </c>
      <c r="I1202" s="128">
        <v>20</v>
      </c>
      <c r="J1202" s="128" t="s">
        <v>5292</v>
      </c>
      <c r="K1202" s="128">
        <v>1</v>
      </c>
      <c r="L1202" s="128" t="s">
        <v>5377</v>
      </c>
      <c r="M1202" s="128" t="s">
        <v>5378</v>
      </c>
      <c r="N1202" s="128" t="s">
        <v>5379</v>
      </c>
      <c r="O1202" s="128">
        <v>305</v>
      </c>
      <c r="P1202" s="128">
        <v>80</v>
      </c>
      <c r="Q1202" s="128">
        <v>55</v>
      </c>
      <c r="R1202" s="128">
        <v>110</v>
      </c>
      <c r="S1202" s="128">
        <v>30</v>
      </c>
      <c r="T1202" s="128">
        <v>35</v>
      </c>
      <c r="U1202" s="128">
        <v>310</v>
      </c>
      <c r="V1202" s="128" t="s">
        <v>2643</v>
      </c>
    </row>
    <row r="1203" spans="1:22" x14ac:dyDescent="0.35">
      <c r="A1203" s="118">
        <v>1202</v>
      </c>
      <c r="B1203" s="128" t="s">
        <v>167</v>
      </c>
      <c r="C1203" s="128" t="s">
        <v>250</v>
      </c>
      <c r="D1203" s="128" t="s">
        <v>5380</v>
      </c>
      <c r="E1203" s="128" t="s">
        <v>827</v>
      </c>
      <c r="F1203" s="128">
        <v>1987</v>
      </c>
      <c r="G1203" s="128">
        <v>14</v>
      </c>
      <c r="H1203" s="128">
        <v>3</v>
      </c>
      <c r="I1203" s="128">
        <v>17</v>
      </c>
      <c r="J1203" s="128" t="s">
        <v>1509</v>
      </c>
      <c r="K1203" s="128">
        <v>6.05</v>
      </c>
      <c r="L1203" s="128" t="s">
        <v>5235</v>
      </c>
      <c r="M1203" s="128" t="s">
        <v>1064</v>
      </c>
      <c r="N1203" s="128" t="s">
        <v>3030</v>
      </c>
      <c r="O1203" s="128">
        <v>555</v>
      </c>
      <c r="P1203" s="128">
        <v>115</v>
      </c>
      <c r="Q1203" s="128">
        <v>105</v>
      </c>
      <c r="R1203" s="128">
        <v>225</v>
      </c>
      <c r="S1203" s="128">
        <v>60</v>
      </c>
      <c r="T1203" s="128">
        <v>65</v>
      </c>
      <c r="U1203" s="128">
        <v>570</v>
      </c>
      <c r="V1203" s="128" t="s">
        <v>1547</v>
      </c>
    </row>
    <row r="1204" spans="1:22" x14ac:dyDescent="0.35">
      <c r="A1204" s="118">
        <v>1203</v>
      </c>
      <c r="B1204" s="128" t="s">
        <v>167</v>
      </c>
      <c r="C1204" s="128" t="s">
        <v>250</v>
      </c>
      <c r="D1204" s="128" t="s">
        <v>5381</v>
      </c>
      <c r="E1204" s="128" t="s">
        <v>826</v>
      </c>
      <c r="F1204" s="128">
        <v>2003</v>
      </c>
      <c r="G1204" s="128">
        <v>19</v>
      </c>
      <c r="H1204" s="128">
        <v>2</v>
      </c>
      <c r="I1204" s="128">
        <v>21</v>
      </c>
      <c r="J1204" s="128" t="s">
        <v>1509</v>
      </c>
      <c r="K1204" s="128">
        <v>4.9000000000000004</v>
      </c>
      <c r="L1204" s="128" t="s">
        <v>5382</v>
      </c>
      <c r="M1204" s="128" t="s">
        <v>5383</v>
      </c>
      <c r="N1204" s="128" t="s">
        <v>5384</v>
      </c>
      <c r="O1204" s="128">
        <v>500</v>
      </c>
      <c r="P1204" s="128">
        <v>110</v>
      </c>
      <c r="Q1204" s="128">
        <v>95</v>
      </c>
      <c r="R1204" s="128">
        <v>215</v>
      </c>
      <c r="S1204" s="128">
        <v>45</v>
      </c>
      <c r="T1204" s="128">
        <v>55</v>
      </c>
      <c r="U1204" s="128">
        <v>520</v>
      </c>
      <c r="V1204" s="128" t="s">
        <v>1547</v>
      </c>
    </row>
    <row r="1205" spans="1:22" x14ac:dyDescent="0.35">
      <c r="A1205" s="118">
        <v>1204</v>
      </c>
      <c r="B1205" s="128" t="s">
        <v>167</v>
      </c>
      <c r="C1205" s="128" t="s">
        <v>250</v>
      </c>
      <c r="D1205" s="128" t="s">
        <v>5385</v>
      </c>
      <c r="E1205" s="128" t="s">
        <v>825</v>
      </c>
      <c r="F1205" s="128">
        <v>2005</v>
      </c>
      <c r="G1205" s="128">
        <v>21</v>
      </c>
      <c r="H1205" s="128">
        <v>3</v>
      </c>
      <c r="I1205" s="128">
        <v>24</v>
      </c>
      <c r="J1205" s="128" t="s">
        <v>1509</v>
      </c>
      <c r="K1205" s="128">
        <v>10.8</v>
      </c>
      <c r="L1205" s="128" t="s">
        <v>5386</v>
      </c>
      <c r="M1205" s="128" t="s">
        <v>5387</v>
      </c>
      <c r="N1205" s="128" t="s">
        <v>5388</v>
      </c>
      <c r="O1205" s="128">
        <v>525</v>
      </c>
      <c r="P1205" s="128">
        <v>110</v>
      </c>
      <c r="Q1205" s="128">
        <v>95</v>
      </c>
      <c r="R1205" s="128">
        <v>220</v>
      </c>
      <c r="S1205" s="128">
        <v>45</v>
      </c>
      <c r="T1205" s="128">
        <v>65</v>
      </c>
      <c r="U1205" s="128">
        <v>535</v>
      </c>
      <c r="V1205" s="128" t="s">
        <v>1547</v>
      </c>
    </row>
    <row r="1206" spans="1:22" x14ac:dyDescent="0.35">
      <c r="A1206" s="118">
        <v>1205</v>
      </c>
      <c r="B1206" s="128" t="s">
        <v>167</v>
      </c>
      <c r="C1206" s="128" t="s">
        <v>250</v>
      </c>
      <c r="D1206" s="128" t="s">
        <v>5389</v>
      </c>
      <c r="E1206" s="128" t="s">
        <v>824</v>
      </c>
      <c r="F1206" s="128">
        <v>2005</v>
      </c>
      <c r="G1206" s="128">
        <v>22</v>
      </c>
      <c r="H1206" s="128">
        <v>0</v>
      </c>
      <c r="I1206" s="128">
        <v>22</v>
      </c>
      <c r="J1206" s="128" t="s">
        <v>1509</v>
      </c>
      <c r="K1206" s="128">
        <v>5.5</v>
      </c>
      <c r="L1206" s="128" t="s">
        <v>5390</v>
      </c>
      <c r="M1206" s="128" t="s">
        <v>4568</v>
      </c>
      <c r="N1206" s="128" t="s">
        <v>4707</v>
      </c>
      <c r="O1206" s="128">
        <v>585</v>
      </c>
      <c r="P1206" s="128">
        <v>120</v>
      </c>
      <c r="Q1206" s="128">
        <v>105</v>
      </c>
      <c r="R1206" s="128">
        <v>250</v>
      </c>
      <c r="S1206" s="128">
        <v>55</v>
      </c>
      <c r="T1206" s="128">
        <v>65</v>
      </c>
      <c r="U1206" s="128">
        <v>595</v>
      </c>
      <c r="V1206" s="128" t="s">
        <v>1547</v>
      </c>
    </row>
    <row r="1207" spans="1:22" x14ac:dyDescent="0.35">
      <c r="A1207" s="118">
        <v>1206</v>
      </c>
      <c r="B1207" s="128" t="s">
        <v>167</v>
      </c>
      <c r="C1207" s="128" t="s">
        <v>932</v>
      </c>
      <c r="D1207" s="128" t="s">
        <v>5391</v>
      </c>
      <c r="E1207" s="128" t="s">
        <v>829</v>
      </c>
      <c r="F1207" s="128">
        <v>1975</v>
      </c>
      <c r="G1207" s="128">
        <v>32</v>
      </c>
      <c r="H1207" s="128">
        <v>1</v>
      </c>
      <c r="I1207" s="128">
        <v>33</v>
      </c>
      <c r="J1207" s="128" t="s">
        <v>1509</v>
      </c>
      <c r="K1207" s="128" t="s">
        <v>5392</v>
      </c>
      <c r="L1207" s="128" t="s">
        <v>3107</v>
      </c>
      <c r="M1207" s="128" t="s">
        <v>4630</v>
      </c>
      <c r="N1207" s="128" t="s">
        <v>5393</v>
      </c>
      <c r="O1207" s="128">
        <v>805</v>
      </c>
      <c r="P1207" s="128">
        <v>160</v>
      </c>
      <c r="Q1207" s="128">
        <v>130</v>
      </c>
      <c r="R1207" s="128">
        <v>330</v>
      </c>
      <c r="S1207" s="128">
        <v>90</v>
      </c>
      <c r="T1207" s="128">
        <v>105</v>
      </c>
      <c r="U1207" s="128">
        <v>815</v>
      </c>
      <c r="V1207" s="128" t="s">
        <v>2702</v>
      </c>
    </row>
    <row r="1208" spans="1:22" x14ac:dyDescent="0.35">
      <c r="A1208" s="118">
        <v>1207</v>
      </c>
      <c r="B1208" s="128" t="s">
        <v>167</v>
      </c>
      <c r="C1208" s="128" t="s">
        <v>932</v>
      </c>
      <c r="D1208" s="128" t="s">
        <v>5394</v>
      </c>
      <c r="E1208" s="128" t="s">
        <v>5395</v>
      </c>
      <c r="F1208" s="128">
        <v>2007</v>
      </c>
      <c r="G1208" s="128">
        <v>56</v>
      </c>
      <c r="H1208" s="128">
        <v>2</v>
      </c>
      <c r="I1208" s="128">
        <v>58</v>
      </c>
      <c r="J1208" s="128" t="s">
        <v>1509</v>
      </c>
      <c r="K1208" s="128" t="s">
        <v>5396</v>
      </c>
      <c r="L1208" s="128" t="s">
        <v>2375</v>
      </c>
      <c r="M1208" s="128" t="s">
        <v>5397</v>
      </c>
      <c r="N1208" s="128" t="s">
        <v>5398</v>
      </c>
      <c r="O1208" s="128">
        <v>645</v>
      </c>
      <c r="P1208" s="128">
        <v>130</v>
      </c>
      <c r="Q1208" s="128">
        <v>110</v>
      </c>
      <c r="R1208" s="128">
        <v>265</v>
      </c>
      <c r="S1208" s="128">
        <v>75</v>
      </c>
      <c r="T1208" s="128">
        <v>70</v>
      </c>
      <c r="U1208" s="128">
        <v>650</v>
      </c>
      <c r="V1208" s="128" t="s">
        <v>1547</v>
      </c>
    </row>
    <row r="1209" spans="1:22" x14ac:dyDescent="0.35">
      <c r="A1209" s="118">
        <v>1208</v>
      </c>
      <c r="B1209" s="128" t="s">
        <v>167</v>
      </c>
      <c r="C1209" s="128" t="s">
        <v>932</v>
      </c>
      <c r="D1209" s="128" t="s">
        <v>5391</v>
      </c>
      <c r="E1209" s="128" t="s">
        <v>828</v>
      </c>
      <c r="F1209" s="128">
        <v>2011</v>
      </c>
      <c r="G1209" s="128">
        <v>0</v>
      </c>
      <c r="H1209" s="128">
        <v>13</v>
      </c>
      <c r="I1209" s="128">
        <v>13</v>
      </c>
      <c r="J1209" s="128" t="s">
        <v>5399</v>
      </c>
      <c r="K1209" s="128" t="s">
        <v>5400</v>
      </c>
      <c r="L1209" s="128" t="s">
        <v>5401</v>
      </c>
      <c r="M1209" s="128" t="s">
        <v>5402</v>
      </c>
      <c r="N1209" s="128" t="s">
        <v>5403</v>
      </c>
      <c r="O1209" s="128">
        <v>355</v>
      </c>
      <c r="P1209" s="128">
        <v>80</v>
      </c>
      <c r="Q1209" s="128">
        <v>60</v>
      </c>
      <c r="R1209" s="128">
        <v>150</v>
      </c>
      <c r="S1209" s="128">
        <v>25</v>
      </c>
      <c r="T1209" s="128">
        <v>45</v>
      </c>
      <c r="U1209" s="128">
        <v>360</v>
      </c>
      <c r="V1209" s="128" t="s">
        <v>2643</v>
      </c>
    </row>
    <row r="1210" spans="1:22" x14ac:dyDescent="0.35">
      <c r="A1210" s="118">
        <v>1209</v>
      </c>
      <c r="B1210" s="128" t="s">
        <v>167</v>
      </c>
      <c r="C1210" s="128" t="s">
        <v>1474</v>
      </c>
      <c r="D1210" s="128" t="s">
        <v>1933</v>
      </c>
      <c r="E1210" s="128" t="s">
        <v>835</v>
      </c>
      <c r="F1210" s="128">
        <v>2007</v>
      </c>
      <c r="G1210" s="128">
        <v>17</v>
      </c>
      <c r="H1210" s="128">
        <v>2</v>
      </c>
      <c r="I1210" s="128">
        <v>19</v>
      </c>
      <c r="J1210" s="128" t="s">
        <v>1509</v>
      </c>
      <c r="K1210" s="128">
        <v>3.8</v>
      </c>
      <c r="L1210" s="128" t="s">
        <v>1770</v>
      </c>
      <c r="M1210" s="128" t="s">
        <v>1976</v>
      </c>
      <c r="N1210" s="128" t="s">
        <v>1568</v>
      </c>
      <c r="O1210" s="128">
        <v>635</v>
      </c>
      <c r="P1210" s="128">
        <v>130</v>
      </c>
      <c r="Q1210" s="128">
        <v>110</v>
      </c>
      <c r="R1210" s="128">
        <v>250</v>
      </c>
      <c r="S1210" s="128">
        <v>75</v>
      </c>
      <c r="T1210" s="128">
        <v>75</v>
      </c>
      <c r="U1210" s="128">
        <v>640</v>
      </c>
      <c r="V1210" s="128" t="s">
        <v>1547</v>
      </c>
    </row>
    <row r="1211" spans="1:22" x14ac:dyDescent="0.35">
      <c r="A1211" s="118">
        <v>1210</v>
      </c>
      <c r="B1211" s="128" t="s">
        <v>167</v>
      </c>
      <c r="C1211" s="128" t="s">
        <v>1474</v>
      </c>
      <c r="D1211" s="128" t="s">
        <v>1788</v>
      </c>
      <c r="E1211" s="128" t="s">
        <v>834</v>
      </c>
      <c r="F1211" s="128">
        <v>2007</v>
      </c>
      <c r="G1211" s="128">
        <v>30</v>
      </c>
      <c r="H1211" s="128">
        <v>1</v>
      </c>
      <c r="I1211" s="128">
        <v>31</v>
      </c>
      <c r="J1211" s="128" t="s">
        <v>1509</v>
      </c>
      <c r="K1211" s="128">
        <v>16</v>
      </c>
      <c r="L1211" s="128" t="s">
        <v>5404</v>
      </c>
      <c r="M1211" s="128" t="s">
        <v>5405</v>
      </c>
      <c r="N1211" s="128" t="s">
        <v>5406</v>
      </c>
      <c r="O1211" s="128">
        <v>610</v>
      </c>
      <c r="P1211" s="128">
        <v>120</v>
      </c>
      <c r="Q1211" s="128">
        <v>105</v>
      </c>
      <c r="R1211" s="128">
        <v>250</v>
      </c>
      <c r="S1211" s="128">
        <v>70</v>
      </c>
      <c r="T1211" s="128">
        <v>70</v>
      </c>
      <c r="U1211" s="128">
        <v>615</v>
      </c>
      <c r="V1211" s="128" t="s">
        <v>1547</v>
      </c>
    </row>
    <row r="1212" spans="1:22" x14ac:dyDescent="0.35">
      <c r="A1212" s="118">
        <v>1211</v>
      </c>
      <c r="B1212" s="128" t="s">
        <v>167</v>
      </c>
      <c r="C1212" s="128" t="s">
        <v>1474</v>
      </c>
      <c r="D1212" s="128" t="s">
        <v>5407</v>
      </c>
      <c r="E1212" s="128" t="s">
        <v>833</v>
      </c>
      <c r="F1212" s="128">
        <v>2007</v>
      </c>
      <c r="G1212" s="128">
        <v>31</v>
      </c>
      <c r="H1212" s="128">
        <v>0</v>
      </c>
      <c r="I1212" s="128">
        <v>31</v>
      </c>
      <c r="J1212" s="128" t="s">
        <v>1509</v>
      </c>
      <c r="K1212" s="128">
        <v>4.7300000000000004</v>
      </c>
      <c r="L1212" s="128" t="s">
        <v>5408</v>
      </c>
      <c r="M1212" s="128" t="s">
        <v>5409</v>
      </c>
      <c r="N1212" s="128" t="s">
        <v>1647</v>
      </c>
      <c r="O1212" s="128">
        <v>610</v>
      </c>
      <c r="P1212" s="128">
        <v>120</v>
      </c>
      <c r="Q1212" s="128">
        <v>105</v>
      </c>
      <c r="R1212" s="128">
        <v>250</v>
      </c>
      <c r="S1212" s="128">
        <v>70</v>
      </c>
      <c r="T1212" s="128">
        <v>70</v>
      </c>
      <c r="U1212" s="128">
        <v>615</v>
      </c>
      <c r="V1212" s="128" t="s">
        <v>1547</v>
      </c>
    </row>
    <row r="1213" spans="1:22" x14ac:dyDescent="0.35">
      <c r="A1213" s="118">
        <v>1212</v>
      </c>
      <c r="B1213" s="128" t="s">
        <v>167</v>
      </c>
      <c r="C1213" s="128" t="s">
        <v>1474</v>
      </c>
      <c r="D1213" s="128" t="s">
        <v>5410</v>
      </c>
      <c r="E1213" s="128" t="s">
        <v>832</v>
      </c>
      <c r="F1213" s="128">
        <v>2007</v>
      </c>
      <c r="G1213" s="128">
        <v>21</v>
      </c>
      <c r="H1213" s="128">
        <v>0</v>
      </c>
      <c r="I1213" s="128">
        <v>21</v>
      </c>
      <c r="J1213" s="128" t="s">
        <v>5411</v>
      </c>
      <c r="K1213" s="128">
        <v>3.7</v>
      </c>
      <c r="L1213" s="128" t="s">
        <v>5412</v>
      </c>
      <c r="M1213" s="128" t="s">
        <v>1876</v>
      </c>
      <c r="N1213" s="128" t="s">
        <v>5413</v>
      </c>
      <c r="O1213" s="128">
        <v>585</v>
      </c>
      <c r="P1213" s="128">
        <v>115</v>
      </c>
      <c r="Q1213" s="128">
        <v>105</v>
      </c>
      <c r="R1213" s="128">
        <v>235</v>
      </c>
      <c r="S1213" s="128">
        <v>70</v>
      </c>
      <c r="T1213" s="128">
        <v>65</v>
      </c>
      <c r="U1213" s="128">
        <v>590</v>
      </c>
      <c r="V1213" s="128" t="s">
        <v>1547</v>
      </c>
    </row>
    <row r="1214" spans="1:22" x14ac:dyDescent="0.35">
      <c r="A1214" s="118">
        <v>1213</v>
      </c>
      <c r="B1214" s="128" t="s">
        <v>167</v>
      </c>
      <c r="C1214" s="128" t="s">
        <v>1474</v>
      </c>
      <c r="D1214" s="128" t="s">
        <v>5414</v>
      </c>
      <c r="E1214" s="128" t="s">
        <v>831</v>
      </c>
      <c r="F1214" s="128">
        <v>2007</v>
      </c>
      <c r="G1214" s="128">
        <v>22</v>
      </c>
      <c r="H1214" s="128">
        <v>0</v>
      </c>
      <c r="I1214" s="128">
        <v>22</v>
      </c>
      <c r="J1214" s="128" t="s">
        <v>5411</v>
      </c>
      <c r="K1214" s="128">
        <v>4.45</v>
      </c>
      <c r="L1214" s="128" t="s">
        <v>5415</v>
      </c>
      <c r="M1214" s="128" t="s">
        <v>1696</v>
      </c>
      <c r="N1214" s="128" t="s">
        <v>1939</v>
      </c>
      <c r="O1214" s="128">
        <v>590</v>
      </c>
      <c r="P1214" s="128">
        <v>120</v>
      </c>
      <c r="Q1214" s="128">
        <v>105</v>
      </c>
      <c r="R1214" s="128">
        <v>230</v>
      </c>
      <c r="S1214" s="128">
        <v>70</v>
      </c>
      <c r="T1214" s="128">
        <v>70</v>
      </c>
      <c r="U1214" s="128">
        <v>595</v>
      </c>
      <c r="V1214" s="128" t="s">
        <v>1547</v>
      </c>
    </row>
    <row r="1215" spans="1:22" x14ac:dyDescent="0.35">
      <c r="A1215" s="118">
        <v>1214</v>
      </c>
      <c r="B1215" s="128" t="s">
        <v>167</v>
      </c>
      <c r="C1215" s="128" t="s">
        <v>1474</v>
      </c>
      <c r="D1215" s="128" t="s">
        <v>1517</v>
      </c>
      <c r="E1215" s="128" t="s">
        <v>830</v>
      </c>
      <c r="F1215" s="128">
        <v>2007</v>
      </c>
      <c r="G1215" s="128">
        <v>17</v>
      </c>
      <c r="H1215" s="128">
        <v>2</v>
      </c>
      <c r="I1215" s="128">
        <v>19</v>
      </c>
      <c r="J1215" s="128" t="s">
        <v>5411</v>
      </c>
      <c r="K1215" s="128">
        <v>3.75</v>
      </c>
      <c r="L1215" s="128" t="s">
        <v>2311</v>
      </c>
      <c r="M1215" s="128" t="s">
        <v>1946</v>
      </c>
      <c r="N1215" s="128" t="s">
        <v>5416</v>
      </c>
      <c r="O1215" s="128">
        <v>525</v>
      </c>
      <c r="P1215" s="128">
        <v>110</v>
      </c>
      <c r="Q1215" s="128">
        <v>100</v>
      </c>
      <c r="R1215" s="128">
        <v>220</v>
      </c>
      <c r="S1215" s="128">
        <v>45</v>
      </c>
      <c r="T1215" s="128">
        <v>55</v>
      </c>
      <c r="U1215" s="128">
        <v>530</v>
      </c>
      <c r="V1215" s="128" t="s">
        <v>1547</v>
      </c>
    </row>
    <row r="1216" spans="1:22" x14ac:dyDescent="0.35">
      <c r="A1216" s="118">
        <v>1215</v>
      </c>
      <c r="B1216" s="128" t="s">
        <v>167</v>
      </c>
      <c r="C1216" s="128" t="s">
        <v>1474</v>
      </c>
      <c r="D1216" s="128" t="s">
        <v>1788</v>
      </c>
      <c r="E1216" s="128" t="s">
        <v>441</v>
      </c>
      <c r="F1216" s="128">
        <v>2015</v>
      </c>
      <c r="G1216" s="128">
        <v>0</v>
      </c>
      <c r="H1216" s="128">
        <v>0</v>
      </c>
      <c r="I1216" s="128">
        <v>0</v>
      </c>
      <c r="J1216" s="128" t="s">
        <v>2136</v>
      </c>
      <c r="K1216" s="128">
        <v>0</v>
      </c>
      <c r="L1216" s="128" t="s">
        <v>5417</v>
      </c>
      <c r="M1216" s="128" t="s">
        <v>5418</v>
      </c>
      <c r="N1216" s="128" t="s">
        <v>428</v>
      </c>
      <c r="O1216" s="128">
        <v>335</v>
      </c>
      <c r="P1216" s="128">
        <v>80</v>
      </c>
      <c r="Q1216" s="128">
        <v>60</v>
      </c>
      <c r="R1216" s="128">
        <v>135</v>
      </c>
      <c r="S1216" s="128">
        <v>30</v>
      </c>
      <c r="T1216" s="128">
        <v>35</v>
      </c>
      <c r="U1216" s="128">
        <v>340</v>
      </c>
      <c r="V1216" s="128" t="s">
        <v>2643</v>
      </c>
    </row>
    <row r="1217" spans="1:22" x14ac:dyDescent="0.35">
      <c r="A1217" s="118">
        <v>1216</v>
      </c>
      <c r="B1217" s="128" t="s">
        <v>167</v>
      </c>
      <c r="C1217" s="128" t="s">
        <v>261</v>
      </c>
      <c r="D1217" s="128" t="s">
        <v>1521</v>
      </c>
      <c r="E1217" s="128" t="s">
        <v>890</v>
      </c>
      <c r="F1217" s="128">
        <v>1980</v>
      </c>
      <c r="G1217" s="128">
        <v>44</v>
      </c>
      <c r="H1217" s="128">
        <v>13</v>
      </c>
      <c r="I1217" s="128">
        <v>57</v>
      </c>
      <c r="J1217" s="128" t="s">
        <v>5411</v>
      </c>
      <c r="K1217" s="128">
        <v>12</v>
      </c>
      <c r="L1217" s="128" t="s">
        <v>5419</v>
      </c>
      <c r="M1217" s="128" t="s">
        <v>5420</v>
      </c>
      <c r="N1217" s="128" t="s">
        <v>5421</v>
      </c>
      <c r="O1217" s="128">
        <v>635</v>
      </c>
      <c r="P1217" s="128">
        <v>125</v>
      </c>
      <c r="Q1217" s="128">
        <v>105</v>
      </c>
      <c r="R1217" s="128">
        <v>260</v>
      </c>
      <c r="S1217" s="128">
        <v>75</v>
      </c>
      <c r="T1217" s="128">
        <v>75</v>
      </c>
      <c r="U1217" s="128">
        <v>640</v>
      </c>
      <c r="V1217" s="128" t="s">
        <v>1547</v>
      </c>
    </row>
    <row r="1218" spans="1:22" x14ac:dyDescent="0.35">
      <c r="A1218" s="118">
        <v>1217</v>
      </c>
      <c r="B1218" s="128" t="s">
        <v>167</v>
      </c>
      <c r="C1218" s="128" t="s">
        <v>261</v>
      </c>
      <c r="D1218" s="128" t="s">
        <v>5422</v>
      </c>
      <c r="E1218" s="128" t="s">
        <v>889</v>
      </c>
      <c r="F1218" s="128">
        <v>2007</v>
      </c>
      <c r="G1218" s="128">
        <v>37</v>
      </c>
      <c r="H1218" s="128">
        <v>6</v>
      </c>
      <c r="I1218" s="128">
        <v>43</v>
      </c>
      <c r="J1218" s="128" t="s">
        <v>5411</v>
      </c>
      <c r="K1218" s="128">
        <v>8</v>
      </c>
      <c r="L1218" s="128" t="s">
        <v>1980</v>
      </c>
      <c r="M1218" s="128" t="s">
        <v>4149</v>
      </c>
      <c r="N1218" s="128" t="s">
        <v>2197</v>
      </c>
      <c r="O1218" s="128">
        <v>600</v>
      </c>
      <c r="P1218" s="128">
        <v>115</v>
      </c>
      <c r="Q1218" s="128">
        <v>105</v>
      </c>
      <c r="R1218" s="128">
        <v>240</v>
      </c>
      <c r="S1218" s="128">
        <v>75</v>
      </c>
      <c r="T1218" s="128">
        <v>70</v>
      </c>
      <c r="U1218" s="128">
        <v>605</v>
      </c>
      <c r="V1218" s="128" t="s">
        <v>1547</v>
      </c>
    </row>
    <row r="1219" spans="1:22" x14ac:dyDescent="0.35">
      <c r="A1219" s="118">
        <v>1218</v>
      </c>
      <c r="B1219" s="128" t="s">
        <v>167</v>
      </c>
      <c r="C1219" s="128" t="s">
        <v>261</v>
      </c>
      <c r="D1219" s="128" t="s">
        <v>5423</v>
      </c>
      <c r="E1219" s="128" t="s">
        <v>888</v>
      </c>
      <c r="F1219" s="128">
        <v>2007</v>
      </c>
      <c r="G1219" s="128">
        <v>21</v>
      </c>
      <c r="H1219" s="128">
        <v>3</v>
      </c>
      <c r="I1219" s="128">
        <v>24</v>
      </c>
      <c r="J1219" s="128" t="s">
        <v>5411</v>
      </c>
      <c r="K1219" s="128">
        <v>10</v>
      </c>
      <c r="L1219" s="128" t="s">
        <v>5424</v>
      </c>
      <c r="M1219" s="128" t="s">
        <v>2266</v>
      </c>
      <c r="N1219" s="128" t="s">
        <v>5425</v>
      </c>
      <c r="O1219" s="128">
        <v>605</v>
      </c>
      <c r="P1219" s="128">
        <v>120</v>
      </c>
      <c r="Q1219" s="128">
        <v>100</v>
      </c>
      <c r="R1219" s="128">
        <v>245</v>
      </c>
      <c r="S1219" s="128">
        <v>75</v>
      </c>
      <c r="T1219" s="128">
        <v>70</v>
      </c>
      <c r="U1219" s="128">
        <v>610</v>
      </c>
      <c r="V1219" s="128" t="s">
        <v>1547</v>
      </c>
    </row>
    <row r="1220" spans="1:22" x14ac:dyDescent="0.35">
      <c r="A1220" s="118">
        <v>1219</v>
      </c>
      <c r="B1220" s="128" t="s">
        <v>167</v>
      </c>
      <c r="C1220" s="128" t="s">
        <v>261</v>
      </c>
      <c r="D1220" s="128" t="s">
        <v>5426</v>
      </c>
      <c r="E1220" s="128" t="s">
        <v>887</v>
      </c>
      <c r="F1220" s="128">
        <v>2007</v>
      </c>
      <c r="G1220" s="128">
        <v>41</v>
      </c>
      <c r="H1220" s="128">
        <v>4</v>
      </c>
      <c r="I1220" s="128">
        <v>45</v>
      </c>
      <c r="J1220" s="128" t="s">
        <v>5427</v>
      </c>
      <c r="K1220" s="128">
        <v>8</v>
      </c>
      <c r="L1220" s="128" t="s">
        <v>4034</v>
      </c>
      <c r="M1220" s="128" t="s">
        <v>4439</v>
      </c>
      <c r="N1220" s="128" t="s">
        <v>5428</v>
      </c>
      <c r="O1220" s="128">
        <v>600</v>
      </c>
      <c r="P1220" s="128">
        <v>115</v>
      </c>
      <c r="Q1220" s="128">
        <v>105</v>
      </c>
      <c r="R1220" s="128">
        <v>245</v>
      </c>
      <c r="S1220" s="128">
        <v>70</v>
      </c>
      <c r="T1220" s="128">
        <v>70</v>
      </c>
      <c r="U1220" s="128">
        <v>605</v>
      </c>
      <c r="V1220" s="128" t="s">
        <v>1547</v>
      </c>
    </row>
    <row r="1221" spans="1:22" x14ac:dyDescent="0.35">
      <c r="A1221" s="118">
        <v>1220</v>
      </c>
      <c r="B1221" s="128" t="s">
        <v>167</v>
      </c>
      <c r="C1221" s="128" t="s">
        <v>261</v>
      </c>
      <c r="D1221" s="128" t="s">
        <v>5429</v>
      </c>
      <c r="E1221" s="128" t="s">
        <v>886</v>
      </c>
      <c r="F1221" s="128">
        <v>2007</v>
      </c>
      <c r="G1221" s="128">
        <v>45</v>
      </c>
      <c r="H1221" s="128">
        <v>5</v>
      </c>
      <c r="I1221" s="128">
        <v>50</v>
      </c>
      <c r="J1221" s="128" t="s">
        <v>5411</v>
      </c>
      <c r="K1221" s="128">
        <v>16</v>
      </c>
      <c r="L1221" s="128" t="s">
        <v>5430</v>
      </c>
      <c r="M1221" s="128" t="s">
        <v>1650</v>
      </c>
      <c r="N1221" s="128" t="s">
        <v>5431</v>
      </c>
      <c r="O1221" s="128">
        <v>590</v>
      </c>
      <c r="P1221" s="128">
        <v>115</v>
      </c>
      <c r="Q1221" s="128">
        <v>105</v>
      </c>
      <c r="R1221" s="128">
        <v>230</v>
      </c>
      <c r="S1221" s="128">
        <v>75</v>
      </c>
      <c r="T1221" s="128">
        <v>70</v>
      </c>
      <c r="U1221" s="128">
        <v>595</v>
      </c>
      <c r="V1221" s="128" t="s">
        <v>1547</v>
      </c>
    </row>
    <row r="1222" spans="1:22" x14ac:dyDescent="0.35">
      <c r="A1222" s="118">
        <v>1221</v>
      </c>
      <c r="B1222" s="128" t="s">
        <v>167</v>
      </c>
      <c r="C1222" s="128" t="s">
        <v>261</v>
      </c>
      <c r="D1222" s="128" t="s">
        <v>5432</v>
      </c>
      <c r="E1222" s="128" t="s">
        <v>885</v>
      </c>
      <c r="F1222" s="128">
        <v>1980</v>
      </c>
      <c r="G1222" s="128">
        <v>47</v>
      </c>
      <c r="H1222" s="128">
        <v>14</v>
      </c>
      <c r="I1222" s="128">
        <v>61</v>
      </c>
      <c r="J1222" s="128" t="s">
        <v>5427</v>
      </c>
      <c r="K1222" s="128">
        <v>18</v>
      </c>
      <c r="L1222" s="128" t="s">
        <v>5433</v>
      </c>
      <c r="M1222" s="128" t="s">
        <v>4593</v>
      </c>
      <c r="N1222" s="128" t="s">
        <v>5289</v>
      </c>
      <c r="O1222" s="128">
        <v>620</v>
      </c>
      <c r="P1222" s="128">
        <v>125</v>
      </c>
      <c r="Q1222" s="128">
        <v>105</v>
      </c>
      <c r="R1222" s="128">
        <v>245</v>
      </c>
      <c r="S1222" s="128">
        <v>75</v>
      </c>
      <c r="T1222" s="128">
        <v>75</v>
      </c>
      <c r="U1222" s="128">
        <v>625</v>
      </c>
      <c r="V1222" s="128" t="s">
        <v>1547</v>
      </c>
    </row>
    <row r="1223" spans="1:22" x14ac:dyDescent="0.35">
      <c r="A1223" s="118">
        <v>1222</v>
      </c>
      <c r="B1223" s="128" t="s">
        <v>167</v>
      </c>
      <c r="C1223" s="128" t="s">
        <v>261</v>
      </c>
      <c r="D1223" s="128" t="s">
        <v>2385</v>
      </c>
      <c r="E1223" s="128" t="s">
        <v>884</v>
      </c>
      <c r="F1223" s="128">
        <v>1980</v>
      </c>
      <c r="G1223" s="128">
        <v>51</v>
      </c>
      <c r="H1223" s="128">
        <v>15</v>
      </c>
      <c r="I1223" s="128">
        <v>66</v>
      </c>
      <c r="J1223" s="128" t="s">
        <v>5411</v>
      </c>
      <c r="K1223" s="128">
        <v>20</v>
      </c>
      <c r="L1223" s="128" t="s">
        <v>5434</v>
      </c>
      <c r="M1223" s="128" t="s">
        <v>1876</v>
      </c>
      <c r="N1223" s="128" t="s">
        <v>5435</v>
      </c>
      <c r="O1223" s="128">
        <v>650</v>
      </c>
      <c r="P1223" s="128">
        <v>130</v>
      </c>
      <c r="Q1223" s="128">
        <v>105</v>
      </c>
      <c r="R1223" s="128">
        <v>270</v>
      </c>
      <c r="S1223" s="128">
        <v>75</v>
      </c>
      <c r="T1223" s="128">
        <v>75</v>
      </c>
      <c r="U1223" s="128">
        <v>655</v>
      </c>
      <c r="V1223" s="128" t="s">
        <v>1547</v>
      </c>
    </row>
    <row r="1224" spans="1:22" x14ac:dyDescent="0.35">
      <c r="A1224" s="118">
        <v>1223</v>
      </c>
      <c r="B1224" s="128" t="s">
        <v>167</v>
      </c>
      <c r="C1224" s="128" t="s">
        <v>261</v>
      </c>
      <c r="D1224" s="128" t="s">
        <v>1725</v>
      </c>
      <c r="E1224" s="128" t="s">
        <v>883</v>
      </c>
      <c r="F1224" s="128">
        <v>2007</v>
      </c>
      <c r="G1224" s="128">
        <v>40</v>
      </c>
      <c r="H1224" s="128">
        <v>10</v>
      </c>
      <c r="I1224" s="128">
        <v>50</v>
      </c>
      <c r="J1224" s="128" t="s">
        <v>5411</v>
      </c>
      <c r="K1224" s="128">
        <v>16</v>
      </c>
      <c r="L1224" s="128" t="s">
        <v>5436</v>
      </c>
      <c r="M1224" s="128" t="s">
        <v>2046</v>
      </c>
      <c r="N1224" s="128" t="s">
        <v>5437</v>
      </c>
      <c r="O1224" s="128">
        <v>640</v>
      </c>
      <c r="P1224" s="128">
        <v>125</v>
      </c>
      <c r="Q1224" s="128">
        <v>105</v>
      </c>
      <c r="R1224" s="128">
        <v>265</v>
      </c>
      <c r="S1224" s="128">
        <v>75</v>
      </c>
      <c r="T1224" s="128">
        <v>75</v>
      </c>
      <c r="U1224" s="128">
        <v>645</v>
      </c>
      <c r="V1224" s="128" t="s">
        <v>1547</v>
      </c>
    </row>
    <row r="1225" spans="1:22" x14ac:dyDescent="0.35">
      <c r="A1225" s="118">
        <v>1224</v>
      </c>
      <c r="B1225" s="128" t="s">
        <v>167</v>
      </c>
      <c r="C1225" s="128" t="s">
        <v>265</v>
      </c>
      <c r="D1225" s="128" t="s">
        <v>5438</v>
      </c>
      <c r="E1225" s="128" t="s">
        <v>909</v>
      </c>
      <c r="F1225" s="128">
        <v>1998</v>
      </c>
      <c r="G1225" s="128">
        <v>33</v>
      </c>
      <c r="H1225" s="128">
        <v>2</v>
      </c>
      <c r="I1225" s="128">
        <v>35</v>
      </c>
      <c r="J1225" s="128" t="s">
        <v>5266</v>
      </c>
      <c r="K1225" s="128">
        <v>11.85</v>
      </c>
      <c r="L1225" s="128" t="s">
        <v>5439</v>
      </c>
      <c r="M1225" s="128" t="s">
        <v>5440</v>
      </c>
      <c r="N1225" s="128" t="s">
        <v>5317</v>
      </c>
      <c r="O1225" s="128">
        <v>740</v>
      </c>
      <c r="P1225" s="128">
        <v>140</v>
      </c>
      <c r="Q1225" s="128">
        <v>120</v>
      </c>
      <c r="R1225" s="128">
        <v>310</v>
      </c>
      <c r="S1225" s="128">
        <v>85</v>
      </c>
      <c r="T1225" s="128">
        <v>90</v>
      </c>
      <c r="U1225" s="128">
        <v>745</v>
      </c>
      <c r="V1225" s="128" t="s">
        <v>2702</v>
      </c>
    </row>
    <row r="1226" spans="1:22" x14ac:dyDescent="0.35">
      <c r="A1226" s="118">
        <v>1225</v>
      </c>
      <c r="B1226" s="128" t="s">
        <v>167</v>
      </c>
      <c r="C1226" s="128" t="s">
        <v>265</v>
      </c>
      <c r="D1226" s="128" t="s">
        <v>5441</v>
      </c>
      <c r="E1226" s="128" t="s">
        <v>709</v>
      </c>
      <c r="F1226" s="128">
        <v>1998</v>
      </c>
      <c r="G1226" s="128">
        <v>36</v>
      </c>
      <c r="H1226" s="128">
        <v>4</v>
      </c>
      <c r="I1226" s="128">
        <v>40</v>
      </c>
      <c r="J1226" s="128" t="s">
        <v>5266</v>
      </c>
      <c r="K1226" s="128">
        <v>23.8</v>
      </c>
      <c r="L1226" s="128" t="s">
        <v>5442</v>
      </c>
      <c r="M1226" s="128" t="s">
        <v>5443</v>
      </c>
      <c r="N1226" s="128" t="s">
        <v>3053</v>
      </c>
      <c r="O1226" s="128">
        <v>725</v>
      </c>
      <c r="P1226" s="128">
        <v>137</v>
      </c>
      <c r="Q1226" s="128">
        <v>123</v>
      </c>
      <c r="R1226" s="128">
        <v>300</v>
      </c>
      <c r="S1226" s="128">
        <v>85</v>
      </c>
      <c r="T1226" s="128">
        <v>85</v>
      </c>
      <c r="U1226" s="128">
        <v>730</v>
      </c>
      <c r="V1226" s="128" t="s">
        <v>2702</v>
      </c>
    </row>
    <row r="1227" spans="1:22" x14ac:dyDescent="0.35">
      <c r="A1227" s="118">
        <v>1226</v>
      </c>
      <c r="B1227" s="128" t="s">
        <v>167</v>
      </c>
      <c r="C1227" s="128" t="s">
        <v>265</v>
      </c>
      <c r="D1227" s="128" t="s">
        <v>5438</v>
      </c>
      <c r="E1227" s="128" t="s">
        <v>908</v>
      </c>
      <c r="F1227" s="128">
        <v>1998</v>
      </c>
      <c r="G1227" s="128">
        <v>26</v>
      </c>
      <c r="H1227" s="128">
        <v>3</v>
      </c>
      <c r="I1227" s="128">
        <v>29</v>
      </c>
      <c r="J1227" s="128" t="s">
        <v>5266</v>
      </c>
      <c r="K1227" s="128">
        <v>13.03</v>
      </c>
      <c r="L1227" s="128" t="s">
        <v>5444</v>
      </c>
      <c r="M1227" s="128" t="s">
        <v>5445</v>
      </c>
      <c r="N1227" s="128" t="s">
        <v>5446</v>
      </c>
      <c r="O1227" s="128">
        <v>605</v>
      </c>
      <c r="P1227" s="128">
        <v>115</v>
      </c>
      <c r="Q1227" s="128">
        <v>105</v>
      </c>
      <c r="R1227" s="128">
        <v>245</v>
      </c>
      <c r="S1227" s="128">
        <v>70</v>
      </c>
      <c r="T1227" s="128">
        <v>75</v>
      </c>
      <c r="U1227" s="128">
        <v>610</v>
      </c>
      <c r="V1227" s="128" t="s">
        <v>1547</v>
      </c>
    </row>
    <row r="1228" spans="1:22" x14ac:dyDescent="0.35">
      <c r="A1228" s="118">
        <v>1227</v>
      </c>
      <c r="B1228" s="128" t="s">
        <v>167</v>
      </c>
      <c r="C1228" s="128" t="s">
        <v>265</v>
      </c>
      <c r="D1228" s="128" t="s">
        <v>5441</v>
      </c>
      <c r="E1228" s="128" t="s">
        <v>5</v>
      </c>
      <c r="F1228" s="128">
        <v>2006</v>
      </c>
      <c r="G1228" s="128">
        <v>0</v>
      </c>
      <c r="H1228" s="128">
        <v>0</v>
      </c>
      <c r="I1228" s="128">
        <v>0</v>
      </c>
      <c r="J1228" s="128" t="s">
        <v>5292</v>
      </c>
      <c r="K1228" s="128">
        <v>0</v>
      </c>
      <c r="L1228" s="128" t="s">
        <v>4461</v>
      </c>
      <c r="M1228" s="128" t="s">
        <v>5447</v>
      </c>
      <c r="N1228" s="128" t="s">
        <v>5448</v>
      </c>
      <c r="O1228" s="128">
        <v>410</v>
      </c>
      <c r="P1228" s="128">
        <v>95</v>
      </c>
      <c r="Q1228" s="128">
        <v>75</v>
      </c>
      <c r="R1228" s="128">
        <v>165</v>
      </c>
      <c r="S1228" s="128">
        <v>35</v>
      </c>
      <c r="T1228" s="128">
        <v>45</v>
      </c>
      <c r="U1228" s="128">
        <v>415</v>
      </c>
      <c r="V1228" s="128" t="s">
        <v>2643</v>
      </c>
    </row>
    <row r="1229" spans="1:22" x14ac:dyDescent="0.35">
      <c r="A1229" s="118">
        <v>1228</v>
      </c>
      <c r="B1229" s="128" t="s">
        <v>167</v>
      </c>
      <c r="C1229" s="128" t="s">
        <v>265</v>
      </c>
      <c r="D1229" s="128" t="s">
        <v>5441</v>
      </c>
      <c r="E1229" s="128" t="s">
        <v>915</v>
      </c>
      <c r="F1229" s="128">
        <v>2014</v>
      </c>
      <c r="G1229" s="128">
        <v>0</v>
      </c>
      <c r="H1229" s="128">
        <v>30</v>
      </c>
      <c r="I1229" s="128">
        <v>30</v>
      </c>
      <c r="J1229" s="128" t="s">
        <v>5292</v>
      </c>
      <c r="K1229" s="128">
        <v>0</v>
      </c>
      <c r="L1229" s="128" t="s">
        <v>5449</v>
      </c>
      <c r="M1229" s="128" t="s">
        <v>5450</v>
      </c>
      <c r="N1229" s="128" t="s">
        <v>5451</v>
      </c>
      <c r="O1229" s="128">
        <v>425</v>
      </c>
      <c r="P1229" s="128">
        <v>95</v>
      </c>
      <c r="Q1229" s="128">
        <v>75</v>
      </c>
      <c r="R1229" s="128">
        <v>180</v>
      </c>
      <c r="S1229" s="128">
        <v>35</v>
      </c>
      <c r="T1229" s="128">
        <v>45</v>
      </c>
      <c r="U1229" s="128">
        <v>430</v>
      </c>
      <c r="V1229" s="128" t="s">
        <v>2643</v>
      </c>
    </row>
    <row r="1230" spans="1:22" x14ac:dyDescent="0.35">
      <c r="A1230" s="118">
        <v>1229</v>
      </c>
      <c r="B1230" s="128" t="s">
        <v>167</v>
      </c>
      <c r="C1230" s="128" t="s">
        <v>864</v>
      </c>
      <c r="D1230" s="128" t="s">
        <v>5452</v>
      </c>
      <c r="E1230" s="128" t="s">
        <v>5453</v>
      </c>
      <c r="F1230" s="128">
        <v>1975</v>
      </c>
      <c r="G1230" s="128">
        <v>83</v>
      </c>
      <c r="H1230" s="128">
        <v>13</v>
      </c>
      <c r="I1230" s="128">
        <v>96</v>
      </c>
      <c r="J1230" s="128" t="s">
        <v>3879</v>
      </c>
      <c r="K1230" s="128">
        <v>10</v>
      </c>
      <c r="L1230" s="128" t="s">
        <v>5454</v>
      </c>
      <c r="M1230" s="128" t="s">
        <v>3899</v>
      </c>
      <c r="N1230" s="128" t="s">
        <v>5455</v>
      </c>
      <c r="O1230" s="128">
        <v>703</v>
      </c>
      <c r="P1230" s="128">
        <v>137</v>
      </c>
      <c r="Q1230" s="128">
        <v>117</v>
      </c>
      <c r="R1230" s="128">
        <v>295</v>
      </c>
      <c r="S1230" s="128">
        <v>81</v>
      </c>
      <c r="T1230" s="128">
        <v>80</v>
      </c>
      <c r="U1230" s="128">
        <v>710</v>
      </c>
      <c r="V1230" s="128" t="s">
        <v>2702</v>
      </c>
    </row>
    <row r="1231" spans="1:22" x14ac:dyDescent="0.35">
      <c r="A1231" s="118">
        <v>1230</v>
      </c>
      <c r="B1231" s="128" t="s">
        <v>167</v>
      </c>
      <c r="C1231" s="128" t="s">
        <v>864</v>
      </c>
      <c r="D1231" s="128" t="s">
        <v>5452</v>
      </c>
      <c r="E1231" s="128" t="s">
        <v>5456</v>
      </c>
      <c r="F1231" s="128">
        <v>1998</v>
      </c>
      <c r="G1231" s="128">
        <v>24</v>
      </c>
      <c r="H1231" s="128">
        <v>2</v>
      </c>
      <c r="I1231" s="128">
        <v>26</v>
      </c>
      <c r="J1231" s="128" t="s">
        <v>3879</v>
      </c>
      <c r="K1231" s="128">
        <v>9</v>
      </c>
      <c r="L1231" s="128" t="s">
        <v>5457</v>
      </c>
      <c r="M1231" s="128" t="s">
        <v>5458</v>
      </c>
      <c r="N1231" s="128" t="s">
        <v>1647</v>
      </c>
      <c r="O1231" s="128">
        <v>651</v>
      </c>
      <c r="P1231" s="128">
        <v>125</v>
      </c>
      <c r="Q1231" s="128">
        <v>108</v>
      </c>
      <c r="R1231" s="128">
        <v>271</v>
      </c>
      <c r="S1231" s="128">
        <v>75</v>
      </c>
      <c r="T1231" s="128">
        <v>80</v>
      </c>
      <c r="U1231" s="128">
        <v>659</v>
      </c>
      <c r="V1231" s="128" t="s">
        <v>1547</v>
      </c>
    </row>
    <row r="1232" spans="1:22" x14ac:dyDescent="0.35">
      <c r="A1232" s="118">
        <v>1231</v>
      </c>
      <c r="B1232" s="128" t="s">
        <v>167</v>
      </c>
      <c r="C1232" s="128" t="s">
        <v>857</v>
      </c>
      <c r="D1232" s="128" t="s">
        <v>5459</v>
      </c>
      <c r="E1232" s="128" t="s">
        <v>5460</v>
      </c>
      <c r="F1232" s="128">
        <v>1998</v>
      </c>
      <c r="G1232" s="128">
        <v>50</v>
      </c>
      <c r="H1232" s="128">
        <v>14</v>
      </c>
      <c r="I1232" s="128">
        <v>64</v>
      </c>
      <c r="J1232" s="128" t="s">
        <v>5461</v>
      </c>
      <c r="K1232" s="128">
        <v>4</v>
      </c>
      <c r="L1232" s="128" t="s">
        <v>5462</v>
      </c>
      <c r="M1232" s="128" t="s">
        <v>1573</v>
      </c>
      <c r="N1232" s="128" t="s">
        <v>2252</v>
      </c>
      <c r="O1232" s="128">
        <v>638</v>
      </c>
      <c r="P1232" s="128">
        <v>125</v>
      </c>
      <c r="Q1232" s="128">
        <v>110</v>
      </c>
      <c r="R1232" s="128">
        <v>269</v>
      </c>
      <c r="S1232" s="128">
        <v>77</v>
      </c>
      <c r="T1232" s="128">
        <v>60</v>
      </c>
      <c r="U1232" s="128">
        <v>641</v>
      </c>
      <c r="V1232" s="128" t="s">
        <v>1547</v>
      </c>
    </row>
    <row r="1233" spans="1:22" x14ac:dyDescent="0.35">
      <c r="A1233" s="118">
        <v>1232</v>
      </c>
      <c r="B1233" s="128" t="s">
        <v>167</v>
      </c>
      <c r="C1233" s="128" t="s">
        <v>857</v>
      </c>
      <c r="D1233" s="128" t="s">
        <v>5463</v>
      </c>
      <c r="E1233" s="128" t="s">
        <v>855</v>
      </c>
      <c r="F1233" s="128">
        <v>1998</v>
      </c>
      <c r="G1233" s="128">
        <v>23</v>
      </c>
      <c r="H1233" s="128">
        <v>6</v>
      </c>
      <c r="I1233" s="128">
        <v>29</v>
      </c>
      <c r="J1233" s="128" t="s">
        <v>5461</v>
      </c>
      <c r="K1233" s="128">
        <v>6</v>
      </c>
      <c r="L1233" s="128" t="s">
        <v>5464</v>
      </c>
      <c r="M1233" s="128" t="s">
        <v>1699</v>
      </c>
      <c r="N1233" s="128" t="s">
        <v>5465</v>
      </c>
      <c r="O1233" s="128">
        <v>714</v>
      </c>
      <c r="P1233" s="128">
        <v>138</v>
      </c>
      <c r="Q1233" s="128">
        <v>118</v>
      </c>
      <c r="R1233" s="128">
        <v>304</v>
      </c>
      <c r="S1233" s="128">
        <v>81</v>
      </c>
      <c r="T1233" s="128">
        <v>81</v>
      </c>
      <c r="U1233" s="128">
        <v>722</v>
      </c>
      <c r="V1233" s="128" t="s">
        <v>2702</v>
      </c>
    </row>
    <row r="1234" spans="1:22" x14ac:dyDescent="0.35">
      <c r="A1234" s="118">
        <v>1233</v>
      </c>
      <c r="B1234" s="128" t="s">
        <v>167</v>
      </c>
      <c r="C1234" s="128" t="s">
        <v>267</v>
      </c>
      <c r="D1234" s="128" t="s">
        <v>5466</v>
      </c>
      <c r="E1234" s="128" t="s">
        <v>927</v>
      </c>
      <c r="F1234" s="128">
        <v>1986</v>
      </c>
      <c r="G1234" s="128">
        <v>13</v>
      </c>
      <c r="H1234" s="128">
        <v>5</v>
      </c>
      <c r="I1234" s="128">
        <v>18</v>
      </c>
      <c r="J1234" s="128" t="s">
        <v>1509</v>
      </c>
      <c r="K1234" s="128">
        <v>1.52</v>
      </c>
      <c r="L1234" s="128" t="s">
        <v>5467</v>
      </c>
      <c r="M1234" s="128" t="s">
        <v>5468</v>
      </c>
      <c r="N1234" s="128" t="s">
        <v>5469</v>
      </c>
      <c r="O1234" s="128">
        <v>565</v>
      </c>
      <c r="P1234" s="128">
        <v>105</v>
      </c>
      <c r="Q1234" s="128">
        <v>96</v>
      </c>
      <c r="R1234" s="128">
        <v>224</v>
      </c>
      <c r="S1234" s="128">
        <v>75</v>
      </c>
      <c r="T1234" s="128">
        <v>70</v>
      </c>
      <c r="U1234" s="128">
        <v>570</v>
      </c>
      <c r="V1234" s="128" t="s">
        <v>1547</v>
      </c>
    </row>
    <row r="1235" spans="1:22" x14ac:dyDescent="0.35">
      <c r="A1235" s="118">
        <v>1234</v>
      </c>
      <c r="B1235" s="128" t="s">
        <v>167</v>
      </c>
      <c r="C1235" s="128" t="s">
        <v>267</v>
      </c>
      <c r="D1235" s="128" t="s">
        <v>2003</v>
      </c>
      <c r="E1235" s="128" t="s">
        <v>926</v>
      </c>
      <c r="F1235" s="128">
        <v>1986</v>
      </c>
      <c r="G1235" s="128">
        <v>22</v>
      </c>
      <c r="H1235" s="128">
        <v>3</v>
      </c>
      <c r="I1235" s="128">
        <v>25</v>
      </c>
      <c r="J1235" s="128" t="s">
        <v>1509</v>
      </c>
      <c r="K1235" s="128">
        <v>3.2</v>
      </c>
      <c r="L1235" s="128" t="s">
        <v>5470</v>
      </c>
      <c r="M1235" s="128" t="s">
        <v>1798</v>
      </c>
      <c r="N1235" s="128" t="s">
        <v>3103</v>
      </c>
      <c r="O1235" s="128">
        <v>575</v>
      </c>
      <c r="P1235" s="128">
        <v>105</v>
      </c>
      <c r="Q1235" s="128">
        <v>97</v>
      </c>
      <c r="R1235" s="128">
        <v>228</v>
      </c>
      <c r="S1235" s="128">
        <v>75</v>
      </c>
      <c r="T1235" s="128">
        <v>75</v>
      </c>
      <c r="U1235" s="128">
        <v>580</v>
      </c>
      <c r="V1235" s="128" t="s">
        <v>1547</v>
      </c>
    </row>
    <row r="1236" spans="1:22" x14ac:dyDescent="0.35">
      <c r="A1236" s="118">
        <v>1235</v>
      </c>
      <c r="B1236" s="128" t="s">
        <v>167</v>
      </c>
      <c r="C1236" s="128" t="s">
        <v>267</v>
      </c>
      <c r="D1236" s="128" t="s">
        <v>5471</v>
      </c>
      <c r="E1236" s="128" t="s">
        <v>925</v>
      </c>
      <c r="F1236" s="128">
        <v>1986</v>
      </c>
      <c r="G1236" s="128">
        <v>46</v>
      </c>
      <c r="H1236" s="128">
        <v>6</v>
      </c>
      <c r="I1236" s="128">
        <v>52</v>
      </c>
      <c r="J1236" s="128" t="s">
        <v>1509</v>
      </c>
      <c r="K1236" s="128">
        <v>13.31</v>
      </c>
      <c r="L1236" s="128" t="s">
        <v>5472</v>
      </c>
      <c r="M1236" s="128" t="s">
        <v>1643</v>
      </c>
      <c r="N1236" s="128" t="s">
        <v>5473</v>
      </c>
      <c r="O1236" s="128">
        <v>600</v>
      </c>
      <c r="P1236" s="128">
        <v>115</v>
      </c>
      <c r="Q1236" s="128">
        <v>102</v>
      </c>
      <c r="R1236" s="128">
        <v>241</v>
      </c>
      <c r="S1236" s="128">
        <v>75</v>
      </c>
      <c r="T1236" s="128">
        <v>75</v>
      </c>
      <c r="U1236" s="128">
        <v>608</v>
      </c>
      <c r="V1236" s="128" t="s">
        <v>1547</v>
      </c>
    </row>
    <row r="1237" spans="1:22" x14ac:dyDescent="0.35">
      <c r="A1237" s="118">
        <v>1236</v>
      </c>
      <c r="B1237" s="128" t="s">
        <v>167</v>
      </c>
      <c r="C1237" s="128" t="s">
        <v>267</v>
      </c>
      <c r="D1237" s="128" t="s">
        <v>5471</v>
      </c>
      <c r="E1237" s="128" t="s">
        <v>924</v>
      </c>
      <c r="F1237" s="128">
        <v>2016</v>
      </c>
      <c r="G1237" s="128">
        <v>0</v>
      </c>
      <c r="H1237" s="128">
        <v>20</v>
      </c>
      <c r="I1237" s="128">
        <v>20</v>
      </c>
      <c r="J1237" s="128" t="s">
        <v>5292</v>
      </c>
      <c r="K1237" s="128">
        <v>2</v>
      </c>
      <c r="L1237" s="128" t="s">
        <v>2159</v>
      </c>
      <c r="M1237" s="128" t="s">
        <v>5474</v>
      </c>
      <c r="N1237" s="128" t="s">
        <v>4772</v>
      </c>
      <c r="O1237" s="128">
        <v>310</v>
      </c>
      <c r="P1237" s="128">
        <v>75</v>
      </c>
      <c r="Q1237" s="128">
        <v>55</v>
      </c>
      <c r="R1237" s="128">
        <v>125</v>
      </c>
      <c r="S1237" s="128">
        <v>20</v>
      </c>
      <c r="T1237" s="128">
        <v>35</v>
      </c>
      <c r="U1237" s="128">
        <v>310</v>
      </c>
      <c r="V1237" s="128" t="s">
        <v>2643</v>
      </c>
    </row>
    <row r="1238" spans="1:22" x14ac:dyDescent="0.35">
      <c r="A1238" s="118">
        <v>1237</v>
      </c>
      <c r="B1238" s="128" t="s">
        <v>167</v>
      </c>
      <c r="C1238" s="128" t="s">
        <v>255</v>
      </c>
      <c r="D1238" s="128" t="s">
        <v>5475</v>
      </c>
      <c r="E1238" s="128" t="s">
        <v>835</v>
      </c>
      <c r="F1238" s="128">
        <v>1987</v>
      </c>
      <c r="G1238" s="128">
        <v>38</v>
      </c>
      <c r="H1238" s="128">
        <v>2</v>
      </c>
      <c r="I1238" s="128">
        <v>40</v>
      </c>
      <c r="J1238" s="128" t="s">
        <v>1509</v>
      </c>
      <c r="K1238" s="128">
        <v>5</v>
      </c>
      <c r="L1238" s="128" t="s">
        <v>5476</v>
      </c>
      <c r="M1238" s="128" t="s">
        <v>5477</v>
      </c>
      <c r="N1238" s="128" t="s">
        <v>5478</v>
      </c>
      <c r="O1238" s="128">
        <v>685</v>
      </c>
      <c r="P1238" s="128">
        <v>135</v>
      </c>
      <c r="Q1238" s="128">
        <v>115</v>
      </c>
      <c r="R1238" s="128">
        <v>280</v>
      </c>
      <c r="S1238" s="128">
        <v>80</v>
      </c>
      <c r="T1238" s="128">
        <v>80</v>
      </c>
      <c r="U1238" s="128">
        <v>690</v>
      </c>
      <c r="V1238" s="128" t="s">
        <v>1547</v>
      </c>
    </row>
    <row r="1239" spans="1:22" x14ac:dyDescent="0.35">
      <c r="A1239" s="118">
        <v>1238</v>
      </c>
      <c r="B1239" s="128" t="s">
        <v>167</v>
      </c>
      <c r="C1239" s="128" t="s">
        <v>255</v>
      </c>
      <c r="D1239" s="128" t="s">
        <v>1517</v>
      </c>
      <c r="E1239" s="128" t="s">
        <v>834</v>
      </c>
      <c r="F1239" s="128">
        <v>2003</v>
      </c>
      <c r="G1239" s="128">
        <v>17</v>
      </c>
      <c r="H1239" s="128">
        <v>0</v>
      </c>
      <c r="I1239" s="128">
        <v>17</v>
      </c>
      <c r="J1239" s="128" t="s">
        <v>1509</v>
      </c>
      <c r="K1239" s="128">
        <v>6</v>
      </c>
      <c r="L1239" s="128" t="s">
        <v>5479</v>
      </c>
      <c r="M1239" s="128" t="s">
        <v>5480</v>
      </c>
      <c r="N1239" s="128" t="s">
        <v>3901</v>
      </c>
      <c r="O1239" s="128">
        <v>525</v>
      </c>
      <c r="P1239" s="128">
        <v>110</v>
      </c>
      <c r="Q1239" s="128">
        <v>100</v>
      </c>
      <c r="R1239" s="128">
        <v>230</v>
      </c>
      <c r="S1239" s="128">
        <v>50</v>
      </c>
      <c r="T1239" s="128">
        <v>55</v>
      </c>
      <c r="U1239" s="128">
        <v>545</v>
      </c>
      <c r="V1239" s="128" t="s">
        <v>1547</v>
      </c>
    </row>
    <row r="1240" spans="1:22" x14ac:dyDescent="0.35">
      <c r="A1240" s="118">
        <v>1239</v>
      </c>
      <c r="B1240" s="128" t="s">
        <v>167</v>
      </c>
      <c r="C1240" s="128" t="s">
        <v>255</v>
      </c>
      <c r="D1240" s="128" t="s">
        <v>1779</v>
      </c>
      <c r="E1240" s="128" t="s">
        <v>833</v>
      </c>
      <c r="F1240" s="128">
        <v>2005</v>
      </c>
      <c r="G1240" s="128">
        <v>21</v>
      </c>
      <c r="H1240" s="128">
        <v>0</v>
      </c>
      <c r="I1240" s="128">
        <v>21</v>
      </c>
      <c r="J1240" s="128" t="s">
        <v>1509</v>
      </c>
      <c r="K1240" s="128">
        <v>6</v>
      </c>
      <c r="L1240" s="128" t="s">
        <v>5481</v>
      </c>
      <c r="M1240" s="128" t="s">
        <v>5482</v>
      </c>
      <c r="N1240" s="128" t="s">
        <v>5483</v>
      </c>
      <c r="O1240" s="128">
        <v>525</v>
      </c>
      <c r="P1240" s="128">
        <v>110</v>
      </c>
      <c r="Q1240" s="128">
        <v>95</v>
      </c>
      <c r="R1240" s="128">
        <v>225</v>
      </c>
      <c r="S1240" s="128">
        <v>45</v>
      </c>
      <c r="T1240" s="128">
        <v>60</v>
      </c>
      <c r="U1240" s="128">
        <v>535</v>
      </c>
      <c r="V1240" s="128" t="s">
        <v>1547</v>
      </c>
    </row>
    <row r="1241" spans="1:22" x14ac:dyDescent="0.35">
      <c r="A1241" s="118">
        <v>1240</v>
      </c>
      <c r="B1241" s="128" t="s">
        <v>167</v>
      </c>
      <c r="C1241" s="128" t="s">
        <v>255</v>
      </c>
      <c r="D1241" s="128" t="s">
        <v>5484</v>
      </c>
      <c r="E1241" s="128" t="s">
        <v>832</v>
      </c>
      <c r="F1241" s="128">
        <v>2005</v>
      </c>
      <c r="G1241" s="128">
        <v>34</v>
      </c>
      <c r="H1241" s="128">
        <v>0</v>
      </c>
      <c r="I1241" s="128">
        <v>34</v>
      </c>
      <c r="J1241" s="128" t="s">
        <v>5485</v>
      </c>
      <c r="K1241" s="128">
        <v>6</v>
      </c>
      <c r="L1241" s="128" t="s">
        <v>5486</v>
      </c>
      <c r="M1241" s="128" t="s">
        <v>5487</v>
      </c>
      <c r="N1241" s="128" t="s">
        <v>5488</v>
      </c>
      <c r="O1241" s="128">
        <v>530</v>
      </c>
      <c r="P1241" s="128">
        <v>110</v>
      </c>
      <c r="Q1241" s="128">
        <v>95</v>
      </c>
      <c r="R1241" s="128">
        <v>230</v>
      </c>
      <c r="S1241" s="128">
        <v>55</v>
      </c>
      <c r="T1241" s="128">
        <v>60</v>
      </c>
      <c r="U1241" s="128">
        <v>550</v>
      </c>
      <c r="V1241" s="128" t="s">
        <v>1547</v>
      </c>
    </row>
    <row r="1242" spans="1:22" x14ac:dyDescent="0.35">
      <c r="A1242" s="118">
        <v>1241</v>
      </c>
      <c r="B1242" s="128" t="s">
        <v>167</v>
      </c>
      <c r="C1242" s="128" t="s">
        <v>255</v>
      </c>
      <c r="D1242" s="128" t="s">
        <v>5475</v>
      </c>
      <c r="E1242" s="128" t="s">
        <v>920</v>
      </c>
      <c r="F1242" s="128">
        <v>2002</v>
      </c>
      <c r="G1242" s="128">
        <v>0</v>
      </c>
      <c r="H1242" s="128">
        <v>20</v>
      </c>
      <c r="I1242" s="128">
        <v>20</v>
      </c>
      <c r="J1242" s="128" t="s">
        <v>5489</v>
      </c>
      <c r="K1242" s="128">
        <v>2.2000000000000002</v>
      </c>
      <c r="L1242" s="128" t="s">
        <v>5490</v>
      </c>
      <c r="M1242" s="128" t="s">
        <v>5491</v>
      </c>
      <c r="N1242" s="128" t="s">
        <v>5492</v>
      </c>
      <c r="O1242" s="128">
        <v>480</v>
      </c>
      <c r="P1242" s="128">
        <v>106</v>
      </c>
      <c r="Q1242" s="128">
        <v>91</v>
      </c>
      <c r="R1242" s="128">
        <v>209</v>
      </c>
      <c r="S1242" s="128">
        <v>42</v>
      </c>
      <c r="T1242" s="128">
        <v>52</v>
      </c>
      <c r="U1242" s="128">
        <v>500</v>
      </c>
      <c r="V1242" s="128" t="s">
        <v>1547</v>
      </c>
    </row>
    <row r="1243" spans="1:22" x14ac:dyDescent="0.35">
      <c r="A1243" s="118">
        <v>1242</v>
      </c>
      <c r="B1243" s="128" t="s">
        <v>167</v>
      </c>
      <c r="C1243" s="128" t="s">
        <v>256</v>
      </c>
      <c r="D1243" s="128" t="s">
        <v>1517</v>
      </c>
      <c r="E1243" s="128" t="s">
        <v>847</v>
      </c>
      <c r="F1243" s="128">
        <v>1987</v>
      </c>
      <c r="G1243" s="128">
        <v>160</v>
      </c>
      <c r="H1243" s="128">
        <v>16</v>
      </c>
      <c r="I1243" s="128">
        <v>176</v>
      </c>
      <c r="J1243" s="128" t="s">
        <v>1509</v>
      </c>
      <c r="K1243" s="128">
        <v>22.2</v>
      </c>
      <c r="L1243" s="128" t="s">
        <v>5493</v>
      </c>
      <c r="M1243" s="128" t="s">
        <v>5494</v>
      </c>
      <c r="N1243" s="128" t="s">
        <v>5339</v>
      </c>
      <c r="O1243" s="128">
        <v>755</v>
      </c>
      <c r="P1243" s="128">
        <v>150</v>
      </c>
      <c r="Q1243" s="128">
        <v>125</v>
      </c>
      <c r="R1243" s="128">
        <v>305</v>
      </c>
      <c r="S1243" s="128">
        <v>85</v>
      </c>
      <c r="T1243" s="128">
        <v>95</v>
      </c>
      <c r="U1243" s="128">
        <v>760</v>
      </c>
      <c r="V1243" s="128" t="s">
        <v>2702</v>
      </c>
    </row>
    <row r="1244" spans="1:22" x14ac:dyDescent="0.35">
      <c r="A1244" s="118">
        <v>1243</v>
      </c>
      <c r="B1244" s="128" t="s">
        <v>167</v>
      </c>
      <c r="C1244" s="128" t="s">
        <v>256</v>
      </c>
      <c r="D1244" s="128" t="s">
        <v>5495</v>
      </c>
      <c r="E1244" s="128" t="s">
        <v>846</v>
      </c>
      <c r="F1244" s="128">
        <v>1983</v>
      </c>
      <c r="G1244" s="128">
        <v>61</v>
      </c>
      <c r="H1244" s="128">
        <v>6</v>
      </c>
      <c r="I1244" s="128">
        <v>67</v>
      </c>
      <c r="J1244" s="128" t="s">
        <v>1509</v>
      </c>
      <c r="K1244" s="128">
        <v>19.3</v>
      </c>
      <c r="L1244" s="128" t="s">
        <v>5496</v>
      </c>
      <c r="M1244" s="128" t="s">
        <v>5497</v>
      </c>
      <c r="N1244" s="128" t="s">
        <v>5343</v>
      </c>
      <c r="O1244" s="128">
        <v>680</v>
      </c>
      <c r="P1244" s="128">
        <v>135</v>
      </c>
      <c r="Q1244" s="128">
        <v>110</v>
      </c>
      <c r="R1244" s="128">
        <v>280</v>
      </c>
      <c r="S1244" s="128">
        <v>80</v>
      </c>
      <c r="T1244" s="128">
        <v>80</v>
      </c>
      <c r="U1244" s="128">
        <v>685</v>
      </c>
      <c r="V1244" s="128" t="s">
        <v>1547</v>
      </c>
    </row>
    <row r="1245" spans="1:22" x14ac:dyDescent="0.35">
      <c r="A1245" s="118">
        <v>1244</v>
      </c>
      <c r="B1245" s="128" t="s">
        <v>167</v>
      </c>
      <c r="C1245" s="128" t="s">
        <v>256</v>
      </c>
      <c r="D1245" s="128" t="s">
        <v>5498</v>
      </c>
      <c r="E1245" s="128" t="s">
        <v>845</v>
      </c>
      <c r="F1245" s="128">
        <v>1989</v>
      </c>
      <c r="G1245" s="128">
        <v>41</v>
      </c>
      <c r="H1245" s="128">
        <v>2</v>
      </c>
      <c r="I1245" s="128">
        <v>43</v>
      </c>
      <c r="J1245" s="128" t="s">
        <v>1509</v>
      </c>
      <c r="K1245" s="128">
        <v>14.6</v>
      </c>
      <c r="L1245" s="128" t="s">
        <v>5499</v>
      </c>
      <c r="M1245" s="128" t="s">
        <v>5500</v>
      </c>
      <c r="N1245" s="128" t="s">
        <v>5345</v>
      </c>
      <c r="O1245" s="128">
        <v>695</v>
      </c>
      <c r="P1245" s="128">
        <v>135</v>
      </c>
      <c r="Q1245" s="128">
        <v>115</v>
      </c>
      <c r="R1245" s="128">
        <v>290</v>
      </c>
      <c r="S1245" s="128">
        <v>80</v>
      </c>
      <c r="T1245" s="128">
        <v>80</v>
      </c>
      <c r="U1245" s="128">
        <v>700</v>
      </c>
      <c r="V1245" s="128" t="s">
        <v>1547</v>
      </c>
    </row>
    <row r="1246" spans="1:22" x14ac:dyDescent="0.35">
      <c r="A1246" s="118">
        <v>1245</v>
      </c>
      <c r="B1246" s="128" t="s">
        <v>167</v>
      </c>
      <c r="C1246" s="128" t="s">
        <v>259</v>
      </c>
      <c r="D1246" s="128" t="s">
        <v>1553</v>
      </c>
      <c r="E1246" s="128" t="s">
        <v>870</v>
      </c>
      <c r="F1246" s="128">
        <v>1987</v>
      </c>
      <c r="G1246" s="128">
        <v>57</v>
      </c>
      <c r="H1246" s="128">
        <v>6</v>
      </c>
      <c r="I1246" s="128">
        <v>63</v>
      </c>
      <c r="J1246" s="128" t="s">
        <v>1509</v>
      </c>
      <c r="K1246" s="128">
        <v>17.5</v>
      </c>
      <c r="L1246" s="128" t="s">
        <v>5501</v>
      </c>
      <c r="M1246" s="128" t="s">
        <v>1611</v>
      </c>
      <c r="N1246" s="128" t="s">
        <v>5502</v>
      </c>
      <c r="O1246" s="128">
        <v>750</v>
      </c>
      <c r="P1246" s="128">
        <v>145</v>
      </c>
      <c r="Q1246" s="128">
        <v>125</v>
      </c>
      <c r="R1246" s="128">
        <v>310</v>
      </c>
      <c r="S1246" s="128">
        <v>85</v>
      </c>
      <c r="T1246" s="128">
        <v>90</v>
      </c>
      <c r="U1246" s="128">
        <v>755</v>
      </c>
      <c r="V1246" s="128" t="s">
        <v>2702</v>
      </c>
    </row>
    <row r="1247" spans="1:22" x14ac:dyDescent="0.35">
      <c r="A1247" s="118">
        <v>1246</v>
      </c>
      <c r="B1247" s="128" t="s">
        <v>167</v>
      </c>
      <c r="C1247" s="128" t="s">
        <v>259</v>
      </c>
      <c r="D1247" s="128" t="s">
        <v>1517</v>
      </c>
      <c r="E1247" s="128" t="s">
        <v>869</v>
      </c>
      <c r="F1247" s="128">
        <v>1987</v>
      </c>
      <c r="G1247" s="128">
        <v>52</v>
      </c>
      <c r="H1247" s="128">
        <v>11</v>
      </c>
      <c r="I1247" s="128">
        <v>63</v>
      </c>
      <c r="J1247" s="128" t="s">
        <v>1509</v>
      </c>
      <c r="K1247" s="128">
        <v>13.3</v>
      </c>
      <c r="L1247" s="128" t="s">
        <v>5503</v>
      </c>
      <c r="M1247" s="128" t="s">
        <v>4756</v>
      </c>
      <c r="N1247" s="128" t="s">
        <v>5075</v>
      </c>
      <c r="O1247" s="128">
        <v>580</v>
      </c>
      <c r="P1247" s="128">
        <v>115</v>
      </c>
      <c r="Q1247" s="128">
        <v>100</v>
      </c>
      <c r="R1247" s="128">
        <v>235</v>
      </c>
      <c r="S1247" s="128">
        <v>65</v>
      </c>
      <c r="T1247" s="128">
        <v>70</v>
      </c>
      <c r="U1247" s="128">
        <v>585</v>
      </c>
      <c r="V1247" s="128" t="s">
        <v>1547</v>
      </c>
    </row>
    <row r="1248" spans="1:22" x14ac:dyDescent="0.35">
      <c r="A1248" s="118">
        <v>1247</v>
      </c>
      <c r="B1248" s="128" t="s">
        <v>167</v>
      </c>
      <c r="C1248" s="128" t="s">
        <v>259</v>
      </c>
      <c r="D1248" s="128" t="s">
        <v>5504</v>
      </c>
      <c r="E1248" s="128" t="s">
        <v>868</v>
      </c>
      <c r="F1248" s="128">
        <v>1987</v>
      </c>
      <c r="G1248" s="128">
        <v>67</v>
      </c>
      <c r="H1248" s="128">
        <v>13</v>
      </c>
      <c r="I1248" s="128">
        <v>80</v>
      </c>
      <c r="J1248" s="128" t="s">
        <v>1509</v>
      </c>
      <c r="K1248" s="128">
        <v>15.2</v>
      </c>
      <c r="L1248" s="128" t="s">
        <v>1536</v>
      </c>
      <c r="M1248" s="128" t="s">
        <v>5505</v>
      </c>
      <c r="N1248" s="128" t="s">
        <v>5506</v>
      </c>
      <c r="O1248" s="128">
        <v>530</v>
      </c>
      <c r="P1248" s="128">
        <v>115</v>
      </c>
      <c r="Q1248" s="128">
        <v>95</v>
      </c>
      <c r="R1248" s="128">
        <v>215</v>
      </c>
      <c r="S1248" s="128">
        <v>50</v>
      </c>
      <c r="T1248" s="128">
        <v>60</v>
      </c>
      <c r="U1248" s="128">
        <v>535</v>
      </c>
      <c r="V1248" s="128" t="s">
        <v>1547</v>
      </c>
    </row>
    <row r="1249" spans="1:22" x14ac:dyDescent="0.35">
      <c r="A1249" s="118">
        <v>1248</v>
      </c>
      <c r="B1249" s="128" t="s">
        <v>167</v>
      </c>
      <c r="C1249" s="128" t="s">
        <v>259</v>
      </c>
      <c r="D1249" s="128" t="s">
        <v>5504</v>
      </c>
      <c r="E1249" s="128" t="s">
        <v>867</v>
      </c>
      <c r="F1249" s="128">
        <v>2013</v>
      </c>
      <c r="G1249" s="128">
        <v>0</v>
      </c>
      <c r="H1249" s="128">
        <v>20</v>
      </c>
      <c r="I1249" s="128">
        <v>20</v>
      </c>
      <c r="J1249" s="128" t="s">
        <v>1509</v>
      </c>
      <c r="K1249" s="128">
        <v>0.5</v>
      </c>
      <c r="L1249" s="128" t="s">
        <v>5507</v>
      </c>
      <c r="M1249" s="128" t="s">
        <v>5508</v>
      </c>
      <c r="N1249" s="128" t="s">
        <v>5509</v>
      </c>
      <c r="O1249" s="128">
        <v>315</v>
      </c>
      <c r="P1249" s="128">
        <v>75</v>
      </c>
      <c r="Q1249" s="128">
        <v>55</v>
      </c>
      <c r="R1249" s="128">
        <v>115</v>
      </c>
      <c r="S1249" s="128">
        <v>30</v>
      </c>
      <c r="T1249" s="128">
        <v>40</v>
      </c>
      <c r="U1249" s="128">
        <v>315</v>
      </c>
      <c r="V1249" s="128" t="s">
        <v>2643</v>
      </c>
    </row>
    <row r="1250" spans="1:22" x14ac:dyDescent="0.35">
      <c r="A1250" s="118">
        <v>1249</v>
      </c>
      <c r="B1250" s="128" t="s">
        <v>167</v>
      </c>
      <c r="C1250" s="128" t="s">
        <v>257</v>
      </c>
      <c r="D1250" s="128" t="s">
        <v>5511</v>
      </c>
      <c r="E1250" s="128" t="s">
        <v>849</v>
      </c>
      <c r="F1250" s="128">
        <v>2021</v>
      </c>
      <c r="G1250" s="128">
        <v>61</v>
      </c>
      <c r="H1250" s="128">
        <v>4</v>
      </c>
      <c r="I1250" s="128">
        <v>65</v>
      </c>
      <c r="J1250" s="128" t="s">
        <v>1509</v>
      </c>
      <c r="K1250" s="128">
        <v>11.4</v>
      </c>
      <c r="L1250" s="128" t="s">
        <v>5512</v>
      </c>
      <c r="M1250" s="128" t="s">
        <v>5513</v>
      </c>
      <c r="N1250" s="128" t="s">
        <v>5514</v>
      </c>
      <c r="O1250" s="128">
        <v>250</v>
      </c>
      <c r="P1250" s="128">
        <v>70</v>
      </c>
      <c r="Q1250" s="128">
        <v>56</v>
      </c>
      <c r="R1250" s="128">
        <v>117</v>
      </c>
      <c r="S1250" s="128">
        <v>18</v>
      </c>
      <c r="T1250" s="128">
        <v>31</v>
      </c>
      <c r="U1250" s="128">
        <v>292</v>
      </c>
      <c r="V1250" s="128" t="s">
        <v>2643</v>
      </c>
    </row>
    <row r="1251" spans="1:22" x14ac:dyDescent="0.35">
      <c r="A1251" s="118">
        <v>1250</v>
      </c>
      <c r="B1251" s="128" t="s">
        <v>167</v>
      </c>
      <c r="C1251" s="128" t="s">
        <v>257</v>
      </c>
      <c r="D1251" s="128" t="s">
        <v>2329</v>
      </c>
      <c r="E1251" s="128" t="s">
        <v>5515</v>
      </c>
      <c r="F1251" s="128">
        <v>1986</v>
      </c>
      <c r="G1251" s="128">
        <v>69</v>
      </c>
      <c r="H1251" s="128">
        <v>6</v>
      </c>
      <c r="I1251" s="128">
        <v>75</v>
      </c>
      <c r="J1251" s="128" t="s">
        <v>1509</v>
      </c>
      <c r="K1251" s="128">
        <v>11.42</v>
      </c>
      <c r="L1251" s="128" t="s">
        <v>5516</v>
      </c>
      <c r="M1251" s="128" t="s">
        <v>1649</v>
      </c>
      <c r="N1251" s="128" t="s">
        <v>4510</v>
      </c>
      <c r="O1251" s="128">
        <v>620</v>
      </c>
      <c r="P1251" s="128">
        <v>120</v>
      </c>
      <c r="Q1251" s="128">
        <v>102</v>
      </c>
      <c r="R1251" s="128">
        <v>255</v>
      </c>
      <c r="S1251" s="128">
        <v>70</v>
      </c>
      <c r="T1251" s="128">
        <v>75</v>
      </c>
      <c r="U1251" s="128">
        <v>622</v>
      </c>
      <c r="V1251" s="128" t="s">
        <v>1547</v>
      </c>
    </row>
    <row r="1252" spans="1:22" x14ac:dyDescent="0.35">
      <c r="A1252" s="118">
        <v>1251</v>
      </c>
      <c r="B1252" s="128" t="s">
        <v>167</v>
      </c>
      <c r="C1252" s="128" t="s">
        <v>257</v>
      </c>
      <c r="D1252" s="128" t="s">
        <v>1595</v>
      </c>
      <c r="E1252" s="128" t="s">
        <v>5517</v>
      </c>
      <c r="F1252" s="128">
        <v>1986</v>
      </c>
      <c r="G1252" s="128">
        <v>51</v>
      </c>
      <c r="H1252" s="128">
        <v>3</v>
      </c>
      <c r="I1252" s="128">
        <v>54</v>
      </c>
      <c r="J1252" s="128" t="s">
        <v>1509</v>
      </c>
      <c r="K1252" s="128">
        <v>9.9</v>
      </c>
      <c r="L1252" s="128" t="s">
        <v>5518</v>
      </c>
      <c r="M1252" s="128" t="s">
        <v>1843</v>
      </c>
      <c r="N1252" s="128" t="s">
        <v>5519</v>
      </c>
      <c r="O1252" s="128">
        <v>590</v>
      </c>
      <c r="P1252" s="128">
        <v>115</v>
      </c>
      <c r="Q1252" s="128">
        <v>100</v>
      </c>
      <c r="R1252" s="128">
        <v>242</v>
      </c>
      <c r="S1252" s="128">
        <v>70</v>
      </c>
      <c r="T1252" s="128">
        <v>70</v>
      </c>
      <c r="U1252" s="128">
        <v>597</v>
      </c>
      <c r="V1252" s="128" t="s">
        <v>1547</v>
      </c>
    </row>
    <row r="1253" spans="1:22" x14ac:dyDescent="0.35">
      <c r="A1253" s="118">
        <v>1252</v>
      </c>
      <c r="B1253" s="128" t="s">
        <v>167</v>
      </c>
      <c r="C1253" s="128" t="s">
        <v>257</v>
      </c>
      <c r="D1253" s="128" t="s">
        <v>2338</v>
      </c>
      <c r="E1253" s="128" t="s">
        <v>5520</v>
      </c>
      <c r="F1253" s="128">
        <v>1986</v>
      </c>
      <c r="G1253" s="128">
        <v>43</v>
      </c>
      <c r="H1253" s="128">
        <v>2</v>
      </c>
      <c r="I1253" s="128">
        <v>45</v>
      </c>
      <c r="J1253" s="128" t="s">
        <v>1509</v>
      </c>
      <c r="K1253" s="128">
        <v>8.32</v>
      </c>
      <c r="L1253" s="128" t="s">
        <v>5521</v>
      </c>
      <c r="M1253" s="128" t="s">
        <v>5522</v>
      </c>
      <c r="N1253" s="128" t="s">
        <v>5523</v>
      </c>
      <c r="O1253" s="128">
        <v>595</v>
      </c>
      <c r="P1253" s="128">
        <v>120</v>
      </c>
      <c r="Q1253" s="128">
        <v>102</v>
      </c>
      <c r="R1253" s="128">
        <v>240</v>
      </c>
      <c r="S1253" s="128">
        <v>70</v>
      </c>
      <c r="T1253" s="128">
        <v>70</v>
      </c>
      <c r="U1253" s="128">
        <v>602</v>
      </c>
      <c r="V1253" s="128" t="s">
        <v>1547</v>
      </c>
    </row>
    <row r="1254" spans="1:22" x14ac:dyDescent="0.35">
      <c r="A1254" s="118">
        <v>1253</v>
      </c>
      <c r="B1254" s="128" t="s">
        <v>167</v>
      </c>
      <c r="C1254" s="128" t="s">
        <v>257</v>
      </c>
      <c r="D1254" s="128" t="s">
        <v>3897</v>
      </c>
      <c r="E1254" s="128" t="s">
        <v>5524</v>
      </c>
      <c r="F1254" s="128">
        <v>1986</v>
      </c>
      <c r="G1254" s="128">
        <v>29</v>
      </c>
      <c r="H1254" s="128">
        <v>8</v>
      </c>
      <c r="I1254" s="128">
        <v>37</v>
      </c>
      <c r="J1254" s="128" t="s">
        <v>1509</v>
      </c>
      <c r="K1254" s="128">
        <v>7.9</v>
      </c>
      <c r="L1254" s="128" t="s">
        <v>2473</v>
      </c>
      <c r="M1254" s="128" t="s">
        <v>5525</v>
      </c>
      <c r="N1254" s="128" t="s">
        <v>5526</v>
      </c>
      <c r="O1254" s="128">
        <v>590</v>
      </c>
      <c r="P1254" s="128">
        <v>115</v>
      </c>
      <c r="Q1254" s="128">
        <v>100</v>
      </c>
      <c r="R1254" s="128">
        <v>238</v>
      </c>
      <c r="S1254" s="128">
        <v>70</v>
      </c>
      <c r="T1254" s="128">
        <v>72</v>
      </c>
      <c r="U1254" s="128">
        <v>595</v>
      </c>
      <c r="V1254" s="128" t="s">
        <v>1547</v>
      </c>
    </row>
    <row r="1255" spans="1:22" x14ac:dyDescent="0.35">
      <c r="A1255" s="118">
        <v>1254</v>
      </c>
      <c r="B1255" s="128" t="s">
        <v>167</v>
      </c>
      <c r="C1255" s="128" t="s">
        <v>257</v>
      </c>
      <c r="D1255" s="128" t="s">
        <v>5527</v>
      </c>
      <c r="E1255" s="128" t="s">
        <v>848</v>
      </c>
      <c r="F1255" s="128">
        <v>2021</v>
      </c>
      <c r="G1255" s="128">
        <v>53</v>
      </c>
      <c r="H1255" s="128">
        <v>12</v>
      </c>
      <c r="I1255" s="128">
        <v>65</v>
      </c>
      <c r="J1255" s="128" t="s">
        <v>1509</v>
      </c>
      <c r="K1255" s="128">
        <v>11</v>
      </c>
      <c r="L1255" s="128" t="s">
        <v>5528</v>
      </c>
      <c r="M1255" s="128" t="s">
        <v>5529</v>
      </c>
      <c r="N1255" s="128" t="s">
        <v>5530</v>
      </c>
      <c r="O1255" s="128">
        <v>250</v>
      </c>
      <c r="P1255" s="128">
        <v>75</v>
      </c>
      <c r="Q1255" s="128">
        <v>56</v>
      </c>
      <c r="R1255" s="128">
        <v>128</v>
      </c>
      <c r="S1255" s="128">
        <v>20</v>
      </c>
      <c r="T1255" s="128">
        <v>31</v>
      </c>
      <c r="U1255" s="128">
        <v>310</v>
      </c>
      <c r="V1255" s="128" t="s">
        <v>2643</v>
      </c>
    </row>
    <row r="1256" spans="1:22" x14ac:dyDescent="0.35">
      <c r="A1256" s="118">
        <v>1255</v>
      </c>
      <c r="B1256" s="128" t="s">
        <v>167</v>
      </c>
      <c r="C1256" s="128" t="s">
        <v>257</v>
      </c>
      <c r="D1256" s="128" t="s">
        <v>2329</v>
      </c>
      <c r="E1256" s="128" t="s">
        <v>5531</v>
      </c>
      <c r="F1256" s="128">
        <v>2016</v>
      </c>
      <c r="G1256" s="128">
        <v>0</v>
      </c>
      <c r="H1256" s="128">
        <v>30</v>
      </c>
      <c r="I1256" s="128">
        <v>30</v>
      </c>
      <c r="J1256" s="128" t="s">
        <v>5292</v>
      </c>
      <c r="K1256" s="128">
        <v>8</v>
      </c>
      <c r="L1256" s="128" t="s">
        <v>5532</v>
      </c>
      <c r="M1256" s="128" t="s">
        <v>5533</v>
      </c>
      <c r="N1256" s="128" t="s">
        <v>5534</v>
      </c>
      <c r="O1256" s="128">
        <v>595</v>
      </c>
      <c r="P1256" s="128">
        <v>115</v>
      </c>
      <c r="Q1256" s="128">
        <v>104</v>
      </c>
      <c r="R1256" s="128">
        <v>244</v>
      </c>
      <c r="S1256" s="128">
        <v>75</v>
      </c>
      <c r="T1256" s="128">
        <v>70</v>
      </c>
      <c r="U1256" s="128">
        <v>608</v>
      </c>
      <c r="V1256" s="128" t="s">
        <v>1547</v>
      </c>
    </row>
    <row r="1257" spans="1:22" x14ac:dyDescent="0.35">
      <c r="A1257" s="118">
        <v>1256</v>
      </c>
      <c r="B1257" s="128" t="s">
        <v>167</v>
      </c>
      <c r="C1257" s="128" t="s">
        <v>1475</v>
      </c>
      <c r="D1257" s="128" t="s">
        <v>5535</v>
      </c>
      <c r="E1257" s="128" t="s">
        <v>931</v>
      </c>
      <c r="F1257" s="128">
        <v>1981</v>
      </c>
      <c r="G1257" s="128">
        <v>76</v>
      </c>
      <c r="H1257" s="128">
        <v>14</v>
      </c>
      <c r="I1257" s="128">
        <v>90</v>
      </c>
      <c r="J1257" s="128" t="s">
        <v>1509</v>
      </c>
      <c r="K1257" s="128">
        <v>11.95</v>
      </c>
      <c r="L1257" s="128" t="s">
        <v>5536</v>
      </c>
      <c r="M1257" s="128" t="s">
        <v>1650</v>
      </c>
      <c r="N1257" s="128" t="s">
        <v>5537</v>
      </c>
      <c r="O1257" s="128">
        <v>600</v>
      </c>
      <c r="P1257" s="128">
        <v>115</v>
      </c>
      <c r="Q1257" s="128">
        <v>102</v>
      </c>
      <c r="R1257" s="128">
        <v>242</v>
      </c>
      <c r="S1257" s="128">
        <v>70</v>
      </c>
      <c r="T1257" s="128">
        <v>75</v>
      </c>
      <c r="U1257" s="128">
        <v>604</v>
      </c>
      <c r="V1257" s="128" t="s">
        <v>1547</v>
      </c>
    </row>
    <row r="1258" spans="1:22" x14ac:dyDescent="0.35">
      <c r="A1258" s="118">
        <v>1257</v>
      </c>
      <c r="B1258" s="128" t="s">
        <v>167</v>
      </c>
      <c r="C1258" s="128" t="s">
        <v>1475</v>
      </c>
      <c r="D1258" s="128" t="s">
        <v>2293</v>
      </c>
      <c r="E1258" s="128" t="s">
        <v>930</v>
      </c>
      <c r="F1258" s="128">
        <v>1987</v>
      </c>
      <c r="G1258" s="128">
        <v>50</v>
      </c>
      <c r="H1258" s="128">
        <v>10</v>
      </c>
      <c r="I1258" s="128">
        <v>60</v>
      </c>
      <c r="J1258" s="128" t="s">
        <v>1509</v>
      </c>
      <c r="K1258" s="128">
        <v>11.5</v>
      </c>
      <c r="L1258" s="128" t="s">
        <v>5538</v>
      </c>
      <c r="M1258" s="128" t="s">
        <v>5539</v>
      </c>
      <c r="N1258" s="128" t="s">
        <v>5540</v>
      </c>
      <c r="O1258" s="128">
        <v>580</v>
      </c>
      <c r="P1258" s="128">
        <v>115</v>
      </c>
      <c r="Q1258" s="128">
        <v>90</v>
      </c>
      <c r="R1258" s="128">
        <v>228</v>
      </c>
      <c r="S1258" s="128">
        <v>75</v>
      </c>
      <c r="T1258" s="128">
        <v>75</v>
      </c>
      <c r="U1258" s="128">
        <v>583</v>
      </c>
      <c r="V1258" s="128" t="s">
        <v>1547</v>
      </c>
    </row>
    <row r="1259" spans="1:22" x14ac:dyDescent="0.35">
      <c r="A1259" s="118">
        <v>1258</v>
      </c>
      <c r="B1259" s="128" t="s">
        <v>167</v>
      </c>
      <c r="C1259" s="128" t="s">
        <v>1475</v>
      </c>
      <c r="D1259" s="128" t="s">
        <v>1517</v>
      </c>
      <c r="E1259" s="128" t="s">
        <v>929</v>
      </c>
      <c r="F1259" s="128">
        <v>1987</v>
      </c>
      <c r="G1259" s="128">
        <v>77</v>
      </c>
      <c r="H1259" s="128">
        <v>13</v>
      </c>
      <c r="I1259" s="128">
        <v>90</v>
      </c>
      <c r="J1259" s="128" t="s">
        <v>1509</v>
      </c>
      <c r="K1259" s="128">
        <v>12.82</v>
      </c>
      <c r="L1259" s="128" t="s">
        <v>5541</v>
      </c>
      <c r="M1259" s="128" t="s">
        <v>5542</v>
      </c>
      <c r="N1259" s="128" t="s">
        <v>5543</v>
      </c>
      <c r="O1259" s="128">
        <v>585</v>
      </c>
      <c r="P1259" s="128">
        <v>120</v>
      </c>
      <c r="Q1259" s="128">
        <v>90</v>
      </c>
      <c r="R1259" s="128">
        <v>235</v>
      </c>
      <c r="S1259" s="128">
        <v>70</v>
      </c>
      <c r="T1259" s="128">
        <v>75</v>
      </c>
      <c r="U1259" s="128">
        <v>590</v>
      </c>
      <c r="V1259" s="128" t="s">
        <v>1547</v>
      </c>
    </row>
    <row r="1260" spans="1:22" x14ac:dyDescent="0.35">
      <c r="A1260" s="118">
        <v>1259</v>
      </c>
      <c r="B1260" s="128" t="s">
        <v>167</v>
      </c>
      <c r="C1260" s="128" t="s">
        <v>1475</v>
      </c>
      <c r="D1260" s="128" t="s">
        <v>5535</v>
      </c>
      <c r="E1260" s="128" t="s">
        <v>5544</v>
      </c>
      <c r="F1260" s="128">
        <v>2017</v>
      </c>
      <c r="G1260" s="128">
        <v>0</v>
      </c>
      <c r="H1260" s="128">
        <v>20</v>
      </c>
      <c r="I1260" s="128">
        <v>20</v>
      </c>
      <c r="J1260" s="128" t="s">
        <v>5292</v>
      </c>
      <c r="K1260" s="128">
        <v>2</v>
      </c>
      <c r="L1260" s="128" t="s">
        <v>5545</v>
      </c>
      <c r="M1260" s="128" t="s">
        <v>5546</v>
      </c>
      <c r="N1260" s="128" t="s">
        <v>5547</v>
      </c>
      <c r="O1260" s="128">
        <v>315</v>
      </c>
      <c r="P1260" s="128">
        <v>80</v>
      </c>
      <c r="Q1260" s="128">
        <v>60</v>
      </c>
      <c r="R1260" s="128">
        <v>120</v>
      </c>
      <c r="S1260" s="128">
        <v>20</v>
      </c>
      <c r="T1260" s="128">
        <v>35</v>
      </c>
      <c r="U1260" s="128">
        <v>315</v>
      </c>
      <c r="V1260" s="128" t="s">
        <v>2643</v>
      </c>
    </row>
    <row r="1261" spans="1:22" x14ac:dyDescent="0.35">
      <c r="A1261" s="118">
        <v>1260</v>
      </c>
      <c r="B1261" s="128" t="s">
        <v>167</v>
      </c>
      <c r="C1261" s="128" t="s">
        <v>262</v>
      </c>
      <c r="D1261" s="128" t="s">
        <v>5426</v>
      </c>
      <c r="E1261" s="128" t="s">
        <v>5548</v>
      </c>
      <c r="F1261" s="128">
        <v>1995</v>
      </c>
      <c r="G1261" s="128">
        <v>26</v>
      </c>
      <c r="H1261" s="128">
        <v>3</v>
      </c>
      <c r="I1261" s="128">
        <v>29</v>
      </c>
      <c r="J1261" s="128" t="s">
        <v>1509</v>
      </c>
      <c r="K1261" s="128">
        <v>9.52</v>
      </c>
      <c r="L1261" s="128" t="s">
        <v>5549</v>
      </c>
      <c r="M1261" s="128" t="s">
        <v>5529</v>
      </c>
      <c r="N1261" s="128" t="s">
        <v>5550</v>
      </c>
      <c r="O1261" s="128">
        <v>605</v>
      </c>
      <c r="P1261" s="128">
        <v>115</v>
      </c>
      <c r="Q1261" s="128">
        <v>102</v>
      </c>
      <c r="R1261" s="128">
        <v>243</v>
      </c>
      <c r="S1261" s="128">
        <v>75</v>
      </c>
      <c r="T1261" s="128">
        <v>75</v>
      </c>
      <c r="U1261" s="128">
        <v>610</v>
      </c>
      <c r="V1261" s="128" t="s">
        <v>1547</v>
      </c>
    </row>
    <row r="1262" spans="1:22" x14ac:dyDescent="0.35">
      <c r="A1262" s="118">
        <v>1261</v>
      </c>
      <c r="B1262" s="128" t="s">
        <v>167</v>
      </c>
      <c r="C1262" s="128" t="s">
        <v>262</v>
      </c>
      <c r="D1262" s="128" t="s">
        <v>5551</v>
      </c>
      <c r="E1262" s="128" t="s">
        <v>5552</v>
      </c>
      <c r="F1262" s="128">
        <v>1995</v>
      </c>
      <c r="G1262" s="128">
        <v>89</v>
      </c>
      <c r="H1262" s="128">
        <v>14</v>
      </c>
      <c r="I1262" s="128">
        <v>103</v>
      </c>
      <c r="J1262" s="128" t="s">
        <v>1509</v>
      </c>
      <c r="K1262" s="128">
        <v>43.3</v>
      </c>
      <c r="L1262" s="128" t="s">
        <v>4757</v>
      </c>
      <c r="M1262" s="128" t="s">
        <v>5553</v>
      </c>
      <c r="N1262" s="128" t="s">
        <v>5554</v>
      </c>
      <c r="O1262" s="128">
        <v>595</v>
      </c>
      <c r="P1262" s="128">
        <v>115</v>
      </c>
      <c r="Q1262" s="128">
        <v>100</v>
      </c>
      <c r="R1262" s="128">
        <v>243</v>
      </c>
      <c r="S1262" s="128">
        <v>70</v>
      </c>
      <c r="T1262" s="128">
        <v>70</v>
      </c>
      <c r="U1262" s="128">
        <v>598</v>
      </c>
      <c r="V1262" s="128" t="s">
        <v>1547</v>
      </c>
    </row>
    <row r="1263" spans="1:22" x14ac:dyDescent="0.35">
      <c r="A1263" s="118">
        <v>1262</v>
      </c>
      <c r="B1263" s="128" t="s">
        <v>167</v>
      </c>
      <c r="C1263" s="128" t="s">
        <v>262</v>
      </c>
      <c r="D1263" s="128" t="s">
        <v>5422</v>
      </c>
      <c r="E1263" s="128" t="s">
        <v>5555</v>
      </c>
      <c r="F1263" s="128">
        <v>2008</v>
      </c>
      <c r="G1263" s="128">
        <v>24</v>
      </c>
      <c r="H1263" s="128">
        <v>3</v>
      </c>
      <c r="I1263" s="128">
        <v>27</v>
      </c>
      <c r="J1263" s="128" t="s">
        <v>1509</v>
      </c>
      <c r="K1263" s="128">
        <v>7.27</v>
      </c>
      <c r="L1263" s="128" t="s">
        <v>5556</v>
      </c>
      <c r="M1263" s="128" t="s">
        <v>5557</v>
      </c>
      <c r="N1263" s="128" t="s">
        <v>5558</v>
      </c>
      <c r="O1263" s="128">
        <v>580</v>
      </c>
      <c r="P1263" s="128">
        <v>113</v>
      </c>
      <c r="Q1263" s="128">
        <v>96</v>
      </c>
      <c r="R1263" s="128">
        <v>232</v>
      </c>
      <c r="S1263" s="128">
        <v>70</v>
      </c>
      <c r="T1263" s="128">
        <v>75</v>
      </c>
      <c r="U1263" s="128">
        <v>586</v>
      </c>
      <c r="V1263" s="128" t="s">
        <v>1547</v>
      </c>
    </row>
    <row r="1264" spans="1:22" x14ac:dyDescent="0.35">
      <c r="A1264" s="118">
        <v>1263</v>
      </c>
      <c r="B1264" s="128" t="s">
        <v>167</v>
      </c>
      <c r="C1264" s="128" t="s">
        <v>262</v>
      </c>
      <c r="D1264" s="128" t="s">
        <v>5559</v>
      </c>
      <c r="E1264" s="128" t="s">
        <v>5560</v>
      </c>
      <c r="F1264" s="128">
        <v>1995</v>
      </c>
      <c r="G1264" s="128">
        <v>28</v>
      </c>
      <c r="H1264" s="128">
        <v>5</v>
      </c>
      <c r="I1264" s="128">
        <v>33</v>
      </c>
      <c r="J1264" s="128" t="s">
        <v>1509</v>
      </c>
      <c r="K1264" s="128">
        <v>7.8</v>
      </c>
      <c r="L1264" s="128" t="s">
        <v>1831</v>
      </c>
      <c r="M1264" s="128" t="s">
        <v>5561</v>
      </c>
      <c r="N1264" s="128" t="s">
        <v>3053</v>
      </c>
      <c r="O1264" s="128">
        <v>570</v>
      </c>
      <c r="P1264" s="128">
        <v>110</v>
      </c>
      <c r="Q1264" s="128">
        <v>100</v>
      </c>
      <c r="R1264" s="128">
        <v>220</v>
      </c>
      <c r="S1264" s="128">
        <v>75</v>
      </c>
      <c r="T1264" s="128">
        <v>70</v>
      </c>
      <c r="U1264" s="128">
        <v>575</v>
      </c>
      <c r="V1264" s="128" t="s">
        <v>1547</v>
      </c>
    </row>
    <row r="1265" spans="1:22" x14ac:dyDescent="0.35">
      <c r="A1265" s="118">
        <v>1264</v>
      </c>
      <c r="B1265" s="128" t="s">
        <v>167</v>
      </c>
      <c r="C1265" s="128" t="s">
        <v>262</v>
      </c>
      <c r="D1265" s="128" t="s">
        <v>5562</v>
      </c>
      <c r="E1265" s="128" t="s">
        <v>5563</v>
      </c>
      <c r="F1265" s="128">
        <v>2008</v>
      </c>
      <c r="G1265" s="128">
        <v>28</v>
      </c>
      <c r="H1265" s="128">
        <v>7</v>
      </c>
      <c r="I1265" s="128">
        <v>35</v>
      </c>
      <c r="J1265" s="128" t="s">
        <v>1509</v>
      </c>
      <c r="K1265" s="128">
        <v>5.6</v>
      </c>
      <c r="L1265" s="128" t="s">
        <v>5564</v>
      </c>
      <c r="M1265" s="128" t="s">
        <v>5565</v>
      </c>
      <c r="N1265" s="128" t="s">
        <v>4632</v>
      </c>
      <c r="O1265" s="128">
        <v>580</v>
      </c>
      <c r="P1265" s="128">
        <v>115</v>
      </c>
      <c r="Q1265" s="128">
        <v>98</v>
      </c>
      <c r="R1265" s="128">
        <v>227</v>
      </c>
      <c r="S1265" s="128">
        <v>75</v>
      </c>
      <c r="T1265" s="128">
        <v>70</v>
      </c>
      <c r="U1265" s="128">
        <v>585</v>
      </c>
      <c r="V1265" s="128" t="s">
        <v>1547</v>
      </c>
    </row>
    <row r="1266" spans="1:22" x14ac:dyDescent="0.35">
      <c r="A1266" s="118">
        <v>1265</v>
      </c>
      <c r="B1266" s="128" t="s">
        <v>167</v>
      </c>
      <c r="C1266" s="128" t="s">
        <v>262</v>
      </c>
      <c r="D1266" s="128" t="s">
        <v>5566</v>
      </c>
      <c r="E1266" s="128" t="s">
        <v>5567</v>
      </c>
      <c r="F1266" s="128">
        <v>2008</v>
      </c>
      <c r="G1266" s="128">
        <v>13</v>
      </c>
      <c r="H1266" s="128">
        <v>5</v>
      </c>
      <c r="I1266" s="128">
        <v>18</v>
      </c>
      <c r="J1266" s="128" t="s">
        <v>1509</v>
      </c>
      <c r="K1266" s="128">
        <v>5.41</v>
      </c>
      <c r="L1266" s="128" t="s">
        <v>1568</v>
      </c>
      <c r="M1266" s="128" t="s">
        <v>2934</v>
      </c>
      <c r="N1266" s="128" t="s">
        <v>1760</v>
      </c>
      <c r="O1266" s="128">
        <v>575</v>
      </c>
      <c r="P1266" s="128">
        <v>113</v>
      </c>
      <c r="Q1266" s="128">
        <v>98</v>
      </c>
      <c r="R1266" s="128">
        <v>234</v>
      </c>
      <c r="S1266" s="128">
        <v>70</v>
      </c>
      <c r="T1266" s="128">
        <v>70</v>
      </c>
      <c r="U1266" s="128">
        <v>585</v>
      </c>
      <c r="V1266" s="128" t="s">
        <v>1547</v>
      </c>
    </row>
    <row r="1267" spans="1:22" x14ac:dyDescent="0.35">
      <c r="A1267" s="118">
        <v>1266</v>
      </c>
      <c r="B1267" s="128" t="s">
        <v>167</v>
      </c>
      <c r="C1267" s="128" t="s">
        <v>262</v>
      </c>
      <c r="D1267" s="128" t="s">
        <v>5423</v>
      </c>
      <c r="E1267" s="128" t="s">
        <v>5568</v>
      </c>
      <c r="F1267" s="128">
        <v>2008</v>
      </c>
      <c r="G1267" s="128">
        <v>20</v>
      </c>
      <c r="H1267" s="128">
        <v>9</v>
      </c>
      <c r="I1267" s="128">
        <v>29</v>
      </c>
      <c r="J1267" s="128" t="s">
        <v>1509</v>
      </c>
      <c r="K1267" s="128">
        <v>6.93</v>
      </c>
      <c r="L1267" s="128" t="s">
        <v>5569</v>
      </c>
      <c r="M1267" s="128" t="s">
        <v>5570</v>
      </c>
      <c r="N1267" s="128" t="s">
        <v>5571</v>
      </c>
      <c r="O1267" s="128">
        <v>575</v>
      </c>
      <c r="P1267" s="128">
        <v>110</v>
      </c>
      <c r="Q1267" s="128">
        <v>98</v>
      </c>
      <c r="R1267" s="128">
        <v>232</v>
      </c>
      <c r="S1267" s="128">
        <v>70</v>
      </c>
      <c r="T1267" s="128">
        <v>70</v>
      </c>
      <c r="U1267" s="128">
        <v>580</v>
      </c>
      <c r="V1267" s="128" t="s">
        <v>1547</v>
      </c>
    </row>
    <row r="1268" spans="1:22" x14ac:dyDescent="0.35">
      <c r="A1268" s="118">
        <v>1267</v>
      </c>
      <c r="B1268" s="128" t="s">
        <v>167</v>
      </c>
      <c r="C1268" s="128" t="s">
        <v>251</v>
      </c>
      <c r="D1268" s="128" t="s">
        <v>5572</v>
      </c>
      <c r="E1268" s="128" t="s">
        <v>491</v>
      </c>
      <c r="F1268" s="128">
        <v>1987</v>
      </c>
      <c r="G1268" s="128">
        <v>91</v>
      </c>
      <c r="H1268" s="128">
        <v>18</v>
      </c>
      <c r="I1268" s="128">
        <v>109</v>
      </c>
      <c r="J1268" s="128" t="s">
        <v>1509</v>
      </c>
      <c r="K1268" s="128">
        <v>15.9</v>
      </c>
      <c r="L1268" s="128" t="s">
        <v>5573</v>
      </c>
      <c r="M1268" s="128" t="s">
        <v>5574</v>
      </c>
      <c r="N1268" s="128" t="s">
        <v>5575</v>
      </c>
      <c r="O1268" s="128">
        <v>530</v>
      </c>
      <c r="P1268" s="128">
        <v>115</v>
      </c>
      <c r="Q1268" s="128">
        <v>95</v>
      </c>
      <c r="R1268" s="128">
        <v>220</v>
      </c>
      <c r="S1268" s="128">
        <v>50</v>
      </c>
      <c r="T1268" s="128">
        <v>55</v>
      </c>
      <c r="U1268" s="128">
        <v>535</v>
      </c>
      <c r="V1268" s="128" t="s">
        <v>1547</v>
      </c>
    </row>
    <row r="1269" spans="1:22" x14ac:dyDescent="0.35">
      <c r="A1269" s="118">
        <v>1268</v>
      </c>
      <c r="B1269" s="128" t="s">
        <v>167</v>
      </c>
      <c r="C1269" s="128" t="s">
        <v>251</v>
      </c>
      <c r="D1269" s="128" t="s">
        <v>5576</v>
      </c>
      <c r="E1269" s="128" t="s">
        <v>490</v>
      </c>
      <c r="F1269" s="128">
        <v>1987</v>
      </c>
      <c r="G1269" s="128">
        <v>69</v>
      </c>
      <c r="H1269" s="128">
        <v>24</v>
      </c>
      <c r="I1269" s="128">
        <v>93</v>
      </c>
      <c r="J1269" s="128" t="s">
        <v>1509</v>
      </c>
      <c r="K1269" s="128">
        <v>16.2</v>
      </c>
      <c r="L1269" s="128" t="s">
        <v>1577</v>
      </c>
      <c r="M1269" s="128" t="s">
        <v>1530</v>
      </c>
      <c r="N1269" s="128" t="s">
        <v>5577</v>
      </c>
      <c r="O1269" s="128">
        <v>645</v>
      </c>
      <c r="P1269" s="128">
        <v>125</v>
      </c>
      <c r="Q1269" s="128">
        <v>105</v>
      </c>
      <c r="R1269" s="128">
        <v>265</v>
      </c>
      <c r="S1269" s="128">
        <v>75</v>
      </c>
      <c r="T1269" s="128">
        <v>80</v>
      </c>
      <c r="U1269" s="128">
        <v>650</v>
      </c>
      <c r="V1269" s="128" t="s">
        <v>1547</v>
      </c>
    </row>
    <row r="1270" spans="1:22" x14ac:dyDescent="0.35">
      <c r="A1270" s="118">
        <v>1269</v>
      </c>
      <c r="B1270" s="128" t="s">
        <v>167</v>
      </c>
      <c r="C1270" s="128" t="s">
        <v>251</v>
      </c>
      <c r="D1270" s="128" t="s">
        <v>1517</v>
      </c>
      <c r="E1270" s="128" t="s">
        <v>837</v>
      </c>
      <c r="F1270" s="128">
        <v>1987</v>
      </c>
      <c r="G1270" s="128">
        <v>104</v>
      </c>
      <c r="H1270" s="128">
        <v>18</v>
      </c>
      <c r="I1270" s="128">
        <v>122</v>
      </c>
      <c r="J1270" s="128" t="s">
        <v>1509</v>
      </c>
      <c r="K1270" s="128">
        <v>8.4</v>
      </c>
      <c r="L1270" s="128" t="s">
        <v>5578</v>
      </c>
      <c r="M1270" s="128" t="s">
        <v>2360</v>
      </c>
      <c r="N1270" s="128" t="s">
        <v>1620</v>
      </c>
      <c r="O1270" s="128">
        <v>520</v>
      </c>
      <c r="P1270" s="128">
        <v>115</v>
      </c>
      <c r="Q1270" s="128">
        <v>95</v>
      </c>
      <c r="R1270" s="128">
        <v>210</v>
      </c>
      <c r="S1270" s="128">
        <v>50</v>
      </c>
      <c r="T1270" s="128">
        <v>55</v>
      </c>
      <c r="U1270" s="128">
        <v>525</v>
      </c>
      <c r="V1270" s="128" t="s">
        <v>1547</v>
      </c>
    </row>
    <row r="1271" spans="1:22" x14ac:dyDescent="0.35">
      <c r="A1271" s="118">
        <v>1270</v>
      </c>
      <c r="B1271" s="128" t="s">
        <v>167</v>
      </c>
      <c r="C1271" s="128" t="s">
        <v>251</v>
      </c>
      <c r="D1271" s="128" t="s">
        <v>5576</v>
      </c>
      <c r="E1271" s="128" t="s">
        <v>836</v>
      </c>
      <c r="F1271" s="128">
        <v>2000</v>
      </c>
      <c r="G1271" s="128">
        <v>0</v>
      </c>
      <c r="H1271" s="128">
        <v>20</v>
      </c>
      <c r="I1271" s="128">
        <v>20</v>
      </c>
      <c r="J1271" s="128" t="s">
        <v>5292</v>
      </c>
      <c r="K1271" s="128">
        <v>1</v>
      </c>
      <c r="L1271" s="128" t="s">
        <v>5579</v>
      </c>
      <c r="M1271" s="128" t="s">
        <v>5580</v>
      </c>
      <c r="N1271" s="128" t="s">
        <v>5581</v>
      </c>
      <c r="O1271" s="128">
        <v>310</v>
      </c>
      <c r="P1271" s="128">
        <v>80</v>
      </c>
      <c r="Q1271" s="128">
        <v>60</v>
      </c>
      <c r="R1271" s="128">
        <v>105</v>
      </c>
      <c r="S1271" s="128">
        <v>25</v>
      </c>
      <c r="T1271" s="128">
        <v>40</v>
      </c>
      <c r="U1271" s="128">
        <v>310</v>
      </c>
      <c r="V1271" s="128" t="s">
        <v>2643</v>
      </c>
    </row>
    <row r="1272" spans="1:22" x14ac:dyDescent="0.35">
      <c r="A1272" s="118">
        <v>1271</v>
      </c>
      <c r="B1272" s="128" t="s">
        <v>167</v>
      </c>
      <c r="C1272" s="128" t="s">
        <v>252</v>
      </c>
      <c r="D1272" s="128" t="s">
        <v>5582</v>
      </c>
      <c r="E1272" s="128" t="s">
        <v>5583</v>
      </c>
      <c r="F1272" s="128">
        <v>1982</v>
      </c>
      <c r="G1272" s="128">
        <v>50</v>
      </c>
      <c r="H1272" s="128">
        <v>10</v>
      </c>
      <c r="I1272" s="128">
        <v>60</v>
      </c>
      <c r="J1272" s="128" t="s">
        <v>1509</v>
      </c>
      <c r="K1272" s="128">
        <v>12.08</v>
      </c>
      <c r="L1272" s="128" t="s">
        <v>1939</v>
      </c>
      <c r="M1272" s="128" t="s">
        <v>5584</v>
      </c>
      <c r="N1272" s="128" t="s">
        <v>1536</v>
      </c>
      <c r="O1272" s="128">
        <v>600</v>
      </c>
      <c r="P1272" s="128">
        <v>115</v>
      </c>
      <c r="Q1272" s="128">
        <v>100</v>
      </c>
      <c r="R1272" s="128">
        <v>238</v>
      </c>
      <c r="S1272" s="128">
        <v>75</v>
      </c>
      <c r="T1272" s="128">
        <v>75</v>
      </c>
      <c r="U1272" s="128">
        <v>603</v>
      </c>
      <c r="V1272" s="128" t="s">
        <v>1547</v>
      </c>
    </row>
    <row r="1273" spans="1:22" x14ac:dyDescent="0.35">
      <c r="A1273" s="118">
        <v>1272</v>
      </c>
      <c r="B1273" s="128" t="s">
        <v>167</v>
      </c>
      <c r="C1273" s="128" t="s">
        <v>252</v>
      </c>
      <c r="D1273" s="128" t="s">
        <v>2218</v>
      </c>
      <c r="E1273" s="128" t="s">
        <v>5585</v>
      </c>
      <c r="F1273" s="128">
        <v>1982</v>
      </c>
      <c r="G1273" s="128">
        <v>45</v>
      </c>
      <c r="H1273" s="128">
        <v>6</v>
      </c>
      <c r="I1273" s="128">
        <v>51</v>
      </c>
      <c r="J1273" s="128" t="s">
        <v>1509</v>
      </c>
      <c r="K1273" s="128">
        <v>8.8000000000000007</v>
      </c>
      <c r="L1273" s="128" t="s">
        <v>5586</v>
      </c>
      <c r="M1273" s="128" t="s">
        <v>5587</v>
      </c>
      <c r="N1273" s="128" t="s">
        <v>5588</v>
      </c>
      <c r="O1273" s="128">
        <v>600</v>
      </c>
      <c r="P1273" s="128">
        <v>115</v>
      </c>
      <c r="Q1273" s="128">
        <v>100</v>
      </c>
      <c r="R1273" s="128">
        <v>243</v>
      </c>
      <c r="S1273" s="128">
        <v>75</v>
      </c>
      <c r="T1273" s="128">
        <v>72</v>
      </c>
      <c r="U1273" s="128">
        <v>605</v>
      </c>
      <c r="V1273" s="128" t="s">
        <v>1547</v>
      </c>
    </row>
    <row r="1274" spans="1:22" x14ac:dyDescent="0.35">
      <c r="A1274" s="118">
        <v>1273</v>
      </c>
      <c r="B1274" s="128" t="s">
        <v>167</v>
      </c>
      <c r="C1274" s="128" t="s">
        <v>252</v>
      </c>
      <c r="D1274" s="128" t="s">
        <v>3913</v>
      </c>
      <c r="E1274" s="128" t="s">
        <v>5589</v>
      </c>
      <c r="F1274" s="128">
        <v>2008</v>
      </c>
      <c r="G1274" s="128">
        <v>68</v>
      </c>
      <c r="H1274" s="128">
        <v>15</v>
      </c>
      <c r="I1274" s="128">
        <v>83</v>
      </c>
      <c r="J1274" s="128" t="s">
        <v>1509</v>
      </c>
      <c r="K1274" s="128">
        <v>13.2</v>
      </c>
      <c r="L1274" s="128" t="s">
        <v>5590</v>
      </c>
      <c r="M1274" s="128" t="s">
        <v>5591</v>
      </c>
      <c r="N1274" s="128" t="s">
        <v>1530</v>
      </c>
      <c r="O1274" s="128">
        <v>605</v>
      </c>
      <c r="P1274" s="128">
        <v>115</v>
      </c>
      <c r="Q1274" s="128">
        <v>102</v>
      </c>
      <c r="R1274" s="128">
        <v>243</v>
      </c>
      <c r="S1274" s="128">
        <v>75</v>
      </c>
      <c r="T1274" s="128">
        <v>75</v>
      </c>
      <c r="U1274" s="128">
        <v>610</v>
      </c>
      <c r="V1274" s="128" t="s">
        <v>1547</v>
      </c>
    </row>
    <row r="1275" spans="1:22" x14ac:dyDescent="0.35">
      <c r="A1275" s="118">
        <v>1274</v>
      </c>
      <c r="B1275" s="128" t="s">
        <v>167</v>
      </c>
      <c r="C1275" s="128" t="s">
        <v>252</v>
      </c>
      <c r="D1275" s="128" t="s">
        <v>5592</v>
      </c>
      <c r="E1275" s="128" t="s">
        <v>5593</v>
      </c>
      <c r="F1275" s="128">
        <v>2008</v>
      </c>
      <c r="G1275" s="128">
        <v>41</v>
      </c>
      <c r="H1275" s="128">
        <v>2</v>
      </c>
      <c r="I1275" s="128">
        <v>43</v>
      </c>
      <c r="J1275" s="128" t="s">
        <v>4430</v>
      </c>
      <c r="K1275" s="128">
        <v>24.2</v>
      </c>
      <c r="L1275" s="128" t="s">
        <v>5594</v>
      </c>
      <c r="M1275" s="128" t="s">
        <v>2133</v>
      </c>
      <c r="N1275" s="128" t="s">
        <v>5595</v>
      </c>
      <c r="O1275" s="128">
        <v>585</v>
      </c>
      <c r="P1275" s="128">
        <v>115</v>
      </c>
      <c r="Q1275" s="128">
        <v>98</v>
      </c>
      <c r="R1275" s="128">
        <v>232</v>
      </c>
      <c r="S1275" s="128">
        <v>75</v>
      </c>
      <c r="T1275" s="128">
        <v>70</v>
      </c>
      <c r="U1275" s="128">
        <v>590</v>
      </c>
      <c r="V1275" s="128" t="s">
        <v>1547</v>
      </c>
    </row>
    <row r="1276" spans="1:22" x14ac:dyDescent="0.35">
      <c r="A1276" s="118">
        <v>1275</v>
      </c>
      <c r="B1276" s="128" t="s">
        <v>167</v>
      </c>
      <c r="C1276" s="128" t="s">
        <v>260</v>
      </c>
      <c r="D1276" s="128" t="s">
        <v>1517</v>
      </c>
      <c r="E1276" s="128" t="s">
        <v>5596</v>
      </c>
      <c r="F1276" s="128">
        <v>1998</v>
      </c>
      <c r="G1276" s="128">
        <v>50</v>
      </c>
      <c r="H1276" s="128">
        <v>11</v>
      </c>
      <c r="I1276" s="128">
        <v>61</v>
      </c>
      <c r="J1276" s="128" t="s">
        <v>3879</v>
      </c>
      <c r="K1276" s="128">
        <v>14.2</v>
      </c>
      <c r="L1276" s="128" t="s">
        <v>5597</v>
      </c>
      <c r="M1276" s="128" t="s">
        <v>5598</v>
      </c>
      <c r="N1276" s="128" t="s">
        <v>5599</v>
      </c>
      <c r="O1276" s="128">
        <v>612</v>
      </c>
      <c r="P1276" s="128">
        <v>121</v>
      </c>
      <c r="Q1276" s="128">
        <v>103</v>
      </c>
      <c r="R1276" s="128">
        <v>250</v>
      </c>
      <c r="S1276" s="128">
        <v>70</v>
      </c>
      <c r="T1276" s="128">
        <v>70</v>
      </c>
      <c r="U1276" s="128">
        <v>614</v>
      </c>
      <c r="V1276" s="128" t="s">
        <v>1547</v>
      </c>
    </row>
    <row r="1277" spans="1:22" x14ac:dyDescent="0.35">
      <c r="A1277" s="118">
        <v>1276</v>
      </c>
      <c r="B1277" s="128" t="s">
        <v>167</v>
      </c>
      <c r="C1277" s="128" t="s">
        <v>260</v>
      </c>
      <c r="D1277" s="128" t="s">
        <v>2550</v>
      </c>
      <c r="E1277" s="128" t="s">
        <v>5600</v>
      </c>
      <c r="F1277" s="128">
        <v>1998</v>
      </c>
      <c r="G1277" s="128">
        <v>94</v>
      </c>
      <c r="H1277" s="128">
        <v>13</v>
      </c>
      <c r="I1277" s="128">
        <v>107</v>
      </c>
      <c r="J1277" s="128" t="s">
        <v>3879</v>
      </c>
      <c r="K1277" s="128">
        <v>9.1999999999999993</v>
      </c>
      <c r="L1277" s="128" t="s">
        <v>5601</v>
      </c>
      <c r="M1277" s="128" t="s">
        <v>4200</v>
      </c>
      <c r="N1277" s="128" t="s">
        <v>1959</v>
      </c>
      <c r="O1277" s="128">
        <v>592</v>
      </c>
      <c r="P1277" s="128">
        <v>125</v>
      </c>
      <c r="Q1277" s="128">
        <v>106</v>
      </c>
      <c r="R1277" s="128">
        <v>240</v>
      </c>
      <c r="S1277" s="128">
        <v>60</v>
      </c>
      <c r="T1277" s="128">
        <v>65</v>
      </c>
      <c r="U1277" s="128">
        <v>596</v>
      </c>
      <c r="V1277" s="128" t="s">
        <v>1547</v>
      </c>
    </row>
    <row r="1278" spans="1:22" x14ac:dyDescent="0.35">
      <c r="A1278" s="118">
        <v>1277</v>
      </c>
      <c r="B1278" s="128" t="s">
        <v>167</v>
      </c>
      <c r="C1278" s="128" t="s">
        <v>260</v>
      </c>
      <c r="D1278" s="128" t="s">
        <v>2376</v>
      </c>
      <c r="E1278" s="128" t="s">
        <v>5602</v>
      </c>
      <c r="F1278" s="128">
        <v>1998</v>
      </c>
      <c r="G1278" s="128">
        <v>32</v>
      </c>
      <c r="H1278" s="128">
        <v>22</v>
      </c>
      <c r="I1278" s="128">
        <v>54</v>
      </c>
      <c r="J1278" s="128" t="s">
        <v>3879</v>
      </c>
      <c r="K1278" s="128">
        <v>9.3000000000000007</v>
      </c>
      <c r="L1278" s="128" t="s">
        <v>2020</v>
      </c>
      <c r="M1278" s="128" t="s">
        <v>5603</v>
      </c>
      <c r="N1278" s="128" t="s">
        <v>2306</v>
      </c>
      <c r="O1278" s="128">
        <v>595</v>
      </c>
      <c r="P1278" s="128">
        <v>125</v>
      </c>
      <c r="Q1278" s="128">
        <v>101</v>
      </c>
      <c r="R1278" s="128">
        <v>243</v>
      </c>
      <c r="S1278" s="128">
        <v>65</v>
      </c>
      <c r="T1278" s="128">
        <v>65</v>
      </c>
      <c r="U1278" s="128">
        <v>599</v>
      </c>
      <c r="V1278" s="128" t="s">
        <v>1547</v>
      </c>
    </row>
    <row r="1279" spans="1:22" x14ac:dyDescent="0.35">
      <c r="A1279" s="118">
        <v>1278</v>
      </c>
      <c r="B1279" s="128" t="s">
        <v>167</v>
      </c>
      <c r="C1279" s="128" t="s">
        <v>260</v>
      </c>
      <c r="D1279" s="128" t="s">
        <v>3900</v>
      </c>
      <c r="E1279" s="128" t="s">
        <v>5604</v>
      </c>
      <c r="F1279" s="128">
        <v>2007</v>
      </c>
      <c r="G1279" s="128">
        <v>23</v>
      </c>
      <c r="H1279" s="128">
        <v>4</v>
      </c>
      <c r="I1279" s="128">
        <v>27</v>
      </c>
      <c r="J1279" s="128" t="s">
        <v>3879</v>
      </c>
      <c r="K1279" s="128">
        <v>5.2</v>
      </c>
      <c r="L1279" s="128" t="s">
        <v>5605</v>
      </c>
      <c r="M1279" s="128" t="s">
        <v>1611</v>
      </c>
      <c r="N1279" s="128" t="s">
        <v>5606</v>
      </c>
      <c r="O1279" s="128">
        <v>548</v>
      </c>
      <c r="P1279" s="128">
        <v>120</v>
      </c>
      <c r="Q1279" s="128">
        <v>96</v>
      </c>
      <c r="R1279" s="128">
        <v>217</v>
      </c>
      <c r="S1279" s="128">
        <v>60</v>
      </c>
      <c r="T1279" s="128">
        <v>60</v>
      </c>
      <c r="U1279" s="128">
        <v>553</v>
      </c>
      <c r="V1279" s="128" t="s">
        <v>1547</v>
      </c>
    </row>
    <row r="1280" spans="1:22" x14ac:dyDescent="0.35">
      <c r="A1280" s="118">
        <v>1279</v>
      </c>
      <c r="B1280" s="128" t="s">
        <v>167</v>
      </c>
      <c r="C1280" s="128" t="s">
        <v>260</v>
      </c>
      <c r="D1280" s="128" t="s">
        <v>5607</v>
      </c>
      <c r="E1280" s="128" t="s">
        <v>5608</v>
      </c>
      <c r="F1280" s="128">
        <v>2007</v>
      </c>
      <c r="G1280" s="128">
        <v>33</v>
      </c>
      <c r="H1280" s="128">
        <v>11</v>
      </c>
      <c r="I1280" s="128">
        <v>44</v>
      </c>
      <c r="J1280" s="128" t="s">
        <v>3879</v>
      </c>
      <c r="K1280" s="128">
        <v>4.5999999999999996</v>
      </c>
      <c r="L1280" s="128" t="s">
        <v>2244</v>
      </c>
      <c r="M1280" s="128" t="s">
        <v>5609</v>
      </c>
      <c r="N1280" s="128" t="s">
        <v>5610</v>
      </c>
      <c r="O1280" s="128">
        <v>525</v>
      </c>
      <c r="P1280" s="128">
        <v>110</v>
      </c>
      <c r="Q1280" s="128">
        <v>89</v>
      </c>
      <c r="R1280" s="128">
        <v>211</v>
      </c>
      <c r="S1280" s="128">
        <v>60</v>
      </c>
      <c r="T1280" s="128">
        <v>60</v>
      </c>
      <c r="U1280" s="128">
        <v>530</v>
      </c>
      <c r="V1280" s="128" t="s">
        <v>1547</v>
      </c>
    </row>
    <row r="1281" spans="1:22" x14ac:dyDescent="0.35">
      <c r="A1281" s="118">
        <v>1280</v>
      </c>
      <c r="B1281" s="128" t="s">
        <v>167</v>
      </c>
      <c r="C1281" s="128" t="s">
        <v>260</v>
      </c>
      <c r="D1281" s="128" t="s">
        <v>5611</v>
      </c>
      <c r="E1281" s="128" t="s">
        <v>5612</v>
      </c>
      <c r="F1281" s="128">
        <v>2007</v>
      </c>
      <c r="G1281" s="128">
        <v>55</v>
      </c>
      <c r="H1281" s="128">
        <v>16</v>
      </c>
      <c r="I1281" s="128">
        <v>71</v>
      </c>
      <c r="J1281" s="128" t="s">
        <v>3879</v>
      </c>
      <c r="K1281" s="128">
        <v>4.5</v>
      </c>
      <c r="L1281" s="128" t="s">
        <v>5613</v>
      </c>
      <c r="M1281" s="128" t="s">
        <v>5565</v>
      </c>
      <c r="N1281" s="128" t="s">
        <v>1678</v>
      </c>
      <c r="O1281" s="128">
        <v>554</v>
      </c>
      <c r="P1281" s="128">
        <v>115</v>
      </c>
      <c r="Q1281" s="128">
        <v>94</v>
      </c>
      <c r="R1281" s="128">
        <v>219</v>
      </c>
      <c r="S1281" s="128">
        <v>65</v>
      </c>
      <c r="T1281" s="128">
        <v>65</v>
      </c>
      <c r="U1281" s="128">
        <v>558</v>
      </c>
      <c r="V1281" s="128" t="s">
        <v>1547</v>
      </c>
    </row>
    <row r="1282" spans="1:22" x14ac:dyDescent="0.35">
      <c r="A1282" s="118">
        <v>1281</v>
      </c>
      <c r="B1282" s="128" t="s">
        <v>167</v>
      </c>
      <c r="C1282" s="128" t="s">
        <v>260</v>
      </c>
      <c r="D1282" s="128" t="s">
        <v>5614</v>
      </c>
      <c r="E1282" s="128" t="s">
        <v>5615</v>
      </c>
      <c r="F1282" s="128">
        <v>2007</v>
      </c>
      <c r="G1282" s="128">
        <v>48</v>
      </c>
      <c r="H1282" s="128">
        <v>11</v>
      </c>
      <c r="I1282" s="128">
        <v>59</v>
      </c>
      <c r="J1282" s="128" t="s">
        <v>3879</v>
      </c>
      <c r="K1282" s="128">
        <v>5.8</v>
      </c>
      <c r="L1282" s="128" t="s">
        <v>5616</v>
      </c>
      <c r="M1282" s="128" t="s">
        <v>5617</v>
      </c>
      <c r="N1282" s="128" t="s">
        <v>5618</v>
      </c>
      <c r="O1282" s="128">
        <v>570</v>
      </c>
      <c r="P1282" s="128">
        <v>122</v>
      </c>
      <c r="Q1282" s="128">
        <v>101</v>
      </c>
      <c r="R1282" s="128">
        <v>230</v>
      </c>
      <c r="S1282" s="128">
        <v>60</v>
      </c>
      <c r="T1282" s="128">
        <v>60</v>
      </c>
      <c r="U1282" s="128">
        <v>573</v>
      </c>
      <c r="V1282" s="128" t="s">
        <v>1547</v>
      </c>
    </row>
    <row r="1283" spans="1:22" x14ac:dyDescent="0.35">
      <c r="A1283" s="118">
        <v>1282</v>
      </c>
      <c r="B1283" s="128" t="s">
        <v>167</v>
      </c>
      <c r="C1283" s="128" t="s">
        <v>260</v>
      </c>
      <c r="D1283" s="128" t="s">
        <v>1745</v>
      </c>
      <c r="E1283" s="128" t="s">
        <v>5619</v>
      </c>
      <c r="F1283" s="128">
        <v>2007</v>
      </c>
      <c r="G1283" s="128">
        <v>34</v>
      </c>
      <c r="H1283" s="128">
        <v>6</v>
      </c>
      <c r="I1283" s="128">
        <v>40</v>
      </c>
      <c r="J1283" s="128" t="s">
        <v>3879</v>
      </c>
      <c r="K1283" s="128">
        <v>4.2</v>
      </c>
      <c r="L1283" s="128" t="s">
        <v>5620</v>
      </c>
      <c r="M1283" s="128" t="s">
        <v>1946</v>
      </c>
      <c r="N1283" s="128" t="s">
        <v>4026</v>
      </c>
      <c r="O1283" s="128">
        <v>579</v>
      </c>
      <c r="P1283" s="128">
        <v>115</v>
      </c>
      <c r="Q1283" s="128">
        <v>95</v>
      </c>
      <c r="R1283" s="128">
        <v>245</v>
      </c>
      <c r="S1283" s="128">
        <v>65</v>
      </c>
      <c r="T1283" s="128">
        <v>65</v>
      </c>
      <c r="U1283" s="128">
        <v>585</v>
      </c>
      <c r="V1283" s="128" t="s">
        <v>1547</v>
      </c>
    </row>
    <row r="1284" spans="1:22" x14ac:dyDescent="0.35">
      <c r="A1284" s="118">
        <v>1283</v>
      </c>
      <c r="B1284" s="128" t="s">
        <v>167</v>
      </c>
      <c r="C1284" s="128" t="s">
        <v>260</v>
      </c>
      <c r="D1284" s="128" t="s">
        <v>5621</v>
      </c>
      <c r="E1284" s="128" t="s">
        <v>5622</v>
      </c>
      <c r="F1284" s="128">
        <v>2007</v>
      </c>
      <c r="G1284" s="128">
        <v>25</v>
      </c>
      <c r="H1284" s="128">
        <v>2</v>
      </c>
      <c r="I1284" s="128">
        <v>27</v>
      </c>
      <c r="J1284" s="128" t="s">
        <v>3879</v>
      </c>
      <c r="K1284" s="128">
        <v>10.3</v>
      </c>
      <c r="L1284" s="128" t="s">
        <v>5623</v>
      </c>
      <c r="M1284" s="128" t="s">
        <v>5624</v>
      </c>
      <c r="N1284" s="128" t="s">
        <v>5625</v>
      </c>
      <c r="O1284" s="128">
        <v>597</v>
      </c>
      <c r="P1284" s="128">
        <v>125</v>
      </c>
      <c r="Q1284" s="128">
        <v>106</v>
      </c>
      <c r="R1284" s="128">
        <v>251</v>
      </c>
      <c r="S1284" s="128">
        <v>60</v>
      </c>
      <c r="T1284" s="128">
        <v>60</v>
      </c>
      <c r="U1284" s="128">
        <v>602</v>
      </c>
      <c r="V1284" s="128" t="s">
        <v>1547</v>
      </c>
    </row>
    <row r="1285" spans="1:22" x14ac:dyDescent="0.35">
      <c r="A1285" s="118">
        <v>1284</v>
      </c>
      <c r="B1285" s="128" t="s">
        <v>167</v>
      </c>
      <c r="C1285" s="128" t="s">
        <v>260</v>
      </c>
      <c r="D1285" s="128" t="s">
        <v>2238</v>
      </c>
      <c r="E1285" s="128" t="s">
        <v>5626</v>
      </c>
      <c r="F1285" s="128">
        <v>2007</v>
      </c>
      <c r="G1285" s="128">
        <v>127</v>
      </c>
      <c r="H1285" s="128">
        <v>50</v>
      </c>
      <c r="I1285" s="128">
        <v>177</v>
      </c>
      <c r="J1285" s="128" t="s">
        <v>3879</v>
      </c>
      <c r="K1285" s="128">
        <v>8.8000000000000007</v>
      </c>
      <c r="L1285" s="128" t="s">
        <v>5627</v>
      </c>
      <c r="M1285" s="128" t="s">
        <v>5628</v>
      </c>
      <c r="N1285" s="128" t="s">
        <v>5629</v>
      </c>
      <c r="O1285" s="128">
        <v>534</v>
      </c>
      <c r="P1285" s="128">
        <v>117</v>
      </c>
      <c r="Q1285" s="128">
        <v>94</v>
      </c>
      <c r="R1285" s="128">
        <v>218</v>
      </c>
      <c r="S1285" s="128">
        <v>55</v>
      </c>
      <c r="T1285" s="128">
        <v>55</v>
      </c>
      <c r="U1285" s="128">
        <v>539</v>
      </c>
      <c r="V1285" s="128" t="s">
        <v>1547</v>
      </c>
    </row>
    <row r="1286" spans="1:22" x14ac:dyDescent="0.35">
      <c r="A1286" s="118">
        <v>1285</v>
      </c>
      <c r="B1286" s="128" t="s">
        <v>167</v>
      </c>
      <c r="C1286" s="128" t="s">
        <v>260</v>
      </c>
      <c r="D1286" s="128" t="s">
        <v>5630</v>
      </c>
      <c r="E1286" s="128" t="s">
        <v>5631</v>
      </c>
      <c r="F1286" s="128">
        <v>2007</v>
      </c>
      <c r="G1286" s="128">
        <v>74</v>
      </c>
      <c r="H1286" s="128">
        <v>15</v>
      </c>
      <c r="I1286" s="128">
        <v>89</v>
      </c>
      <c r="J1286" s="128" t="s">
        <v>3879</v>
      </c>
      <c r="K1286" s="128">
        <v>8.8000000000000007</v>
      </c>
      <c r="L1286" s="128" t="s">
        <v>5465</v>
      </c>
      <c r="M1286" s="128" t="s">
        <v>2331</v>
      </c>
      <c r="N1286" s="128" t="s">
        <v>3907</v>
      </c>
      <c r="O1286" s="128">
        <v>524</v>
      </c>
      <c r="P1286" s="128">
        <v>106</v>
      </c>
      <c r="Q1286" s="128">
        <v>94</v>
      </c>
      <c r="R1286" s="128">
        <v>217</v>
      </c>
      <c r="S1286" s="128">
        <v>55</v>
      </c>
      <c r="T1286" s="128">
        <v>55</v>
      </c>
      <c r="U1286" s="128">
        <v>527</v>
      </c>
      <c r="V1286" s="128" t="s">
        <v>1547</v>
      </c>
    </row>
    <row r="1287" spans="1:22" x14ac:dyDescent="0.35">
      <c r="A1287" s="118">
        <v>1286</v>
      </c>
      <c r="B1287" s="128" t="s">
        <v>167</v>
      </c>
      <c r="C1287" s="128" t="s">
        <v>260</v>
      </c>
      <c r="D1287" s="128" t="s">
        <v>5632</v>
      </c>
      <c r="E1287" s="128" t="s">
        <v>5633</v>
      </c>
      <c r="F1287" s="128">
        <v>2007</v>
      </c>
      <c r="G1287" s="128">
        <v>32</v>
      </c>
      <c r="H1287" s="128">
        <v>9</v>
      </c>
      <c r="I1287" s="128">
        <v>41</v>
      </c>
      <c r="J1287" s="128" t="s">
        <v>3879</v>
      </c>
      <c r="K1287" s="128">
        <v>4</v>
      </c>
      <c r="L1287" s="128" t="s">
        <v>5634</v>
      </c>
      <c r="M1287" s="128" t="s">
        <v>5635</v>
      </c>
      <c r="N1287" s="128" t="s">
        <v>5636</v>
      </c>
      <c r="O1287" s="128">
        <v>542</v>
      </c>
      <c r="P1287" s="128">
        <v>115</v>
      </c>
      <c r="Q1287" s="128">
        <v>94</v>
      </c>
      <c r="R1287" s="128">
        <v>225</v>
      </c>
      <c r="S1287" s="128">
        <v>51</v>
      </c>
      <c r="T1287" s="128">
        <v>60</v>
      </c>
      <c r="U1287" s="128">
        <v>545</v>
      </c>
      <c r="V1287" s="128" t="s">
        <v>1547</v>
      </c>
    </row>
    <row r="1288" spans="1:22" x14ac:dyDescent="0.35">
      <c r="A1288" s="118">
        <v>1287</v>
      </c>
      <c r="B1288" s="128" t="s">
        <v>167</v>
      </c>
      <c r="C1288" s="128" t="s">
        <v>258</v>
      </c>
      <c r="D1288" s="128" t="s">
        <v>2145</v>
      </c>
      <c r="E1288" s="128" t="s">
        <v>909</v>
      </c>
      <c r="F1288" s="128">
        <v>1995</v>
      </c>
      <c r="G1288" s="128">
        <v>133</v>
      </c>
      <c r="H1288" s="128">
        <v>17</v>
      </c>
      <c r="I1288" s="128">
        <v>150</v>
      </c>
      <c r="J1288" s="128" t="s">
        <v>5637</v>
      </c>
      <c r="K1288" s="128">
        <v>9.5</v>
      </c>
      <c r="L1288" s="128" t="s">
        <v>5638</v>
      </c>
      <c r="M1288" s="128" t="s">
        <v>2135</v>
      </c>
      <c r="N1288" s="128" t="s">
        <v>1898</v>
      </c>
      <c r="O1288" s="128">
        <v>561</v>
      </c>
      <c r="P1288" s="128">
        <v>116</v>
      </c>
      <c r="Q1288" s="128">
        <v>94</v>
      </c>
      <c r="R1288" s="128">
        <v>222</v>
      </c>
      <c r="S1288" s="128">
        <v>65</v>
      </c>
      <c r="T1288" s="128">
        <v>65</v>
      </c>
      <c r="U1288" s="128">
        <v>562</v>
      </c>
      <c r="V1288" s="128" t="s">
        <v>1547</v>
      </c>
    </row>
    <row r="1289" spans="1:22" x14ac:dyDescent="0.35">
      <c r="A1289" s="118">
        <v>1288</v>
      </c>
      <c r="B1289" s="128" t="s">
        <v>167</v>
      </c>
      <c r="C1289" s="128" t="s">
        <v>258</v>
      </c>
      <c r="D1289" s="128" t="s">
        <v>5639</v>
      </c>
      <c r="E1289" s="128" t="s">
        <v>709</v>
      </c>
      <c r="F1289" s="128">
        <v>1995</v>
      </c>
      <c r="G1289" s="128">
        <v>63</v>
      </c>
      <c r="H1289" s="128">
        <v>12</v>
      </c>
      <c r="I1289" s="128">
        <v>75</v>
      </c>
      <c r="J1289" s="128" t="s">
        <v>5637</v>
      </c>
      <c r="K1289" s="128">
        <v>9.1999999999999993</v>
      </c>
      <c r="L1289" s="128" t="s">
        <v>5640</v>
      </c>
      <c r="M1289" s="128" t="s">
        <v>2244</v>
      </c>
      <c r="N1289" s="128" t="s">
        <v>5641</v>
      </c>
      <c r="O1289" s="128">
        <v>554</v>
      </c>
      <c r="P1289" s="128">
        <v>117</v>
      </c>
      <c r="Q1289" s="128">
        <v>89</v>
      </c>
      <c r="R1289" s="128">
        <v>225</v>
      </c>
      <c r="S1289" s="128">
        <v>65</v>
      </c>
      <c r="T1289" s="128">
        <v>65</v>
      </c>
      <c r="U1289" s="128">
        <v>561</v>
      </c>
      <c r="V1289" s="128" t="s">
        <v>1547</v>
      </c>
    </row>
    <row r="1290" spans="1:22" x14ac:dyDescent="0.35">
      <c r="A1290" s="118">
        <v>1289</v>
      </c>
      <c r="B1290" s="128" t="s">
        <v>167</v>
      </c>
      <c r="C1290" s="128" t="s">
        <v>258</v>
      </c>
      <c r="D1290" s="128" t="s">
        <v>1508</v>
      </c>
      <c r="E1290" s="128" t="s">
        <v>908</v>
      </c>
      <c r="F1290" s="128">
        <v>2008</v>
      </c>
      <c r="G1290" s="128">
        <v>48</v>
      </c>
      <c r="H1290" s="128">
        <v>1</v>
      </c>
      <c r="I1290" s="128">
        <v>49</v>
      </c>
      <c r="J1290" s="128" t="s">
        <v>5637</v>
      </c>
      <c r="K1290" s="128" t="s">
        <v>5642</v>
      </c>
      <c r="L1290" s="128" t="s">
        <v>5643</v>
      </c>
      <c r="M1290" s="128" t="s">
        <v>1591</v>
      </c>
      <c r="N1290" s="128" t="s">
        <v>1564</v>
      </c>
      <c r="O1290" s="128">
        <v>524</v>
      </c>
      <c r="P1290" s="128">
        <v>116</v>
      </c>
      <c r="Q1290" s="128">
        <v>89</v>
      </c>
      <c r="R1290" s="128">
        <v>220</v>
      </c>
      <c r="S1290" s="128">
        <v>50</v>
      </c>
      <c r="T1290" s="128">
        <v>55</v>
      </c>
      <c r="U1290" s="128">
        <v>530</v>
      </c>
      <c r="V1290" s="128" t="s">
        <v>1547</v>
      </c>
    </row>
    <row r="1291" spans="1:22" x14ac:dyDescent="0.35">
      <c r="A1291" s="118">
        <v>1290</v>
      </c>
      <c r="B1291" s="128" t="s">
        <v>167</v>
      </c>
      <c r="C1291" s="128" t="s">
        <v>258</v>
      </c>
      <c r="D1291" s="128" t="s">
        <v>5644</v>
      </c>
      <c r="E1291" s="128" t="s">
        <v>907</v>
      </c>
      <c r="F1291" s="128">
        <v>1995</v>
      </c>
      <c r="G1291" s="128">
        <v>46</v>
      </c>
      <c r="H1291" s="128">
        <v>9</v>
      </c>
      <c r="I1291" s="128">
        <v>55</v>
      </c>
      <c r="J1291" s="128" t="s">
        <v>5637</v>
      </c>
      <c r="K1291" s="128">
        <v>5.3</v>
      </c>
      <c r="L1291" s="128" t="s">
        <v>3271</v>
      </c>
      <c r="M1291" s="128" t="s">
        <v>1540</v>
      </c>
      <c r="N1291" s="128" t="s">
        <v>5645</v>
      </c>
      <c r="O1291" s="128">
        <v>541</v>
      </c>
      <c r="P1291" s="128">
        <v>115</v>
      </c>
      <c r="Q1291" s="128">
        <v>89</v>
      </c>
      <c r="R1291" s="128">
        <v>227</v>
      </c>
      <c r="S1291" s="128">
        <v>55</v>
      </c>
      <c r="T1291" s="128">
        <v>60</v>
      </c>
      <c r="U1291" s="128">
        <v>546</v>
      </c>
      <c r="V1291" s="128" t="s">
        <v>1547</v>
      </c>
    </row>
    <row r="1292" spans="1:22" x14ac:dyDescent="0.35">
      <c r="A1292" s="118">
        <v>1291</v>
      </c>
      <c r="B1292" s="128" t="s">
        <v>167</v>
      </c>
      <c r="C1292" s="128" t="s">
        <v>258</v>
      </c>
      <c r="D1292" s="128" t="s">
        <v>5646</v>
      </c>
      <c r="E1292" s="128" t="s">
        <v>906</v>
      </c>
      <c r="F1292" s="128">
        <v>2008</v>
      </c>
      <c r="G1292" s="128">
        <v>57</v>
      </c>
      <c r="H1292" s="128">
        <v>6</v>
      </c>
      <c r="I1292" s="128">
        <v>63</v>
      </c>
      <c r="J1292" s="128" t="s">
        <v>5637</v>
      </c>
      <c r="K1292" s="128">
        <v>7.3</v>
      </c>
      <c r="L1292" s="128" t="s">
        <v>1662</v>
      </c>
      <c r="M1292" s="128" t="s">
        <v>1643</v>
      </c>
      <c r="N1292" s="128" t="s">
        <v>1946</v>
      </c>
      <c r="O1292" s="128">
        <v>534</v>
      </c>
      <c r="P1292" s="128">
        <v>117</v>
      </c>
      <c r="Q1292" s="128">
        <v>89</v>
      </c>
      <c r="R1292" s="128">
        <v>220</v>
      </c>
      <c r="S1292" s="128">
        <v>55</v>
      </c>
      <c r="T1292" s="128">
        <v>60</v>
      </c>
      <c r="U1292" s="128">
        <v>541</v>
      </c>
      <c r="V1292" s="128" t="s">
        <v>1547</v>
      </c>
    </row>
    <row r="1293" spans="1:22" x14ac:dyDescent="0.35">
      <c r="A1293" s="118">
        <v>1292</v>
      </c>
      <c r="B1293" s="128" t="s">
        <v>167</v>
      </c>
      <c r="C1293" s="128" t="s">
        <v>258</v>
      </c>
      <c r="D1293" s="128" t="s">
        <v>5647</v>
      </c>
      <c r="E1293" s="128" t="s">
        <v>905</v>
      </c>
      <c r="F1293" s="128">
        <v>2008</v>
      </c>
      <c r="G1293" s="128">
        <v>19</v>
      </c>
      <c r="H1293" s="128">
        <v>2</v>
      </c>
      <c r="I1293" s="128">
        <v>21</v>
      </c>
      <c r="J1293" s="128" t="s">
        <v>5637</v>
      </c>
      <c r="K1293" s="128">
        <v>2.2000000000000002</v>
      </c>
      <c r="L1293" s="128" t="s">
        <v>5648</v>
      </c>
      <c r="M1293" s="128" t="s">
        <v>5649</v>
      </c>
      <c r="N1293" s="128" t="s">
        <v>5650</v>
      </c>
      <c r="O1293" s="128">
        <v>543</v>
      </c>
      <c r="P1293" s="128">
        <v>116</v>
      </c>
      <c r="Q1293" s="128">
        <v>89</v>
      </c>
      <c r="R1293" s="128">
        <v>214</v>
      </c>
      <c r="S1293" s="128">
        <v>65</v>
      </c>
      <c r="T1293" s="128">
        <v>65</v>
      </c>
      <c r="U1293" s="128">
        <v>549</v>
      </c>
      <c r="V1293" s="128" t="s">
        <v>1547</v>
      </c>
    </row>
    <row r="1294" spans="1:22" x14ac:dyDescent="0.35">
      <c r="A1294" s="118">
        <v>1293</v>
      </c>
      <c r="B1294" s="128" t="s">
        <v>167</v>
      </c>
      <c r="C1294" s="128" t="s">
        <v>258</v>
      </c>
      <c r="D1294" s="128" t="s">
        <v>5651</v>
      </c>
      <c r="E1294" s="128" t="s">
        <v>904</v>
      </c>
      <c r="F1294" s="128">
        <v>2008</v>
      </c>
      <c r="G1294" s="128">
        <v>38</v>
      </c>
      <c r="H1294" s="128">
        <v>10</v>
      </c>
      <c r="I1294" s="128">
        <v>48</v>
      </c>
      <c r="J1294" s="128" t="s">
        <v>5637</v>
      </c>
      <c r="K1294" s="128">
        <v>21.3</v>
      </c>
      <c r="L1294" s="128" t="s">
        <v>1947</v>
      </c>
      <c r="M1294" s="128" t="s">
        <v>5652</v>
      </c>
      <c r="N1294" s="128" t="s">
        <v>5653</v>
      </c>
      <c r="O1294" s="128">
        <v>580</v>
      </c>
      <c r="P1294" s="128">
        <v>116</v>
      </c>
      <c r="Q1294" s="128">
        <v>95</v>
      </c>
      <c r="R1294" s="128">
        <v>243</v>
      </c>
      <c r="S1294" s="128">
        <v>65</v>
      </c>
      <c r="T1294" s="128">
        <v>65</v>
      </c>
      <c r="U1294" s="128">
        <v>584</v>
      </c>
      <c r="V1294" s="128" t="s">
        <v>1547</v>
      </c>
    </row>
    <row r="1295" spans="1:22" x14ac:dyDescent="0.35">
      <c r="A1295" s="118">
        <v>1294</v>
      </c>
      <c r="B1295" s="128" t="s">
        <v>167</v>
      </c>
      <c r="C1295" s="128" t="s">
        <v>258</v>
      </c>
      <c r="D1295" s="128" t="s">
        <v>2329</v>
      </c>
      <c r="E1295" s="128" t="s">
        <v>903</v>
      </c>
      <c r="F1295" s="128">
        <v>2008</v>
      </c>
      <c r="G1295" s="128">
        <v>65</v>
      </c>
      <c r="H1295" s="128">
        <v>13</v>
      </c>
      <c r="I1295" s="128">
        <v>78</v>
      </c>
      <c r="J1295" s="128" t="s">
        <v>5637</v>
      </c>
      <c r="K1295" s="128">
        <v>23.5</v>
      </c>
      <c r="L1295" s="128" t="s">
        <v>5654</v>
      </c>
      <c r="M1295" s="128" t="s">
        <v>5095</v>
      </c>
      <c r="N1295" s="128" t="s">
        <v>5655</v>
      </c>
      <c r="O1295" s="128">
        <v>563</v>
      </c>
      <c r="P1295" s="128">
        <v>117</v>
      </c>
      <c r="Q1295" s="128">
        <v>95</v>
      </c>
      <c r="R1295" s="128">
        <v>233</v>
      </c>
      <c r="S1295" s="128">
        <v>60</v>
      </c>
      <c r="T1295" s="128">
        <v>60</v>
      </c>
      <c r="U1295" s="128">
        <v>565</v>
      </c>
      <c r="V1295" s="128" t="s">
        <v>1547</v>
      </c>
    </row>
    <row r="1296" spans="1:22" x14ac:dyDescent="0.35">
      <c r="A1296" s="118">
        <v>1295</v>
      </c>
      <c r="B1296" s="128" t="s">
        <v>167</v>
      </c>
      <c r="C1296" s="128" t="s">
        <v>266</v>
      </c>
      <c r="D1296" s="128" t="s">
        <v>5656</v>
      </c>
      <c r="E1296" s="128" t="s">
        <v>923</v>
      </c>
      <c r="F1296" s="128">
        <v>1987</v>
      </c>
      <c r="G1296" s="128">
        <v>140</v>
      </c>
      <c r="H1296" s="128">
        <v>61</v>
      </c>
      <c r="I1296" s="128">
        <v>201</v>
      </c>
      <c r="J1296" s="128" t="s">
        <v>1509</v>
      </c>
      <c r="K1296" s="128">
        <v>18.399999999999999</v>
      </c>
      <c r="L1296" s="128" t="s">
        <v>1598</v>
      </c>
      <c r="M1296" s="128" t="s">
        <v>1943</v>
      </c>
      <c r="N1296" s="128" t="s">
        <v>5657</v>
      </c>
      <c r="O1296" s="128">
        <v>645</v>
      </c>
      <c r="P1296" s="128">
        <v>125</v>
      </c>
      <c r="Q1296" s="128">
        <v>110</v>
      </c>
      <c r="R1296" s="128">
        <v>262</v>
      </c>
      <c r="S1296" s="128">
        <v>75</v>
      </c>
      <c r="T1296" s="128">
        <v>75</v>
      </c>
      <c r="U1296" s="128">
        <v>647</v>
      </c>
      <c r="V1296" s="128" t="s">
        <v>1547</v>
      </c>
    </row>
    <row r="1297" spans="1:22" x14ac:dyDescent="0.35">
      <c r="A1297" s="118">
        <v>1296</v>
      </c>
      <c r="B1297" s="128" t="s">
        <v>167</v>
      </c>
      <c r="C1297" s="128" t="s">
        <v>266</v>
      </c>
      <c r="D1297" s="128" t="s">
        <v>5658</v>
      </c>
      <c r="E1297" s="128" t="s">
        <v>922</v>
      </c>
      <c r="F1297" s="128">
        <v>1987</v>
      </c>
      <c r="G1297" s="128">
        <v>91</v>
      </c>
      <c r="H1297" s="128">
        <v>30</v>
      </c>
      <c r="I1297" s="128">
        <v>121</v>
      </c>
      <c r="J1297" s="128" t="s">
        <v>1509</v>
      </c>
      <c r="K1297" s="128">
        <v>11.3</v>
      </c>
      <c r="L1297" s="128" t="s">
        <v>5659</v>
      </c>
      <c r="M1297" s="128" t="s">
        <v>5660</v>
      </c>
      <c r="N1297" s="128" t="s">
        <v>1901</v>
      </c>
      <c r="O1297" s="128">
        <v>633</v>
      </c>
      <c r="P1297" s="128">
        <v>120</v>
      </c>
      <c r="Q1297" s="128">
        <v>110</v>
      </c>
      <c r="R1297" s="128">
        <v>258</v>
      </c>
      <c r="S1297" s="128">
        <v>75</v>
      </c>
      <c r="T1297" s="128">
        <v>75</v>
      </c>
      <c r="U1297" s="128">
        <v>638</v>
      </c>
      <c r="V1297" s="128" t="s">
        <v>1547</v>
      </c>
    </row>
    <row r="1298" spans="1:22" x14ac:dyDescent="0.35">
      <c r="A1298" s="118">
        <v>1297</v>
      </c>
      <c r="B1298" s="128" t="s">
        <v>167</v>
      </c>
      <c r="C1298" s="128" t="s">
        <v>266</v>
      </c>
      <c r="D1298" s="128" t="s">
        <v>5661</v>
      </c>
      <c r="E1298" s="128" t="s">
        <v>921</v>
      </c>
      <c r="F1298" s="128">
        <v>1988</v>
      </c>
      <c r="G1298" s="128">
        <v>98</v>
      </c>
      <c r="H1298" s="128">
        <v>25</v>
      </c>
      <c r="I1298" s="128">
        <v>123</v>
      </c>
      <c r="J1298" s="128" t="s">
        <v>1509</v>
      </c>
      <c r="K1298" s="128">
        <v>17.5</v>
      </c>
      <c r="L1298" s="128" t="s">
        <v>5662</v>
      </c>
      <c r="M1298" s="128" t="s">
        <v>5663</v>
      </c>
      <c r="N1298" s="128" t="s">
        <v>3095</v>
      </c>
      <c r="O1298" s="128">
        <v>515</v>
      </c>
      <c r="P1298" s="128">
        <v>110</v>
      </c>
      <c r="Q1298" s="128">
        <v>100</v>
      </c>
      <c r="R1298" s="128">
        <v>200</v>
      </c>
      <c r="S1298" s="128">
        <v>55</v>
      </c>
      <c r="T1298" s="128">
        <v>65</v>
      </c>
      <c r="U1298" s="128">
        <v>530</v>
      </c>
      <c r="V1298" s="128" t="s">
        <v>1547</v>
      </c>
    </row>
    <row r="1299" spans="1:22" x14ac:dyDescent="0.35">
      <c r="A1299" s="118">
        <v>1298</v>
      </c>
      <c r="B1299" s="128" t="s">
        <v>167</v>
      </c>
      <c r="C1299" s="128" t="s">
        <v>266</v>
      </c>
      <c r="D1299" s="128" t="s">
        <v>5656</v>
      </c>
      <c r="E1299" s="128" t="s">
        <v>920</v>
      </c>
      <c r="F1299" s="128">
        <v>2000</v>
      </c>
      <c r="G1299" s="128">
        <v>0</v>
      </c>
      <c r="H1299" s="128">
        <v>20</v>
      </c>
      <c r="I1299" s="128">
        <v>20</v>
      </c>
      <c r="J1299" s="128" t="s">
        <v>2088</v>
      </c>
      <c r="K1299" s="128">
        <v>0</v>
      </c>
      <c r="L1299" s="128" t="s">
        <v>5664</v>
      </c>
      <c r="M1299" s="128" t="s">
        <v>5665</v>
      </c>
      <c r="N1299" s="128" t="s">
        <v>5666</v>
      </c>
      <c r="O1299" s="128">
        <v>310</v>
      </c>
      <c r="P1299" s="128">
        <v>80</v>
      </c>
      <c r="Q1299" s="128">
        <v>60</v>
      </c>
      <c r="R1299" s="128">
        <v>115</v>
      </c>
      <c r="S1299" s="128">
        <v>20</v>
      </c>
      <c r="T1299" s="128">
        <v>35</v>
      </c>
      <c r="U1299" s="128">
        <v>310</v>
      </c>
      <c r="V1299" s="128" t="s">
        <v>2643</v>
      </c>
    </row>
    <row r="1300" spans="1:22" x14ac:dyDescent="0.35">
      <c r="A1300" s="118">
        <v>1299</v>
      </c>
      <c r="B1300" s="128" t="s">
        <v>167</v>
      </c>
      <c r="C1300" s="128" t="s">
        <v>266</v>
      </c>
      <c r="D1300" s="128" t="s">
        <v>5658</v>
      </c>
      <c r="E1300" s="128" t="s">
        <v>919</v>
      </c>
      <c r="F1300" s="128">
        <v>2000</v>
      </c>
      <c r="G1300" s="128">
        <v>0</v>
      </c>
      <c r="H1300" s="128">
        <v>28</v>
      </c>
      <c r="I1300" s="128">
        <v>28</v>
      </c>
      <c r="J1300" s="128" t="s">
        <v>2088</v>
      </c>
      <c r="K1300" s="128">
        <v>0</v>
      </c>
      <c r="L1300" s="128" t="s">
        <v>5667</v>
      </c>
      <c r="M1300" s="128" t="s">
        <v>5668</v>
      </c>
      <c r="N1300" s="128" t="s">
        <v>5669</v>
      </c>
      <c r="O1300" s="128">
        <v>335</v>
      </c>
      <c r="P1300" s="128">
        <v>80</v>
      </c>
      <c r="Q1300" s="128">
        <v>64</v>
      </c>
      <c r="R1300" s="128">
        <v>133</v>
      </c>
      <c r="S1300" s="128">
        <v>30</v>
      </c>
      <c r="T1300" s="128">
        <v>38</v>
      </c>
      <c r="U1300" s="128">
        <v>345</v>
      </c>
      <c r="V1300" s="128" t="s">
        <v>2643</v>
      </c>
    </row>
    <row r="1301" spans="1:22" x14ac:dyDescent="0.35">
      <c r="A1301" s="118">
        <v>1300</v>
      </c>
      <c r="B1301" s="128" t="s">
        <v>172</v>
      </c>
      <c r="C1301" s="128" t="s">
        <v>311</v>
      </c>
      <c r="D1301" s="128" t="s">
        <v>4989</v>
      </c>
      <c r="E1301" s="128" t="s">
        <v>5670</v>
      </c>
      <c r="F1301" s="128">
        <v>1996</v>
      </c>
      <c r="G1301" s="128">
        <v>74</v>
      </c>
      <c r="H1301" s="128">
        <v>4</v>
      </c>
      <c r="I1301" s="128">
        <v>78</v>
      </c>
      <c r="J1301" s="128" t="s">
        <v>5671</v>
      </c>
      <c r="K1301" s="128">
        <v>10.75</v>
      </c>
      <c r="L1301" s="128" t="s">
        <v>5672</v>
      </c>
      <c r="M1301" s="128" t="s">
        <v>1280</v>
      </c>
      <c r="N1301" s="128" t="s">
        <v>3333</v>
      </c>
      <c r="O1301" s="128">
        <v>575</v>
      </c>
      <c r="P1301" s="128">
        <v>130</v>
      </c>
      <c r="Q1301" s="128">
        <v>83</v>
      </c>
      <c r="R1301" s="128">
        <v>215</v>
      </c>
      <c r="S1301" s="128">
        <v>75</v>
      </c>
      <c r="T1301" s="128">
        <v>75</v>
      </c>
      <c r="U1301" s="128">
        <v>578</v>
      </c>
      <c r="V1301" s="128" t="s">
        <v>1547</v>
      </c>
    </row>
    <row r="1302" spans="1:22" x14ac:dyDescent="0.35">
      <c r="A1302" s="118">
        <v>1301</v>
      </c>
      <c r="B1302" s="128" t="s">
        <v>172</v>
      </c>
      <c r="C1302" s="128" t="s">
        <v>311</v>
      </c>
      <c r="D1302" s="128" t="s">
        <v>4107</v>
      </c>
      <c r="E1302" s="128" t="s">
        <v>5673</v>
      </c>
      <c r="F1302" s="128">
        <v>1996</v>
      </c>
      <c r="G1302" s="128">
        <v>87</v>
      </c>
      <c r="H1302" s="128">
        <v>25</v>
      </c>
      <c r="I1302" s="128">
        <v>112</v>
      </c>
      <c r="J1302" s="128" t="s">
        <v>5671</v>
      </c>
      <c r="K1302" s="128">
        <v>12.5</v>
      </c>
      <c r="L1302" s="128" t="s">
        <v>5674</v>
      </c>
      <c r="M1302" s="128" t="s">
        <v>5675</v>
      </c>
      <c r="N1302" s="128" t="s">
        <v>2706</v>
      </c>
      <c r="O1302" s="128">
        <v>555</v>
      </c>
      <c r="P1302" s="128">
        <v>120</v>
      </c>
      <c r="Q1302" s="128">
        <v>83</v>
      </c>
      <c r="R1302" s="128">
        <v>209</v>
      </c>
      <c r="S1302" s="128">
        <v>74</v>
      </c>
      <c r="T1302" s="128">
        <v>74</v>
      </c>
      <c r="U1302" s="128">
        <v>560</v>
      </c>
      <c r="V1302" s="128" t="s">
        <v>1547</v>
      </c>
    </row>
    <row r="1303" spans="1:22" x14ac:dyDescent="0.35">
      <c r="A1303" s="118">
        <v>1302</v>
      </c>
      <c r="B1303" s="128" t="s">
        <v>172</v>
      </c>
      <c r="C1303" s="128" t="s">
        <v>311</v>
      </c>
      <c r="D1303" s="128" t="s">
        <v>5676</v>
      </c>
      <c r="E1303" s="128" t="s">
        <v>5677</v>
      </c>
      <c r="F1303" s="128">
        <v>1996</v>
      </c>
      <c r="G1303" s="128">
        <v>107</v>
      </c>
      <c r="H1303" s="128">
        <v>6</v>
      </c>
      <c r="I1303" s="128">
        <v>113</v>
      </c>
      <c r="J1303" s="128" t="s">
        <v>5671</v>
      </c>
      <c r="K1303" s="128">
        <v>13.25</v>
      </c>
      <c r="L1303" s="128" t="s">
        <v>3604</v>
      </c>
      <c r="M1303" s="128" t="s">
        <v>2426</v>
      </c>
      <c r="N1303" s="128" t="s">
        <v>2531</v>
      </c>
      <c r="O1303" s="128">
        <v>540</v>
      </c>
      <c r="P1303" s="128">
        <v>115</v>
      </c>
      <c r="Q1303" s="128">
        <v>83</v>
      </c>
      <c r="R1303" s="128">
        <v>210</v>
      </c>
      <c r="S1303" s="128">
        <v>70</v>
      </c>
      <c r="T1303" s="128">
        <v>70</v>
      </c>
      <c r="U1303" s="128">
        <v>548</v>
      </c>
      <c r="V1303" s="128" t="s">
        <v>1547</v>
      </c>
    </row>
    <row r="1304" spans="1:22" x14ac:dyDescent="0.35">
      <c r="A1304" s="118">
        <v>1303</v>
      </c>
      <c r="B1304" s="128" t="s">
        <v>172</v>
      </c>
      <c r="C1304" s="128" t="s">
        <v>311</v>
      </c>
      <c r="D1304" s="128" t="s">
        <v>5678</v>
      </c>
      <c r="E1304" s="128" t="s">
        <v>5679</v>
      </c>
      <c r="F1304" s="128">
        <v>1996</v>
      </c>
      <c r="G1304" s="128">
        <v>40</v>
      </c>
      <c r="H1304" s="128">
        <v>8</v>
      </c>
      <c r="I1304" s="128">
        <v>48</v>
      </c>
      <c r="J1304" s="128" t="s">
        <v>5671</v>
      </c>
      <c r="K1304" s="128">
        <v>10.25</v>
      </c>
      <c r="L1304" s="128" t="s">
        <v>5680</v>
      </c>
      <c r="M1304" s="128" t="s">
        <v>2446</v>
      </c>
      <c r="N1304" s="128" t="s">
        <v>2426</v>
      </c>
      <c r="O1304" s="128">
        <v>550</v>
      </c>
      <c r="P1304" s="128">
        <v>125</v>
      </c>
      <c r="Q1304" s="128">
        <v>90</v>
      </c>
      <c r="R1304" s="128">
        <v>210</v>
      </c>
      <c r="S1304" s="128">
        <v>70</v>
      </c>
      <c r="T1304" s="128">
        <v>70</v>
      </c>
      <c r="U1304" s="128">
        <v>565</v>
      </c>
      <c r="V1304" s="128" t="s">
        <v>1547</v>
      </c>
    </row>
    <row r="1305" spans="1:22" x14ac:dyDescent="0.35">
      <c r="A1305" s="118">
        <v>1304</v>
      </c>
      <c r="B1305" s="128" t="s">
        <v>172</v>
      </c>
      <c r="C1305" s="128" t="s">
        <v>311</v>
      </c>
      <c r="D1305" s="128" t="s">
        <v>4319</v>
      </c>
      <c r="E1305" s="128" t="s">
        <v>5681</v>
      </c>
      <c r="F1305" s="128">
        <v>1996</v>
      </c>
      <c r="G1305" s="128">
        <v>175</v>
      </c>
      <c r="H1305" s="128">
        <v>23</v>
      </c>
      <c r="I1305" s="128">
        <v>198</v>
      </c>
      <c r="J1305" s="128" t="s">
        <v>5671</v>
      </c>
      <c r="K1305" s="128">
        <v>19.25</v>
      </c>
      <c r="L1305" s="128" t="s">
        <v>5682</v>
      </c>
      <c r="M1305" s="128" t="s">
        <v>5683</v>
      </c>
      <c r="N1305" s="128" t="s">
        <v>5684</v>
      </c>
      <c r="O1305" s="128">
        <v>530</v>
      </c>
      <c r="P1305" s="128">
        <v>125</v>
      </c>
      <c r="Q1305" s="128">
        <v>83</v>
      </c>
      <c r="R1305" s="128">
        <v>192</v>
      </c>
      <c r="S1305" s="128">
        <v>70</v>
      </c>
      <c r="T1305" s="128">
        <v>70</v>
      </c>
      <c r="U1305" s="128">
        <v>540</v>
      </c>
      <c r="V1305" s="128" t="s">
        <v>1547</v>
      </c>
    </row>
    <row r="1306" spans="1:22" x14ac:dyDescent="0.35">
      <c r="A1306" s="118">
        <v>1305</v>
      </c>
      <c r="B1306" s="128" t="s">
        <v>172</v>
      </c>
      <c r="C1306" s="128" t="s">
        <v>311</v>
      </c>
      <c r="D1306" s="128" t="s">
        <v>5685</v>
      </c>
      <c r="E1306" s="128" t="s">
        <v>5686</v>
      </c>
      <c r="F1306" s="128">
        <v>1996</v>
      </c>
      <c r="G1306" s="128">
        <v>94</v>
      </c>
      <c r="H1306" s="128">
        <v>9</v>
      </c>
      <c r="I1306" s="128">
        <v>103</v>
      </c>
      <c r="J1306" s="128" t="s">
        <v>5671</v>
      </c>
      <c r="K1306" s="128">
        <v>10.5</v>
      </c>
      <c r="L1306" s="128" t="s">
        <v>2637</v>
      </c>
      <c r="M1306" s="128" t="s">
        <v>5687</v>
      </c>
      <c r="N1306" s="128" t="s">
        <v>2516</v>
      </c>
      <c r="O1306" s="128">
        <v>530</v>
      </c>
      <c r="P1306" s="128">
        <v>125</v>
      </c>
      <c r="Q1306" s="128">
        <v>86</v>
      </c>
      <c r="R1306" s="128">
        <v>195</v>
      </c>
      <c r="S1306" s="128">
        <v>70</v>
      </c>
      <c r="T1306" s="128">
        <v>70</v>
      </c>
      <c r="U1306" s="128">
        <v>546</v>
      </c>
      <c r="V1306" s="128" t="s">
        <v>1547</v>
      </c>
    </row>
    <row r="1307" spans="1:22" x14ac:dyDescent="0.35">
      <c r="A1307" s="118">
        <v>1306</v>
      </c>
      <c r="B1307" s="128" t="s">
        <v>172</v>
      </c>
      <c r="C1307" s="128" t="s">
        <v>311</v>
      </c>
      <c r="D1307" s="128" t="s">
        <v>5688</v>
      </c>
      <c r="E1307" s="128" t="s">
        <v>5689</v>
      </c>
      <c r="F1307" s="128">
        <v>1996</v>
      </c>
      <c r="G1307" s="128">
        <v>82</v>
      </c>
      <c r="H1307" s="128">
        <v>12</v>
      </c>
      <c r="I1307" s="128">
        <v>94</v>
      </c>
      <c r="J1307" s="128" t="s">
        <v>5671</v>
      </c>
      <c r="K1307" s="128">
        <v>13.5</v>
      </c>
      <c r="L1307" s="128" t="s">
        <v>2614</v>
      </c>
      <c r="M1307" s="128" t="s">
        <v>5690</v>
      </c>
      <c r="N1307" s="128" t="s">
        <v>5691</v>
      </c>
      <c r="O1307" s="128">
        <v>540</v>
      </c>
      <c r="P1307" s="128">
        <v>125</v>
      </c>
      <c r="Q1307" s="128">
        <v>86</v>
      </c>
      <c r="R1307" s="128">
        <v>199</v>
      </c>
      <c r="S1307" s="128">
        <v>70</v>
      </c>
      <c r="T1307" s="128">
        <v>70</v>
      </c>
      <c r="U1307" s="128">
        <v>550</v>
      </c>
      <c r="V1307" s="128" t="s">
        <v>1547</v>
      </c>
    </row>
    <row r="1308" spans="1:22" x14ac:dyDescent="0.35">
      <c r="A1308" s="118">
        <v>1307</v>
      </c>
      <c r="B1308" s="128" t="s">
        <v>172</v>
      </c>
      <c r="C1308" s="128" t="s">
        <v>311</v>
      </c>
      <c r="D1308" s="128" t="s">
        <v>5692</v>
      </c>
      <c r="E1308" s="128" t="s">
        <v>5693</v>
      </c>
      <c r="F1308" s="128">
        <v>1996</v>
      </c>
      <c r="G1308" s="128">
        <v>139</v>
      </c>
      <c r="H1308" s="128">
        <v>19</v>
      </c>
      <c r="I1308" s="128">
        <v>158</v>
      </c>
      <c r="J1308" s="128" t="s">
        <v>5671</v>
      </c>
      <c r="K1308" s="128">
        <v>14</v>
      </c>
      <c r="L1308" s="128" t="s">
        <v>5694</v>
      </c>
      <c r="M1308" s="128" t="s">
        <v>5695</v>
      </c>
      <c r="N1308" s="128" t="s">
        <v>5696</v>
      </c>
      <c r="O1308" s="128">
        <v>535</v>
      </c>
      <c r="P1308" s="128">
        <v>115</v>
      </c>
      <c r="Q1308" s="128">
        <v>86</v>
      </c>
      <c r="R1308" s="128">
        <v>199</v>
      </c>
      <c r="S1308" s="128">
        <v>70</v>
      </c>
      <c r="T1308" s="128">
        <v>70</v>
      </c>
      <c r="U1308" s="128">
        <v>540</v>
      </c>
      <c r="V1308" s="128" t="s">
        <v>1547</v>
      </c>
    </row>
    <row r="1309" spans="1:22" x14ac:dyDescent="0.35">
      <c r="A1309" s="118">
        <v>1308</v>
      </c>
      <c r="B1309" s="128" t="s">
        <v>172</v>
      </c>
      <c r="C1309" s="128" t="s">
        <v>311</v>
      </c>
      <c r="D1309" s="128" t="s">
        <v>5685</v>
      </c>
      <c r="E1309" s="128" t="s">
        <v>5697</v>
      </c>
      <c r="F1309" s="128">
        <v>1994</v>
      </c>
      <c r="G1309" s="128">
        <v>0</v>
      </c>
      <c r="H1309" s="128">
        <v>13</v>
      </c>
      <c r="I1309" s="128">
        <v>13</v>
      </c>
      <c r="J1309" s="128" t="s">
        <v>5698</v>
      </c>
      <c r="K1309" s="128"/>
      <c r="L1309" s="128" t="s">
        <v>5699</v>
      </c>
      <c r="M1309" s="128" t="s">
        <v>5700</v>
      </c>
      <c r="N1309" s="128" t="s">
        <v>5701</v>
      </c>
      <c r="O1309" s="128">
        <v>735</v>
      </c>
      <c r="P1309" s="128">
        <v>160</v>
      </c>
      <c r="Q1309" s="128">
        <v>118</v>
      </c>
      <c r="R1309" s="128">
        <v>295</v>
      </c>
      <c r="S1309" s="128">
        <v>95</v>
      </c>
      <c r="T1309" s="128">
        <v>105</v>
      </c>
      <c r="U1309" s="128">
        <v>773</v>
      </c>
      <c r="V1309" s="128" t="s">
        <v>2702</v>
      </c>
    </row>
    <row r="1310" spans="1:22" x14ac:dyDescent="0.35">
      <c r="A1310" s="118">
        <v>1309</v>
      </c>
      <c r="B1310" s="128" t="s">
        <v>172</v>
      </c>
      <c r="C1310" s="128" t="s">
        <v>312</v>
      </c>
      <c r="D1310" s="128" t="s">
        <v>4989</v>
      </c>
      <c r="E1310" s="128" t="s">
        <v>5702</v>
      </c>
      <c r="F1310" s="128">
        <v>1981</v>
      </c>
      <c r="G1310" s="128">
        <v>37</v>
      </c>
      <c r="H1310" s="128">
        <v>6</v>
      </c>
      <c r="I1310" s="128">
        <v>43</v>
      </c>
      <c r="J1310" s="128" t="s">
        <v>2751</v>
      </c>
      <c r="K1310" s="128" t="s">
        <v>5703</v>
      </c>
      <c r="L1310" s="128" t="s">
        <v>5704</v>
      </c>
      <c r="M1310" s="128" t="s">
        <v>5705</v>
      </c>
      <c r="N1310" s="128" t="s">
        <v>5706</v>
      </c>
      <c r="O1310" s="128">
        <v>510</v>
      </c>
      <c r="P1310" s="128">
        <v>109</v>
      </c>
      <c r="Q1310" s="128">
        <v>79</v>
      </c>
      <c r="R1310" s="128">
        <v>201</v>
      </c>
      <c r="S1310" s="128">
        <v>55</v>
      </c>
      <c r="T1310" s="128">
        <v>71</v>
      </c>
      <c r="U1310" s="128">
        <v>515</v>
      </c>
      <c r="V1310" s="128" t="s">
        <v>1547</v>
      </c>
    </row>
    <row r="1311" spans="1:22" x14ac:dyDescent="0.35">
      <c r="A1311" s="118">
        <v>1310</v>
      </c>
      <c r="B1311" s="128" t="s">
        <v>172</v>
      </c>
      <c r="C1311" s="128" t="s">
        <v>312</v>
      </c>
      <c r="D1311" s="128" t="s">
        <v>5707</v>
      </c>
      <c r="E1311" s="128" t="s">
        <v>5708</v>
      </c>
      <c r="F1311" s="128">
        <v>1981</v>
      </c>
      <c r="G1311" s="128">
        <v>57</v>
      </c>
      <c r="H1311" s="128">
        <v>1</v>
      </c>
      <c r="I1311" s="128">
        <v>58</v>
      </c>
      <c r="J1311" s="128" t="s">
        <v>2751</v>
      </c>
      <c r="K1311" s="128" t="s">
        <v>5709</v>
      </c>
      <c r="L1311" s="128" t="s">
        <v>5710</v>
      </c>
      <c r="M1311" s="128" t="s">
        <v>2521</v>
      </c>
      <c r="N1311" s="128" t="s">
        <v>2815</v>
      </c>
      <c r="O1311" s="128">
        <v>788</v>
      </c>
      <c r="P1311" s="128">
        <v>152</v>
      </c>
      <c r="Q1311" s="128">
        <v>125</v>
      </c>
      <c r="R1311" s="128">
        <v>332</v>
      </c>
      <c r="S1311" s="128">
        <v>95</v>
      </c>
      <c r="T1311" s="128">
        <v>89</v>
      </c>
      <c r="U1311" s="128">
        <v>793</v>
      </c>
      <c r="V1311" s="128" t="s">
        <v>2702</v>
      </c>
    </row>
    <row r="1312" spans="1:22" x14ac:dyDescent="0.35">
      <c r="A1312" s="118">
        <v>1311</v>
      </c>
      <c r="B1312" s="128" t="s">
        <v>172</v>
      </c>
      <c r="C1312" s="128" t="s">
        <v>312</v>
      </c>
      <c r="D1312" s="128" t="s">
        <v>5711</v>
      </c>
      <c r="E1312" s="128" t="s">
        <v>5712</v>
      </c>
      <c r="F1312" s="128">
        <v>1983</v>
      </c>
      <c r="G1312" s="128">
        <v>84</v>
      </c>
      <c r="H1312" s="128">
        <v>9</v>
      </c>
      <c r="I1312" s="128">
        <v>93</v>
      </c>
      <c r="J1312" s="128" t="s">
        <v>2751</v>
      </c>
      <c r="K1312" s="128" t="s">
        <v>5713</v>
      </c>
      <c r="L1312" s="128" t="s">
        <v>5714</v>
      </c>
      <c r="M1312" s="128" t="s">
        <v>5715</v>
      </c>
      <c r="N1312" s="128" t="s">
        <v>5716</v>
      </c>
      <c r="O1312" s="128">
        <v>718</v>
      </c>
      <c r="P1312" s="128">
        <v>140</v>
      </c>
      <c r="Q1312" s="128">
        <v>121</v>
      </c>
      <c r="R1312" s="128">
        <v>300</v>
      </c>
      <c r="S1312" s="128">
        <v>82</v>
      </c>
      <c r="T1312" s="128">
        <v>80</v>
      </c>
      <c r="U1312" s="128">
        <v>723</v>
      </c>
      <c r="V1312" s="128" t="s">
        <v>2702</v>
      </c>
    </row>
    <row r="1313" spans="1:22" x14ac:dyDescent="0.35">
      <c r="A1313" s="118">
        <v>1312</v>
      </c>
      <c r="B1313" s="128" t="s">
        <v>172</v>
      </c>
      <c r="C1313" s="128" t="s">
        <v>312</v>
      </c>
      <c r="D1313" s="128" t="s">
        <v>5717</v>
      </c>
      <c r="E1313" s="128" t="s">
        <v>5718</v>
      </c>
      <c r="F1313" s="128">
        <v>1981</v>
      </c>
      <c r="G1313" s="128">
        <v>149</v>
      </c>
      <c r="H1313" s="128">
        <v>7</v>
      </c>
      <c r="I1313" s="128">
        <v>156</v>
      </c>
      <c r="J1313" s="128" t="s">
        <v>2751</v>
      </c>
      <c r="K1313" s="128" t="s">
        <v>5719</v>
      </c>
      <c r="L1313" s="128" t="s">
        <v>5720</v>
      </c>
      <c r="M1313" s="128" t="s">
        <v>5721</v>
      </c>
      <c r="N1313" s="128" t="s">
        <v>5722</v>
      </c>
      <c r="O1313" s="128">
        <v>515</v>
      </c>
      <c r="P1313" s="128">
        <v>105</v>
      </c>
      <c r="Q1313" s="128">
        <v>97</v>
      </c>
      <c r="R1313" s="128">
        <v>205</v>
      </c>
      <c r="S1313" s="128">
        <v>57</v>
      </c>
      <c r="T1313" s="128">
        <v>56</v>
      </c>
      <c r="U1313" s="128">
        <v>520</v>
      </c>
      <c r="V1313" s="128" t="s">
        <v>1547</v>
      </c>
    </row>
    <row r="1314" spans="1:22" x14ac:dyDescent="0.35">
      <c r="A1314" s="118">
        <v>1313</v>
      </c>
      <c r="B1314" s="128" t="s">
        <v>172</v>
      </c>
      <c r="C1314" s="128" t="s">
        <v>312</v>
      </c>
      <c r="D1314" s="128" t="s">
        <v>5723</v>
      </c>
      <c r="E1314" s="128" t="s">
        <v>5724</v>
      </c>
      <c r="F1314" s="128">
        <v>1990</v>
      </c>
      <c r="G1314" s="128">
        <v>96</v>
      </c>
      <c r="H1314" s="128">
        <v>12</v>
      </c>
      <c r="I1314" s="128">
        <v>108</v>
      </c>
      <c r="J1314" s="128" t="s">
        <v>2751</v>
      </c>
      <c r="K1314" s="128">
        <v>58.22</v>
      </c>
      <c r="L1314" s="128" t="s">
        <v>5725</v>
      </c>
      <c r="M1314" s="128" t="s">
        <v>5726</v>
      </c>
      <c r="N1314" s="128" t="s">
        <v>5727</v>
      </c>
      <c r="O1314" s="128">
        <v>530</v>
      </c>
      <c r="P1314" s="128">
        <v>104</v>
      </c>
      <c r="Q1314" s="128">
        <v>93</v>
      </c>
      <c r="R1314" s="128">
        <v>214</v>
      </c>
      <c r="S1314" s="128">
        <v>52</v>
      </c>
      <c r="T1314" s="128">
        <v>72</v>
      </c>
      <c r="U1314" s="128">
        <v>535</v>
      </c>
      <c r="V1314" s="128" t="s">
        <v>1547</v>
      </c>
    </row>
    <row r="1315" spans="1:22" x14ac:dyDescent="0.35">
      <c r="A1315" s="118">
        <v>1314</v>
      </c>
      <c r="B1315" s="128" t="s">
        <v>172</v>
      </c>
      <c r="C1315" s="128" t="s">
        <v>313</v>
      </c>
      <c r="D1315" s="128" t="s">
        <v>4989</v>
      </c>
      <c r="E1315" s="128" t="s">
        <v>1297</v>
      </c>
      <c r="F1315" s="128">
        <v>1996</v>
      </c>
      <c r="G1315" s="128">
        <v>186</v>
      </c>
      <c r="H1315" s="128">
        <v>62</v>
      </c>
      <c r="I1315" s="128">
        <v>248</v>
      </c>
      <c r="J1315" s="128" t="s">
        <v>5671</v>
      </c>
      <c r="K1315" s="128">
        <v>51.25</v>
      </c>
      <c r="L1315" s="128" t="s">
        <v>2407</v>
      </c>
      <c r="M1315" s="128" t="s">
        <v>5728</v>
      </c>
      <c r="N1315" s="128" t="s">
        <v>5729</v>
      </c>
      <c r="O1315" s="128">
        <v>708</v>
      </c>
      <c r="P1315" s="128">
        <v>150</v>
      </c>
      <c r="Q1315" s="128">
        <v>100</v>
      </c>
      <c r="R1315" s="128">
        <v>295</v>
      </c>
      <c r="S1315" s="128">
        <v>83</v>
      </c>
      <c r="T1315" s="128">
        <v>85</v>
      </c>
      <c r="U1315" s="128">
        <v>713</v>
      </c>
      <c r="V1315" s="128" t="s">
        <v>2702</v>
      </c>
    </row>
    <row r="1316" spans="1:22" x14ac:dyDescent="0.35">
      <c r="A1316" s="118">
        <v>1315</v>
      </c>
      <c r="B1316" s="128" t="s">
        <v>172</v>
      </c>
      <c r="C1316" s="128" t="s">
        <v>313</v>
      </c>
      <c r="D1316" s="128" t="s">
        <v>2640</v>
      </c>
      <c r="E1316" s="128" t="s">
        <v>1296</v>
      </c>
      <c r="F1316" s="128">
        <v>98</v>
      </c>
      <c r="G1316" s="128">
        <v>98</v>
      </c>
      <c r="H1316" s="128">
        <v>30</v>
      </c>
      <c r="I1316" s="128">
        <v>128</v>
      </c>
      <c r="J1316" s="128" t="s">
        <v>5671</v>
      </c>
      <c r="K1316" s="128">
        <v>34.5</v>
      </c>
      <c r="L1316" s="128" t="s">
        <v>2493</v>
      </c>
      <c r="M1316" s="128" t="s">
        <v>5730</v>
      </c>
      <c r="N1316" s="128" t="s">
        <v>5731</v>
      </c>
      <c r="O1316" s="128">
        <v>585</v>
      </c>
      <c r="P1316" s="128">
        <v>130</v>
      </c>
      <c r="Q1316" s="128">
        <v>85</v>
      </c>
      <c r="R1316" s="128">
        <v>220</v>
      </c>
      <c r="S1316" s="128">
        <v>80</v>
      </c>
      <c r="T1316" s="128">
        <v>75</v>
      </c>
      <c r="U1316" s="128">
        <v>590</v>
      </c>
      <c r="V1316" s="128" t="s">
        <v>1547</v>
      </c>
    </row>
    <row r="1317" spans="1:22" x14ac:dyDescent="0.35">
      <c r="A1317" s="118">
        <v>1316</v>
      </c>
      <c r="B1317" s="128" t="s">
        <v>172</v>
      </c>
      <c r="C1317" s="128" t="s">
        <v>313</v>
      </c>
      <c r="D1317" s="128" t="s">
        <v>5732</v>
      </c>
      <c r="E1317" s="128" t="s">
        <v>1295</v>
      </c>
      <c r="F1317" s="128">
        <v>1996</v>
      </c>
      <c r="G1317" s="128">
        <v>147</v>
      </c>
      <c r="H1317" s="128">
        <v>34</v>
      </c>
      <c r="I1317" s="128">
        <v>181</v>
      </c>
      <c r="J1317" s="128" t="s">
        <v>5671</v>
      </c>
      <c r="K1317" s="128">
        <v>40.25</v>
      </c>
      <c r="L1317" s="128" t="s">
        <v>5733</v>
      </c>
      <c r="M1317" s="128" t="s">
        <v>5734</v>
      </c>
      <c r="N1317" s="128" t="s">
        <v>5735</v>
      </c>
      <c r="O1317" s="128">
        <v>605</v>
      </c>
      <c r="P1317" s="128">
        <v>135</v>
      </c>
      <c r="Q1317" s="128">
        <v>85</v>
      </c>
      <c r="R1317" s="128">
        <v>230</v>
      </c>
      <c r="S1317" s="128">
        <v>80</v>
      </c>
      <c r="T1317" s="128">
        <v>80</v>
      </c>
      <c r="U1317" s="128">
        <v>610</v>
      </c>
      <c r="V1317" s="128" t="s">
        <v>1547</v>
      </c>
    </row>
    <row r="1318" spans="1:22" x14ac:dyDescent="0.35">
      <c r="A1318" s="118">
        <v>1317</v>
      </c>
      <c r="B1318" s="128" t="s">
        <v>172</v>
      </c>
      <c r="C1318" s="128" t="s">
        <v>325</v>
      </c>
      <c r="D1318" s="128" t="s">
        <v>4989</v>
      </c>
      <c r="E1318" s="128" t="s">
        <v>1214</v>
      </c>
      <c r="F1318" s="128">
        <v>1985</v>
      </c>
      <c r="G1318" s="128">
        <v>137</v>
      </c>
      <c r="H1318" s="128">
        <v>1</v>
      </c>
      <c r="I1318" s="128">
        <v>138</v>
      </c>
      <c r="J1318" s="128" t="s">
        <v>2751</v>
      </c>
      <c r="K1318" s="128">
        <v>113.55</v>
      </c>
      <c r="L1318" s="128" t="s">
        <v>5736</v>
      </c>
      <c r="M1318" s="128" t="s">
        <v>5737</v>
      </c>
      <c r="N1318" s="128" t="s">
        <v>5738</v>
      </c>
      <c r="O1318" s="128">
        <v>860</v>
      </c>
      <c r="P1318" s="128">
        <v>170</v>
      </c>
      <c r="Q1318" s="128">
        <v>110</v>
      </c>
      <c r="R1318" s="128">
        <v>352</v>
      </c>
      <c r="S1318" s="128">
        <v>100</v>
      </c>
      <c r="T1318" s="128">
        <v>130</v>
      </c>
      <c r="U1318" s="128">
        <v>876</v>
      </c>
      <c r="V1318" s="128" t="s">
        <v>2702</v>
      </c>
    </row>
    <row r="1319" spans="1:22" x14ac:dyDescent="0.35">
      <c r="A1319" s="118">
        <v>1318</v>
      </c>
      <c r="B1319" s="128" t="s">
        <v>172</v>
      </c>
      <c r="C1319" s="128" t="s">
        <v>325</v>
      </c>
      <c r="D1319" s="128" t="s">
        <v>5739</v>
      </c>
      <c r="E1319" s="128" t="s">
        <v>1213</v>
      </c>
      <c r="F1319" s="128">
        <v>1990</v>
      </c>
      <c r="G1319" s="128">
        <v>195</v>
      </c>
      <c r="H1319" s="128">
        <v>37</v>
      </c>
      <c r="I1319" s="128">
        <v>232</v>
      </c>
      <c r="J1319" s="128" t="s">
        <v>2751</v>
      </c>
      <c r="K1319" s="128">
        <v>111.3</v>
      </c>
      <c r="L1319" s="128" t="s">
        <v>1586</v>
      </c>
      <c r="M1319" s="128" t="s">
        <v>5740</v>
      </c>
      <c r="N1319" s="128" t="s">
        <v>5741</v>
      </c>
      <c r="O1319" s="128">
        <v>655</v>
      </c>
      <c r="P1319" s="128">
        <v>102</v>
      </c>
      <c r="Q1319" s="128">
        <v>83</v>
      </c>
      <c r="R1319" s="128">
        <v>196</v>
      </c>
      <c r="S1319" s="128">
        <v>46</v>
      </c>
      <c r="T1319" s="128">
        <v>54</v>
      </c>
      <c r="U1319" s="128">
        <v>481</v>
      </c>
      <c r="V1319" s="128" t="s">
        <v>1547</v>
      </c>
    </row>
    <row r="1320" spans="1:22" x14ac:dyDescent="0.35">
      <c r="A1320" s="118">
        <v>1319</v>
      </c>
      <c r="B1320" s="128" t="s">
        <v>172</v>
      </c>
      <c r="C1320" s="128" t="s">
        <v>325</v>
      </c>
      <c r="D1320" s="128" t="s">
        <v>5742</v>
      </c>
      <c r="E1320" s="128" t="s">
        <v>1212</v>
      </c>
      <c r="F1320" s="128">
        <v>1994</v>
      </c>
      <c r="G1320" s="128">
        <v>158</v>
      </c>
      <c r="H1320" s="128">
        <v>16</v>
      </c>
      <c r="I1320" s="128">
        <v>174</v>
      </c>
      <c r="J1320" s="128" t="s">
        <v>2751</v>
      </c>
      <c r="K1320" s="128">
        <v>133</v>
      </c>
      <c r="L1320" s="128" t="s">
        <v>1653</v>
      </c>
      <c r="M1320" s="128" t="s">
        <v>5743</v>
      </c>
      <c r="N1320" s="128" t="s">
        <v>5744</v>
      </c>
      <c r="O1320" s="128">
        <v>595</v>
      </c>
      <c r="P1320" s="128">
        <v>135</v>
      </c>
      <c r="Q1320" s="128">
        <v>94</v>
      </c>
      <c r="R1320" s="128">
        <v>216</v>
      </c>
      <c r="S1320" s="128">
        <v>25</v>
      </c>
      <c r="T1320" s="128">
        <v>80</v>
      </c>
      <c r="U1320" s="128">
        <v>600</v>
      </c>
      <c r="V1320" s="128" t="s">
        <v>1547</v>
      </c>
    </row>
    <row r="1321" spans="1:22" x14ac:dyDescent="0.35">
      <c r="A1321" s="118">
        <v>1320</v>
      </c>
      <c r="B1321" s="128" t="s">
        <v>172</v>
      </c>
      <c r="C1321" s="128" t="s">
        <v>325</v>
      </c>
      <c r="D1321" s="128" t="s">
        <v>5745</v>
      </c>
      <c r="E1321" s="128" t="s">
        <v>1211</v>
      </c>
      <c r="F1321" s="128">
        <v>1997</v>
      </c>
      <c r="G1321" s="128">
        <v>203</v>
      </c>
      <c r="H1321" s="128">
        <v>51</v>
      </c>
      <c r="I1321" s="128">
        <v>254</v>
      </c>
      <c r="J1321" s="128" t="s">
        <v>2751</v>
      </c>
      <c r="K1321" s="128">
        <v>89.5</v>
      </c>
      <c r="L1321" s="128" t="s">
        <v>5746</v>
      </c>
      <c r="M1321" s="128" t="s">
        <v>1856</v>
      </c>
      <c r="N1321" s="128" t="s">
        <v>1963</v>
      </c>
      <c r="O1321" s="128">
        <v>660</v>
      </c>
      <c r="P1321" s="128">
        <v>135</v>
      </c>
      <c r="Q1321" s="128">
        <v>112</v>
      </c>
      <c r="R1321" s="128">
        <v>255</v>
      </c>
      <c r="S1321" s="128">
        <v>80</v>
      </c>
      <c r="T1321" s="128">
        <v>80</v>
      </c>
      <c r="U1321" s="128">
        <v>662</v>
      </c>
      <c r="V1321" s="128" t="s">
        <v>1547</v>
      </c>
    </row>
    <row r="1322" spans="1:22" x14ac:dyDescent="0.35">
      <c r="A1322" s="118">
        <v>1321</v>
      </c>
      <c r="B1322" s="128" t="s">
        <v>172</v>
      </c>
      <c r="C1322" s="128" t="s">
        <v>325</v>
      </c>
      <c r="D1322" s="128" t="s">
        <v>2654</v>
      </c>
      <c r="E1322" s="128" t="s">
        <v>1210</v>
      </c>
      <c r="F1322" s="128">
        <v>1996</v>
      </c>
      <c r="G1322" s="128">
        <v>152</v>
      </c>
      <c r="H1322" s="128">
        <v>20</v>
      </c>
      <c r="I1322" s="128">
        <v>172</v>
      </c>
      <c r="J1322" s="128" t="s">
        <v>2751</v>
      </c>
      <c r="K1322" s="128">
        <v>82.25</v>
      </c>
      <c r="L1322" s="128" t="s">
        <v>5747</v>
      </c>
      <c r="M1322" s="128" t="s">
        <v>1620</v>
      </c>
      <c r="N1322" s="128" t="s">
        <v>1647</v>
      </c>
      <c r="O1322" s="128">
        <v>665</v>
      </c>
      <c r="P1322" s="128">
        <v>135</v>
      </c>
      <c r="Q1322" s="128">
        <v>110</v>
      </c>
      <c r="R1322" s="128">
        <v>262</v>
      </c>
      <c r="S1322" s="128">
        <v>80</v>
      </c>
      <c r="T1322" s="128">
        <v>80</v>
      </c>
      <c r="U1322" s="128">
        <v>667</v>
      </c>
      <c r="V1322" s="128" t="s">
        <v>1547</v>
      </c>
    </row>
    <row r="1323" spans="1:22" x14ac:dyDescent="0.35">
      <c r="A1323" s="118">
        <v>1322</v>
      </c>
      <c r="B1323" s="128" t="s">
        <v>172</v>
      </c>
      <c r="C1323" s="128" t="s">
        <v>325</v>
      </c>
      <c r="D1323" s="128" t="s">
        <v>5748</v>
      </c>
      <c r="E1323" s="128" t="s">
        <v>1209</v>
      </c>
      <c r="F1323" s="128">
        <v>1993</v>
      </c>
      <c r="G1323" s="128">
        <v>20</v>
      </c>
      <c r="H1323" s="128">
        <v>0</v>
      </c>
      <c r="I1323" s="128">
        <v>20</v>
      </c>
      <c r="J1323" s="128" t="s">
        <v>2751</v>
      </c>
      <c r="K1323" s="128">
        <v>75.95</v>
      </c>
      <c r="L1323" s="128" t="s">
        <v>2476</v>
      </c>
      <c r="M1323" s="128" t="s">
        <v>1876</v>
      </c>
      <c r="N1323" s="128" t="s">
        <v>5749</v>
      </c>
      <c r="O1323" s="128">
        <v>655</v>
      </c>
      <c r="P1323" s="128">
        <v>135</v>
      </c>
      <c r="Q1323" s="128">
        <v>102</v>
      </c>
      <c r="R1323" s="128">
        <v>260</v>
      </c>
      <c r="S1323" s="128">
        <v>80</v>
      </c>
      <c r="T1323" s="128">
        <v>77</v>
      </c>
      <c r="U1323" s="128">
        <v>660</v>
      </c>
      <c r="V1323" s="128" t="s">
        <v>1547</v>
      </c>
    </row>
    <row r="1324" spans="1:22" x14ac:dyDescent="0.35">
      <c r="A1324" s="118">
        <v>1323</v>
      </c>
      <c r="B1324" s="128" t="s">
        <v>172</v>
      </c>
      <c r="C1324" s="128" t="s">
        <v>325</v>
      </c>
      <c r="D1324" s="128" t="s">
        <v>5750</v>
      </c>
      <c r="E1324" s="128" t="s">
        <v>1366</v>
      </c>
      <c r="F1324" s="128">
        <v>2016</v>
      </c>
      <c r="G1324" s="128">
        <v>0</v>
      </c>
      <c r="H1324" s="128">
        <v>37</v>
      </c>
      <c r="I1324" s="128">
        <v>37</v>
      </c>
      <c r="J1324" s="128" t="s">
        <v>5751</v>
      </c>
      <c r="K1324" s="128">
        <v>2.0099999999999998</v>
      </c>
      <c r="L1324" s="128" t="s">
        <v>5145</v>
      </c>
      <c r="M1324" s="128" t="s">
        <v>5752</v>
      </c>
      <c r="N1324" s="128" t="s">
        <v>5753</v>
      </c>
      <c r="O1324" s="128">
        <v>310</v>
      </c>
      <c r="P1324" s="128">
        <v>67</v>
      </c>
      <c r="Q1324" s="128">
        <v>55</v>
      </c>
      <c r="R1324" s="128">
        <v>102</v>
      </c>
      <c r="S1324" s="128">
        <v>40</v>
      </c>
      <c r="T1324" s="128">
        <v>50</v>
      </c>
      <c r="U1324" s="128">
        <v>314</v>
      </c>
      <c r="V1324" s="128" t="s">
        <v>2643</v>
      </c>
    </row>
    <row r="1325" spans="1:22" x14ac:dyDescent="0.35">
      <c r="A1325" s="118">
        <v>1324</v>
      </c>
      <c r="B1325" s="128" t="s">
        <v>172</v>
      </c>
      <c r="C1325" s="128" t="s">
        <v>325</v>
      </c>
      <c r="D1325" s="128" t="s">
        <v>4989</v>
      </c>
      <c r="E1325" s="128" t="s">
        <v>1367</v>
      </c>
      <c r="F1325" s="128">
        <v>2017</v>
      </c>
      <c r="G1325" s="128">
        <v>0</v>
      </c>
      <c r="H1325" s="128">
        <v>21</v>
      </c>
      <c r="I1325" s="128">
        <v>20</v>
      </c>
      <c r="J1325" s="128" t="s">
        <v>5754</v>
      </c>
      <c r="K1325" s="128"/>
      <c r="L1325" s="128" t="s">
        <v>5755</v>
      </c>
      <c r="M1325" s="128" t="s">
        <v>4425</v>
      </c>
      <c r="N1325" s="128" t="s">
        <v>2259</v>
      </c>
      <c r="O1325" s="128">
        <v>295</v>
      </c>
      <c r="P1325" s="128">
        <v>66</v>
      </c>
      <c r="Q1325" s="128">
        <v>48</v>
      </c>
      <c r="R1325" s="128">
        <v>100</v>
      </c>
      <c r="S1325" s="128">
        <v>40</v>
      </c>
      <c r="T1325" s="128">
        <v>50</v>
      </c>
      <c r="U1325" s="128">
        <v>304</v>
      </c>
      <c r="V1325" s="128" t="s">
        <v>2643</v>
      </c>
    </row>
    <row r="1326" spans="1:22" x14ac:dyDescent="0.35">
      <c r="A1326" s="118">
        <v>1325</v>
      </c>
      <c r="B1326" s="128" t="s">
        <v>172</v>
      </c>
      <c r="C1326" s="128" t="s">
        <v>314</v>
      </c>
      <c r="D1326" s="128" t="s">
        <v>5756</v>
      </c>
      <c r="E1326" s="128" t="s">
        <v>1307</v>
      </c>
      <c r="F1326" s="128">
        <v>2002</v>
      </c>
      <c r="G1326" s="128">
        <v>160</v>
      </c>
      <c r="H1326" s="128">
        <v>17</v>
      </c>
      <c r="I1326" s="128">
        <v>177</v>
      </c>
      <c r="J1326" s="128" t="s">
        <v>2751</v>
      </c>
      <c r="K1326" s="128">
        <v>61.12</v>
      </c>
      <c r="L1326" s="128" t="s">
        <v>5757</v>
      </c>
      <c r="M1326" s="128" t="s">
        <v>5758</v>
      </c>
      <c r="N1326" s="128" t="s">
        <v>5759</v>
      </c>
      <c r="O1326" s="128">
        <v>525</v>
      </c>
      <c r="P1326" s="128">
        <v>102</v>
      </c>
      <c r="Q1326" s="128">
        <v>85</v>
      </c>
      <c r="R1326" s="128">
        <v>183</v>
      </c>
      <c r="S1326" s="128">
        <v>80</v>
      </c>
      <c r="T1326" s="128">
        <v>80</v>
      </c>
      <c r="U1326" s="128">
        <v>530</v>
      </c>
      <c r="V1326" s="128" t="s">
        <v>1547</v>
      </c>
    </row>
    <row r="1327" spans="1:22" x14ac:dyDescent="0.35">
      <c r="A1327" s="118">
        <v>1326</v>
      </c>
      <c r="B1327" s="128" t="s">
        <v>172</v>
      </c>
      <c r="C1327" s="128" t="s">
        <v>314</v>
      </c>
      <c r="D1327" s="128" t="s">
        <v>5760</v>
      </c>
      <c r="E1327" s="128" t="s">
        <v>1306</v>
      </c>
      <c r="F1327" s="128">
        <v>1991</v>
      </c>
      <c r="G1327" s="128">
        <v>80</v>
      </c>
      <c r="H1327" s="128">
        <v>9</v>
      </c>
      <c r="I1327" s="128">
        <v>89</v>
      </c>
      <c r="J1327" s="128" t="s">
        <v>2751</v>
      </c>
      <c r="K1327" s="128">
        <v>84.35</v>
      </c>
      <c r="L1327" s="128" t="s">
        <v>2493</v>
      </c>
      <c r="M1327" s="128" t="s">
        <v>2516</v>
      </c>
      <c r="N1327" s="128" t="s">
        <v>5761</v>
      </c>
      <c r="O1327" s="128">
        <v>555</v>
      </c>
      <c r="P1327" s="128">
        <v>105</v>
      </c>
      <c r="Q1327" s="128">
        <v>85</v>
      </c>
      <c r="R1327" s="128">
        <v>209</v>
      </c>
      <c r="S1327" s="128">
        <v>80</v>
      </c>
      <c r="T1327" s="128">
        <v>80</v>
      </c>
      <c r="U1327" s="128">
        <v>559</v>
      </c>
      <c r="V1327" s="128" t="s">
        <v>1547</v>
      </c>
    </row>
    <row r="1328" spans="1:22" x14ac:dyDescent="0.35">
      <c r="A1328" s="118">
        <v>1327</v>
      </c>
      <c r="B1328" s="128" t="s">
        <v>172</v>
      </c>
      <c r="C1328" s="128" t="s">
        <v>314</v>
      </c>
      <c r="D1328" s="128" t="s">
        <v>5762</v>
      </c>
      <c r="E1328" s="128" t="s">
        <v>1305</v>
      </c>
      <c r="F1328" s="128">
        <v>1991</v>
      </c>
      <c r="G1328" s="128">
        <v>151</v>
      </c>
      <c r="H1328" s="128">
        <v>33</v>
      </c>
      <c r="I1328" s="128">
        <v>184</v>
      </c>
      <c r="J1328" s="128" t="s">
        <v>2751</v>
      </c>
      <c r="K1328" s="128">
        <v>137.41999999999999</v>
      </c>
      <c r="L1328" s="128" t="s">
        <v>5763</v>
      </c>
      <c r="M1328" s="128" t="s">
        <v>3478</v>
      </c>
      <c r="N1328" s="128" t="s">
        <v>5691</v>
      </c>
      <c r="O1328" s="128">
        <v>748</v>
      </c>
      <c r="P1328" s="128">
        <v>130</v>
      </c>
      <c r="Q1328" s="128">
        <v>122</v>
      </c>
      <c r="R1328" s="128">
        <v>308</v>
      </c>
      <c r="S1328" s="128">
        <v>90</v>
      </c>
      <c r="T1328" s="128">
        <v>103</v>
      </c>
      <c r="U1328" s="128">
        <v>753</v>
      </c>
      <c r="V1328" s="128" t="s">
        <v>2702</v>
      </c>
    </row>
    <row r="1329" spans="1:22" x14ac:dyDescent="0.35">
      <c r="A1329" s="118">
        <v>1328</v>
      </c>
      <c r="B1329" s="128" t="s">
        <v>172</v>
      </c>
      <c r="C1329" s="128" t="s">
        <v>314</v>
      </c>
      <c r="D1329" s="128" t="s">
        <v>5711</v>
      </c>
      <c r="E1329" s="128" t="s">
        <v>1304</v>
      </c>
      <c r="F1329" s="128">
        <v>2001</v>
      </c>
      <c r="G1329" s="128">
        <v>170</v>
      </c>
      <c r="H1329" s="128">
        <v>47</v>
      </c>
      <c r="I1329" s="128">
        <v>217</v>
      </c>
      <c r="J1329" s="128" t="s">
        <v>2751</v>
      </c>
      <c r="K1329" s="128">
        <v>73.88</v>
      </c>
      <c r="L1329" s="128" t="s">
        <v>2432</v>
      </c>
      <c r="M1329" s="128" t="s">
        <v>2446</v>
      </c>
      <c r="N1329" s="128" t="s">
        <v>5764</v>
      </c>
      <c r="O1329" s="128">
        <v>553</v>
      </c>
      <c r="P1329" s="128">
        <v>102</v>
      </c>
      <c r="Q1329" s="128">
        <v>84</v>
      </c>
      <c r="R1329" s="128">
        <v>212</v>
      </c>
      <c r="S1329" s="128">
        <v>80</v>
      </c>
      <c r="T1329" s="128">
        <v>80</v>
      </c>
      <c r="U1329" s="128">
        <v>558</v>
      </c>
      <c r="V1329" s="128" t="s">
        <v>1547</v>
      </c>
    </row>
    <row r="1330" spans="1:22" x14ac:dyDescent="0.35">
      <c r="A1330" s="118">
        <v>1329</v>
      </c>
      <c r="B1330" s="128" t="s">
        <v>172</v>
      </c>
      <c r="C1330" s="128" t="s">
        <v>314</v>
      </c>
      <c r="D1330" s="128" t="s">
        <v>5765</v>
      </c>
      <c r="E1330" s="128" t="s">
        <v>1303</v>
      </c>
      <c r="F1330" s="128">
        <v>2003</v>
      </c>
      <c r="G1330" s="128">
        <v>92</v>
      </c>
      <c r="H1330" s="128">
        <v>19</v>
      </c>
      <c r="I1330" s="128">
        <v>111</v>
      </c>
      <c r="J1330" s="128" t="s">
        <v>2751</v>
      </c>
      <c r="K1330" s="128">
        <v>60.86</v>
      </c>
      <c r="L1330" s="128" t="s">
        <v>5766</v>
      </c>
      <c r="M1330" s="128" t="s">
        <v>2406</v>
      </c>
      <c r="N1330" s="128" t="s">
        <v>3988</v>
      </c>
      <c r="O1330" s="128">
        <v>550</v>
      </c>
      <c r="P1330" s="128">
        <v>104</v>
      </c>
      <c r="Q1330" s="128">
        <v>89</v>
      </c>
      <c r="R1330" s="128">
        <v>204</v>
      </c>
      <c r="S1330" s="128">
        <v>80</v>
      </c>
      <c r="T1330" s="128">
        <v>80</v>
      </c>
      <c r="U1330" s="128">
        <v>557</v>
      </c>
      <c r="V1330" s="128" t="s">
        <v>1547</v>
      </c>
    </row>
    <row r="1331" spans="1:22" x14ac:dyDescent="0.35">
      <c r="A1331" s="118">
        <v>1330</v>
      </c>
      <c r="B1331" s="128" t="s">
        <v>172</v>
      </c>
      <c r="C1331" s="128" t="s">
        <v>314</v>
      </c>
      <c r="D1331" s="128" t="s">
        <v>5767</v>
      </c>
      <c r="E1331" s="128" t="s">
        <v>1302</v>
      </c>
      <c r="F1331" s="128">
        <v>1995</v>
      </c>
      <c r="G1331" s="128">
        <v>79</v>
      </c>
      <c r="H1331" s="128">
        <v>14</v>
      </c>
      <c r="I1331" s="128">
        <v>93</v>
      </c>
      <c r="J1331" s="128" t="s">
        <v>2751</v>
      </c>
      <c r="K1331" s="128">
        <v>49.32</v>
      </c>
      <c r="L1331" s="128" t="s">
        <v>5768</v>
      </c>
      <c r="M1331" s="128" t="s">
        <v>5769</v>
      </c>
      <c r="N1331" s="128" t="s">
        <v>5770</v>
      </c>
      <c r="O1331" s="128">
        <v>560</v>
      </c>
      <c r="P1331" s="128">
        <v>104</v>
      </c>
      <c r="Q1331" s="128">
        <v>89</v>
      </c>
      <c r="R1331" s="128">
        <v>213</v>
      </c>
      <c r="S1331" s="128">
        <v>80</v>
      </c>
      <c r="T1331" s="128">
        <v>80</v>
      </c>
      <c r="U1331" s="128">
        <v>566</v>
      </c>
      <c r="V1331" s="128" t="s">
        <v>1547</v>
      </c>
    </row>
    <row r="1332" spans="1:22" x14ac:dyDescent="0.35">
      <c r="A1332" s="118">
        <v>1331</v>
      </c>
      <c r="B1332" s="128" t="s">
        <v>172</v>
      </c>
      <c r="C1332" s="128" t="s">
        <v>314</v>
      </c>
      <c r="D1332" s="128" t="s">
        <v>2739</v>
      </c>
      <c r="E1332" s="128" t="s">
        <v>1301</v>
      </c>
      <c r="F1332" s="128">
        <v>2007</v>
      </c>
      <c r="G1332" s="128">
        <v>152</v>
      </c>
      <c r="H1332" s="128">
        <v>25</v>
      </c>
      <c r="I1332" s="128">
        <v>177</v>
      </c>
      <c r="J1332" s="128" t="s">
        <v>2751</v>
      </c>
      <c r="K1332" s="128">
        <v>46.79</v>
      </c>
      <c r="L1332" s="128" t="s">
        <v>5771</v>
      </c>
      <c r="M1332" s="128" t="s">
        <v>5772</v>
      </c>
      <c r="N1332" s="128" t="s">
        <v>5773</v>
      </c>
      <c r="O1332" s="128">
        <v>550</v>
      </c>
      <c r="P1332" s="128">
        <v>104</v>
      </c>
      <c r="Q1332" s="128">
        <v>86</v>
      </c>
      <c r="R1332" s="128">
        <v>208</v>
      </c>
      <c r="S1332" s="128">
        <v>80</v>
      </c>
      <c r="T1332" s="128">
        <v>80</v>
      </c>
      <c r="U1332" s="128">
        <v>558</v>
      </c>
      <c r="V1332" s="128" t="s">
        <v>1547</v>
      </c>
    </row>
    <row r="1333" spans="1:22" x14ac:dyDescent="0.35">
      <c r="A1333" s="118">
        <v>1332</v>
      </c>
      <c r="B1333" s="128" t="s">
        <v>172</v>
      </c>
      <c r="C1333" s="128" t="s">
        <v>314</v>
      </c>
      <c r="D1333" s="128" t="s">
        <v>3278</v>
      </c>
      <c r="E1333" s="128" t="s">
        <v>1300</v>
      </c>
      <c r="F1333" s="128">
        <v>2007</v>
      </c>
      <c r="G1333" s="128">
        <v>94</v>
      </c>
      <c r="H1333" s="128">
        <v>19</v>
      </c>
      <c r="I1333" s="128">
        <v>113</v>
      </c>
      <c r="J1333" s="128" t="s">
        <v>2751</v>
      </c>
      <c r="K1333" s="128">
        <v>48.92</v>
      </c>
      <c r="L1333" s="128" t="s">
        <v>5774</v>
      </c>
      <c r="M1333" s="128" t="s">
        <v>5775</v>
      </c>
      <c r="N1333" s="128" t="s">
        <v>5776</v>
      </c>
      <c r="O1333" s="128">
        <v>535</v>
      </c>
      <c r="P1333" s="128">
        <v>102</v>
      </c>
      <c r="Q1333" s="128">
        <v>83</v>
      </c>
      <c r="R1333" s="128">
        <v>197</v>
      </c>
      <c r="S1333" s="128">
        <v>80</v>
      </c>
      <c r="T1333" s="128">
        <v>80</v>
      </c>
      <c r="U1333" s="128">
        <v>542</v>
      </c>
      <c r="V1333" s="128" t="s">
        <v>1547</v>
      </c>
    </row>
    <row r="1334" spans="1:22" x14ac:dyDescent="0.35">
      <c r="A1334" s="118">
        <v>1333</v>
      </c>
      <c r="B1334" s="128" t="s">
        <v>172</v>
      </c>
      <c r="C1334" s="128" t="s">
        <v>314</v>
      </c>
      <c r="D1334" s="128" t="s">
        <v>3278</v>
      </c>
      <c r="E1334" s="128" t="s">
        <v>1298</v>
      </c>
      <c r="F1334" s="128">
        <v>2016</v>
      </c>
      <c r="G1334" s="128">
        <v>0</v>
      </c>
      <c r="H1334" s="128">
        <v>19</v>
      </c>
      <c r="I1334" s="128">
        <v>19</v>
      </c>
      <c r="J1334" s="128" t="s">
        <v>2751</v>
      </c>
      <c r="K1334" s="128">
        <v>48.92</v>
      </c>
      <c r="L1334" s="128" t="s">
        <v>5777</v>
      </c>
      <c r="M1334" s="128" t="s">
        <v>5778</v>
      </c>
      <c r="N1334" s="128" t="s">
        <v>5779</v>
      </c>
      <c r="O1334" s="128">
        <v>290</v>
      </c>
      <c r="P1334" s="128">
        <v>66</v>
      </c>
      <c r="Q1334" s="128">
        <v>48</v>
      </c>
      <c r="R1334" s="128">
        <v>100</v>
      </c>
      <c r="S1334" s="128">
        <v>40</v>
      </c>
      <c r="T1334" s="128">
        <v>50</v>
      </c>
      <c r="U1334" s="128">
        <v>304</v>
      </c>
      <c r="V1334" s="128" t="s">
        <v>2643</v>
      </c>
    </row>
    <row r="1335" spans="1:22" x14ac:dyDescent="0.35">
      <c r="A1335" s="118">
        <v>1334</v>
      </c>
      <c r="B1335" s="128" t="s">
        <v>172</v>
      </c>
      <c r="C1335" s="128" t="s">
        <v>314</v>
      </c>
      <c r="D1335" s="128" t="s">
        <v>5760</v>
      </c>
      <c r="E1335" s="128" t="s">
        <v>5780</v>
      </c>
      <c r="F1335" s="128">
        <v>2022</v>
      </c>
      <c r="G1335" s="128">
        <v>67</v>
      </c>
      <c r="H1335" s="128">
        <v>12</v>
      </c>
      <c r="I1335" s="128">
        <v>79</v>
      </c>
      <c r="J1335" s="128" t="s">
        <v>2751</v>
      </c>
      <c r="K1335" s="128">
        <v>10.25</v>
      </c>
      <c r="L1335" s="128" t="s">
        <v>5781</v>
      </c>
      <c r="M1335" s="128" t="s">
        <v>5782</v>
      </c>
      <c r="N1335" s="128" t="s">
        <v>5783</v>
      </c>
      <c r="O1335" s="128">
        <v>200</v>
      </c>
      <c r="P1335" s="128">
        <v>65</v>
      </c>
      <c r="Q1335" s="128">
        <v>45</v>
      </c>
      <c r="R1335" s="128">
        <v>95</v>
      </c>
      <c r="S1335" s="128">
        <v>10</v>
      </c>
      <c r="T1335" s="128">
        <v>30</v>
      </c>
      <c r="U1335" s="128">
        <v>245</v>
      </c>
      <c r="V1335" s="128" t="s">
        <v>3122</v>
      </c>
    </row>
    <row r="1336" spans="1:22" x14ac:dyDescent="0.35">
      <c r="A1336" s="118">
        <v>1335</v>
      </c>
      <c r="B1336" s="128" t="s">
        <v>172</v>
      </c>
      <c r="C1336" s="128" t="s">
        <v>315</v>
      </c>
      <c r="D1336" s="128" t="s">
        <v>2391</v>
      </c>
      <c r="E1336" s="128" t="s">
        <v>1313</v>
      </c>
      <c r="F1336" s="128">
        <v>1992</v>
      </c>
      <c r="G1336" s="128">
        <v>192</v>
      </c>
      <c r="H1336" s="128">
        <v>15</v>
      </c>
      <c r="I1336" s="128">
        <v>207</v>
      </c>
      <c r="J1336" s="128" t="s">
        <v>2751</v>
      </c>
      <c r="K1336" s="128">
        <v>32.25</v>
      </c>
      <c r="L1336" s="128" t="s">
        <v>2506</v>
      </c>
      <c r="M1336" s="128" t="s">
        <v>3398</v>
      </c>
      <c r="N1336" s="128" t="s">
        <v>5784</v>
      </c>
      <c r="O1336" s="128">
        <v>738</v>
      </c>
      <c r="P1336" s="128">
        <v>161</v>
      </c>
      <c r="Q1336" s="128">
        <v>118</v>
      </c>
      <c r="R1336" s="128">
        <v>295</v>
      </c>
      <c r="S1336" s="128">
        <v>95</v>
      </c>
      <c r="T1336" s="128">
        <v>130</v>
      </c>
      <c r="U1336" s="128">
        <v>799</v>
      </c>
      <c r="V1336" s="128" t="s">
        <v>1417</v>
      </c>
    </row>
    <row r="1337" spans="1:22" x14ac:dyDescent="0.35">
      <c r="A1337" s="118">
        <v>1336</v>
      </c>
      <c r="B1337" s="128" t="s">
        <v>172</v>
      </c>
      <c r="C1337" s="128" t="s">
        <v>315</v>
      </c>
      <c r="D1337" s="128" t="s">
        <v>5785</v>
      </c>
      <c r="E1337" s="128" t="s">
        <v>1312</v>
      </c>
      <c r="F1337" s="128">
        <v>1999</v>
      </c>
      <c r="G1337" s="128">
        <v>188</v>
      </c>
      <c r="H1337" s="128">
        <v>22</v>
      </c>
      <c r="I1337" s="128">
        <v>210</v>
      </c>
      <c r="J1337" s="128" t="s">
        <v>2751</v>
      </c>
      <c r="K1337" s="128">
        <v>25.8</v>
      </c>
      <c r="L1337" s="128" t="s">
        <v>5786</v>
      </c>
      <c r="M1337" s="128" t="s">
        <v>5787</v>
      </c>
      <c r="N1337" s="128" t="s">
        <v>3837</v>
      </c>
      <c r="O1337" s="128">
        <v>715</v>
      </c>
      <c r="P1337" s="128">
        <v>175</v>
      </c>
      <c r="Q1337" s="128">
        <v>118</v>
      </c>
      <c r="R1337" s="128">
        <v>295</v>
      </c>
      <c r="S1337" s="128">
        <v>96</v>
      </c>
      <c r="T1337" s="128">
        <v>95</v>
      </c>
      <c r="U1337" s="128">
        <v>779</v>
      </c>
      <c r="V1337" s="128" t="s">
        <v>1417</v>
      </c>
    </row>
    <row r="1338" spans="1:22" x14ac:dyDescent="0.35">
      <c r="A1338" s="118">
        <v>1337</v>
      </c>
      <c r="B1338" s="128" t="s">
        <v>172</v>
      </c>
      <c r="C1338" s="128" t="s">
        <v>315</v>
      </c>
      <c r="D1338" s="128" t="s">
        <v>5788</v>
      </c>
      <c r="E1338" s="128" t="s">
        <v>1311</v>
      </c>
      <c r="F1338" s="128">
        <v>1984</v>
      </c>
      <c r="G1338" s="128">
        <v>130</v>
      </c>
      <c r="H1338" s="128">
        <v>17</v>
      </c>
      <c r="I1338" s="128">
        <v>147</v>
      </c>
      <c r="J1338" s="128" t="s">
        <v>2751</v>
      </c>
      <c r="K1338" s="128">
        <v>19.350000000000001</v>
      </c>
      <c r="L1338" s="128" t="s">
        <v>5789</v>
      </c>
      <c r="M1338" s="128" t="s">
        <v>5790</v>
      </c>
      <c r="N1338" s="128" t="s">
        <v>2489</v>
      </c>
      <c r="O1338" s="128">
        <v>605</v>
      </c>
      <c r="P1338" s="128">
        <v>118</v>
      </c>
      <c r="Q1338" s="128">
        <v>107</v>
      </c>
      <c r="R1338" s="128">
        <v>247</v>
      </c>
      <c r="S1338" s="128">
        <v>70</v>
      </c>
      <c r="T1338" s="128">
        <v>78</v>
      </c>
      <c r="U1338" s="128">
        <v>620</v>
      </c>
      <c r="V1338" s="128" t="s">
        <v>1397</v>
      </c>
    </row>
    <row r="1339" spans="1:22" x14ac:dyDescent="0.35">
      <c r="A1339" s="118">
        <v>1338</v>
      </c>
      <c r="B1339" s="128" t="s">
        <v>172</v>
      </c>
      <c r="C1339" s="128" t="s">
        <v>315</v>
      </c>
      <c r="D1339" s="128" t="s">
        <v>5791</v>
      </c>
      <c r="E1339" s="128" t="s">
        <v>1310</v>
      </c>
      <c r="F1339" s="128">
        <v>1997</v>
      </c>
      <c r="G1339" s="128">
        <v>205</v>
      </c>
      <c r="H1339" s="128">
        <v>25</v>
      </c>
      <c r="I1339" s="128">
        <v>230</v>
      </c>
      <c r="J1339" s="128" t="s">
        <v>2751</v>
      </c>
      <c r="K1339" s="128">
        <v>32.25</v>
      </c>
      <c r="L1339" s="128" t="s">
        <v>3600</v>
      </c>
      <c r="M1339" s="128" t="s">
        <v>5792</v>
      </c>
      <c r="N1339" s="128" t="s">
        <v>5793</v>
      </c>
      <c r="O1339" s="128">
        <v>650</v>
      </c>
      <c r="P1339" s="128">
        <v>120</v>
      </c>
      <c r="Q1339" s="128">
        <v>105</v>
      </c>
      <c r="R1339" s="128">
        <v>208</v>
      </c>
      <c r="S1339" s="128">
        <v>41</v>
      </c>
      <c r="T1339" s="128">
        <v>51</v>
      </c>
      <c r="U1339" s="128">
        <v>525</v>
      </c>
      <c r="V1339" s="128" t="s">
        <v>1397</v>
      </c>
    </row>
    <row r="1340" spans="1:22" x14ac:dyDescent="0.35">
      <c r="A1340" s="118">
        <v>1339</v>
      </c>
      <c r="B1340" s="128" t="s">
        <v>172</v>
      </c>
      <c r="C1340" s="128" t="s">
        <v>315</v>
      </c>
      <c r="D1340" s="128" t="s">
        <v>2848</v>
      </c>
      <c r="E1340" s="128" t="s">
        <v>1309</v>
      </c>
      <c r="F1340" s="128">
        <v>1985</v>
      </c>
      <c r="G1340" s="128">
        <v>145</v>
      </c>
      <c r="H1340" s="128">
        <v>18</v>
      </c>
      <c r="I1340" s="128">
        <v>163</v>
      </c>
      <c r="J1340" s="128" t="s">
        <v>2751</v>
      </c>
      <c r="K1340" s="128">
        <v>12.9</v>
      </c>
      <c r="L1340" s="128" t="s">
        <v>5794</v>
      </c>
      <c r="M1340" s="128" t="s">
        <v>3498</v>
      </c>
      <c r="N1340" s="128" t="s">
        <v>5795</v>
      </c>
      <c r="O1340" s="128">
        <v>640</v>
      </c>
      <c r="P1340" s="128">
        <v>120</v>
      </c>
      <c r="Q1340" s="128">
        <v>107</v>
      </c>
      <c r="R1340" s="128">
        <v>213</v>
      </c>
      <c r="S1340" s="128">
        <v>41</v>
      </c>
      <c r="T1340" s="128">
        <v>55</v>
      </c>
      <c r="U1340" s="128">
        <v>536</v>
      </c>
      <c r="V1340" s="128" t="s">
        <v>1397</v>
      </c>
    </row>
    <row r="1341" spans="1:22" x14ac:dyDescent="0.35">
      <c r="A1341" s="118">
        <v>1340</v>
      </c>
      <c r="B1341" s="128" t="s">
        <v>172</v>
      </c>
      <c r="C1341" s="128" t="s">
        <v>315</v>
      </c>
      <c r="D1341" s="128" t="s">
        <v>5217</v>
      </c>
      <c r="E1341" s="128" t="s">
        <v>1308</v>
      </c>
      <c r="F1341" s="128">
        <v>1998</v>
      </c>
      <c r="G1341" s="128">
        <v>95</v>
      </c>
      <c r="H1341" s="128">
        <v>9</v>
      </c>
      <c r="I1341" s="128">
        <v>104</v>
      </c>
      <c r="J1341" s="128" t="s">
        <v>2751</v>
      </c>
      <c r="K1341" s="128">
        <v>6.45</v>
      </c>
      <c r="L1341" s="128" t="s">
        <v>2432</v>
      </c>
      <c r="M1341" s="128" t="s">
        <v>4957</v>
      </c>
      <c r="N1341" s="128" t="s">
        <v>3142</v>
      </c>
      <c r="O1341" s="128">
        <v>665</v>
      </c>
      <c r="P1341" s="128">
        <v>125</v>
      </c>
      <c r="Q1341" s="128">
        <v>100</v>
      </c>
      <c r="R1341" s="128">
        <v>231</v>
      </c>
      <c r="S1341" s="128">
        <v>52</v>
      </c>
      <c r="T1341" s="128">
        <v>75</v>
      </c>
      <c r="U1341" s="128">
        <v>583</v>
      </c>
      <c r="V1341" s="128" t="s">
        <v>1397</v>
      </c>
    </row>
    <row r="1342" spans="1:22" x14ac:dyDescent="0.35">
      <c r="A1342" s="118">
        <v>1341</v>
      </c>
      <c r="B1342" s="128" t="s">
        <v>172</v>
      </c>
      <c r="C1342" s="128" t="s">
        <v>316</v>
      </c>
      <c r="D1342" s="128" t="s">
        <v>5796</v>
      </c>
      <c r="E1342" s="128" t="s">
        <v>1132</v>
      </c>
      <c r="F1342" s="128">
        <v>2002</v>
      </c>
      <c r="G1342" s="128">
        <v>338</v>
      </c>
      <c r="H1342" s="128">
        <v>120</v>
      </c>
      <c r="I1342" s="128">
        <v>458</v>
      </c>
      <c r="J1342" s="128" t="s">
        <v>2751</v>
      </c>
      <c r="K1342" s="128">
        <v>256.10000000000002</v>
      </c>
      <c r="L1342" s="128" t="s">
        <v>3074</v>
      </c>
      <c r="M1342" s="128" t="s">
        <v>5797</v>
      </c>
      <c r="N1342" s="128" t="s">
        <v>5798</v>
      </c>
      <c r="O1342" s="128">
        <v>738</v>
      </c>
      <c r="P1342" s="128">
        <v>161</v>
      </c>
      <c r="Q1342" s="128">
        <v>118</v>
      </c>
      <c r="R1342" s="128">
        <v>295</v>
      </c>
      <c r="S1342" s="128">
        <v>95</v>
      </c>
      <c r="T1342" s="128">
        <v>130</v>
      </c>
      <c r="U1342" s="128">
        <v>799</v>
      </c>
      <c r="V1342" s="128" t="s">
        <v>1417</v>
      </c>
    </row>
    <row r="1343" spans="1:22" x14ac:dyDescent="0.35">
      <c r="A1343" s="118">
        <v>1342</v>
      </c>
      <c r="B1343" s="128" t="s">
        <v>172</v>
      </c>
      <c r="C1343" s="128" t="s">
        <v>316</v>
      </c>
      <c r="D1343" s="128" t="s">
        <v>2765</v>
      </c>
      <c r="E1343" s="128" t="s">
        <v>1130</v>
      </c>
      <c r="F1343" s="128">
        <v>1986</v>
      </c>
      <c r="G1343" s="128">
        <v>433</v>
      </c>
      <c r="H1343" s="128">
        <v>171</v>
      </c>
      <c r="I1343" s="128">
        <v>604</v>
      </c>
      <c r="J1343" s="128" t="s">
        <v>2751</v>
      </c>
      <c r="K1343" s="128">
        <v>265.3</v>
      </c>
      <c r="L1343" s="128" t="s">
        <v>1643</v>
      </c>
      <c r="M1343" s="128" t="s">
        <v>5799</v>
      </c>
      <c r="N1343" s="128" t="s">
        <v>5800</v>
      </c>
      <c r="O1343" s="128">
        <v>715</v>
      </c>
      <c r="P1343" s="128">
        <v>175</v>
      </c>
      <c r="Q1343" s="128">
        <v>118</v>
      </c>
      <c r="R1343" s="128">
        <v>295</v>
      </c>
      <c r="S1343" s="128">
        <v>96</v>
      </c>
      <c r="T1343" s="128">
        <v>95</v>
      </c>
      <c r="U1343" s="128">
        <v>779</v>
      </c>
      <c r="V1343" s="128" t="s">
        <v>1417</v>
      </c>
    </row>
    <row r="1344" spans="1:22" x14ac:dyDescent="0.35">
      <c r="A1344" s="118">
        <v>1343</v>
      </c>
      <c r="B1344" s="128" t="s">
        <v>172</v>
      </c>
      <c r="C1344" s="128" t="s">
        <v>316</v>
      </c>
      <c r="D1344" s="128" t="s">
        <v>5801</v>
      </c>
      <c r="E1344" s="128" t="s">
        <v>1321</v>
      </c>
      <c r="F1344" s="128">
        <v>1986</v>
      </c>
      <c r="G1344" s="128">
        <v>216</v>
      </c>
      <c r="H1344" s="128">
        <v>118</v>
      </c>
      <c r="I1344" s="128">
        <v>334</v>
      </c>
      <c r="J1344" s="128" t="s">
        <v>2751</v>
      </c>
      <c r="K1344" s="128">
        <v>163.69999999999999</v>
      </c>
      <c r="L1344" s="128" t="s">
        <v>1568</v>
      </c>
      <c r="M1344" s="128" t="s">
        <v>5802</v>
      </c>
      <c r="N1344" s="128" t="s">
        <v>5803</v>
      </c>
      <c r="O1344" s="128">
        <v>605</v>
      </c>
      <c r="P1344" s="128">
        <v>122</v>
      </c>
      <c r="Q1344" s="128">
        <v>107</v>
      </c>
      <c r="R1344" s="128">
        <v>245</v>
      </c>
      <c r="S1344" s="128">
        <v>55</v>
      </c>
      <c r="T1344" s="128">
        <v>77</v>
      </c>
      <c r="U1344" s="128">
        <v>606</v>
      </c>
      <c r="V1344" s="128" t="s">
        <v>1397</v>
      </c>
    </row>
    <row r="1345" spans="1:22" x14ac:dyDescent="0.35">
      <c r="A1345" s="118">
        <v>1344</v>
      </c>
      <c r="B1345" s="128" t="s">
        <v>172</v>
      </c>
      <c r="C1345" s="128" t="s">
        <v>316</v>
      </c>
      <c r="D1345" s="128" t="s">
        <v>2391</v>
      </c>
      <c r="E1345" s="128" t="s">
        <v>1320</v>
      </c>
      <c r="F1345" s="128">
        <v>2000</v>
      </c>
      <c r="G1345" s="128">
        <v>183</v>
      </c>
      <c r="H1345" s="128">
        <v>93</v>
      </c>
      <c r="I1345" s="128">
        <v>276</v>
      </c>
      <c r="J1345" s="128" t="s">
        <v>2751</v>
      </c>
      <c r="K1345" s="128">
        <v>165.8</v>
      </c>
      <c r="L1345" s="128" t="s">
        <v>5804</v>
      </c>
      <c r="M1345" s="128" t="s">
        <v>5805</v>
      </c>
      <c r="N1345" s="128" t="s">
        <v>1960</v>
      </c>
      <c r="O1345" s="128">
        <v>650</v>
      </c>
      <c r="P1345" s="128">
        <v>127</v>
      </c>
      <c r="Q1345" s="128">
        <v>107</v>
      </c>
      <c r="R1345" s="128">
        <v>258</v>
      </c>
      <c r="S1345" s="128">
        <v>80</v>
      </c>
      <c r="T1345" s="128">
        <v>80</v>
      </c>
      <c r="U1345" s="128">
        <v>652</v>
      </c>
      <c r="V1345" s="128" t="s">
        <v>1397</v>
      </c>
    </row>
    <row r="1346" spans="1:22" x14ac:dyDescent="0.35">
      <c r="A1346" s="118">
        <v>1345</v>
      </c>
      <c r="B1346" s="128" t="s">
        <v>172</v>
      </c>
      <c r="C1346" s="128" t="s">
        <v>316</v>
      </c>
      <c r="D1346" s="128" t="s">
        <v>5806</v>
      </c>
      <c r="E1346" s="128" t="s">
        <v>1319</v>
      </c>
      <c r="F1346" s="128">
        <v>1998</v>
      </c>
      <c r="G1346" s="128">
        <v>152</v>
      </c>
      <c r="H1346" s="128">
        <v>115</v>
      </c>
      <c r="I1346" s="128">
        <v>267</v>
      </c>
      <c r="J1346" s="128" t="s">
        <v>2751</v>
      </c>
      <c r="K1346" s="128">
        <v>123.1</v>
      </c>
      <c r="L1346" s="128" t="s">
        <v>5807</v>
      </c>
      <c r="M1346" s="128" t="s">
        <v>2004</v>
      </c>
      <c r="N1346" s="128" t="s">
        <v>1600</v>
      </c>
      <c r="O1346" s="128">
        <v>640</v>
      </c>
      <c r="P1346" s="128">
        <v>114</v>
      </c>
      <c r="Q1346" s="128">
        <v>110</v>
      </c>
      <c r="R1346" s="128">
        <v>261</v>
      </c>
      <c r="S1346" s="128">
        <v>75</v>
      </c>
      <c r="T1346" s="128">
        <v>80</v>
      </c>
      <c r="U1346" s="128">
        <v>640</v>
      </c>
      <c r="V1346" s="128" t="s">
        <v>1397</v>
      </c>
    </row>
    <row r="1347" spans="1:22" x14ac:dyDescent="0.35">
      <c r="A1347" s="118">
        <v>1346</v>
      </c>
      <c r="B1347" s="128" t="s">
        <v>172</v>
      </c>
      <c r="C1347" s="128" t="s">
        <v>316</v>
      </c>
      <c r="D1347" s="128" t="s">
        <v>5808</v>
      </c>
      <c r="E1347" s="128" t="s">
        <v>1318</v>
      </c>
      <c r="F1347" s="128">
        <v>1984</v>
      </c>
      <c r="G1347" s="128">
        <v>152</v>
      </c>
      <c r="H1347" s="128">
        <v>121</v>
      </c>
      <c r="I1347" s="128">
        <v>273</v>
      </c>
      <c r="J1347" s="128" t="s">
        <v>2751</v>
      </c>
      <c r="K1347" s="128">
        <v>186.7</v>
      </c>
      <c r="L1347" s="128" t="s">
        <v>5809</v>
      </c>
      <c r="M1347" s="128" t="s">
        <v>5810</v>
      </c>
      <c r="N1347" s="128" t="s">
        <v>1559</v>
      </c>
      <c r="O1347" s="128">
        <v>665</v>
      </c>
      <c r="P1347" s="128">
        <v>125</v>
      </c>
      <c r="Q1347" s="128">
        <v>108</v>
      </c>
      <c r="R1347" s="128">
        <v>264</v>
      </c>
      <c r="S1347" s="128">
        <v>78</v>
      </c>
      <c r="T1347" s="128">
        <v>80</v>
      </c>
      <c r="U1347" s="128">
        <v>655</v>
      </c>
      <c r="V1347" s="128" t="s">
        <v>1397</v>
      </c>
    </row>
    <row r="1348" spans="1:22" x14ac:dyDescent="0.35">
      <c r="A1348" s="118">
        <v>1347</v>
      </c>
      <c r="B1348" s="128" t="s">
        <v>172</v>
      </c>
      <c r="C1348" s="128" t="s">
        <v>316</v>
      </c>
      <c r="D1348" s="128" t="s">
        <v>5796</v>
      </c>
      <c r="E1348" s="128" t="s">
        <v>1314</v>
      </c>
      <c r="F1348" s="128">
        <v>2019</v>
      </c>
      <c r="G1348" s="128">
        <v>18</v>
      </c>
      <c r="H1348" s="128">
        <v>3</v>
      </c>
      <c r="I1348" s="128">
        <v>21</v>
      </c>
      <c r="J1348" s="128" t="s">
        <v>2751</v>
      </c>
      <c r="K1348" s="128">
        <v>15</v>
      </c>
      <c r="L1348" s="128" t="s">
        <v>4149</v>
      </c>
      <c r="M1348" s="128" t="s">
        <v>5811</v>
      </c>
      <c r="N1348" s="128" t="s">
        <v>5812</v>
      </c>
      <c r="O1348" s="128">
        <v>355</v>
      </c>
      <c r="P1348" s="128">
        <v>66</v>
      </c>
      <c r="Q1348" s="128">
        <v>70</v>
      </c>
      <c r="R1348" s="128">
        <v>130</v>
      </c>
      <c r="S1348" s="128">
        <v>17</v>
      </c>
      <c r="T1348" s="128">
        <v>45</v>
      </c>
      <c r="U1348" s="128">
        <v>328</v>
      </c>
      <c r="V1348" s="128" t="s">
        <v>1416</v>
      </c>
    </row>
    <row r="1349" spans="1:22" x14ac:dyDescent="0.35">
      <c r="A1349" s="118">
        <v>1348</v>
      </c>
      <c r="B1349" s="128" t="s">
        <v>172</v>
      </c>
      <c r="C1349" s="128" t="s">
        <v>316</v>
      </c>
      <c r="D1349" s="128" t="s">
        <v>2765</v>
      </c>
      <c r="E1349" s="128" t="s">
        <v>5813</v>
      </c>
      <c r="F1349" s="128">
        <v>2019</v>
      </c>
      <c r="G1349" s="128">
        <v>39</v>
      </c>
      <c r="H1349" s="128">
        <v>27</v>
      </c>
      <c r="I1349" s="128">
        <v>66</v>
      </c>
      <c r="J1349" s="128" t="s">
        <v>2751</v>
      </c>
      <c r="K1349" s="128">
        <v>32.299999999999997</v>
      </c>
      <c r="L1349" s="128" t="s">
        <v>2590</v>
      </c>
      <c r="M1349" s="128" t="s">
        <v>2151</v>
      </c>
      <c r="N1349" s="128" t="s">
        <v>5814</v>
      </c>
      <c r="O1349" s="128">
        <v>285</v>
      </c>
      <c r="P1349" s="128">
        <v>66</v>
      </c>
      <c r="Q1349" s="128">
        <v>60</v>
      </c>
      <c r="R1349" s="128">
        <v>130</v>
      </c>
      <c r="S1349" s="128">
        <v>15</v>
      </c>
      <c r="T1349" s="128">
        <v>31</v>
      </c>
      <c r="U1349" s="128">
        <v>302</v>
      </c>
      <c r="V1349" s="128" t="s">
        <v>1416</v>
      </c>
    </row>
    <row r="1350" spans="1:22" x14ac:dyDescent="0.35">
      <c r="A1350" s="118">
        <v>1349</v>
      </c>
      <c r="B1350" s="128" t="s">
        <v>172</v>
      </c>
      <c r="C1350" s="128" t="s">
        <v>316</v>
      </c>
      <c r="D1350" s="128" t="s">
        <v>2391</v>
      </c>
      <c r="E1350" s="128" t="s">
        <v>381</v>
      </c>
      <c r="F1350" s="128">
        <v>2019</v>
      </c>
      <c r="G1350" s="128">
        <v>62</v>
      </c>
      <c r="H1350" s="128">
        <v>33</v>
      </c>
      <c r="I1350" s="128">
        <v>95</v>
      </c>
      <c r="J1350" s="128" t="s">
        <v>2751</v>
      </c>
      <c r="K1350" s="128">
        <v>42</v>
      </c>
      <c r="L1350" s="128" t="s">
        <v>3092</v>
      </c>
      <c r="M1350" s="128" t="s">
        <v>5815</v>
      </c>
      <c r="N1350" s="128" t="s">
        <v>5816</v>
      </c>
      <c r="O1350" s="128">
        <v>295</v>
      </c>
      <c r="P1350" s="128">
        <v>67</v>
      </c>
      <c r="Q1350" s="128">
        <v>65</v>
      </c>
      <c r="R1350" s="128">
        <v>125</v>
      </c>
      <c r="S1350" s="128">
        <v>25</v>
      </c>
      <c r="T1350" s="128">
        <v>45</v>
      </c>
      <c r="U1350" s="128">
        <v>327</v>
      </c>
      <c r="V1350" s="128" t="s">
        <v>1416</v>
      </c>
    </row>
    <row r="1351" spans="1:22" x14ac:dyDescent="0.35">
      <c r="A1351" s="118">
        <v>1350</v>
      </c>
      <c r="B1351" s="128" t="s">
        <v>172</v>
      </c>
      <c r="C1351" s="128" t="s">
        <v>316</v>
      </c>
      <c r="D1351" s="128" t="s">
        <v>2765</v>
      </c>
      <c r="E1351" s="128" t="s">
        <v>1315</v>
      </c>
      <c r="F1351" s="128">
        <v>2019</v>
      </c>
      <c r="G1351" s="128">
        <v>35</v>
      </c>
      <c r="H1351" s="128">
        <v>2</v>
      </c>
      <c r="I1351" s="128">
        <v>37</v>
      </c>
      <c r="J1351" s="128" t="s">
        <v>2751</v>
      </c>
      <c r="K1351" s="128">
        <v>20</v>
      </c>
      <c r="L1351" s="128" t="s">
        <v>5467</v>
      </c>
      <c r="M1351" s="128" t="s">
        <v>5817</v>
      </c>
      <c r="N1351" s="128" t="s">
        <v>1514</v>
      </c>
      <c r="O1351" s="128">
        <v>335</v>
      </c>
      <c r="P1351" s="128">
        <v>66</v>
      </c>
      <c r="Q1351" s="128">
        <v>66</v>
      </c>
      <c r="R1351" s="128">
        <v>131</v>
      </c>
      <c r="S1351" s="128">
        <v>35</v>
      </c>
      <c r="T1351" s="128">
        <v>38</v>
      </c>
      <c r="U1351" s="128">
        <v>336</v>
      </c>
      <c r="V1351" s="128" t="s">
        <v>1416</v>
      </c>
    </row>
    <row r="1352" spans="1:22" x14ac:dyDescent="0.35">
      <c r="A1352" s="118">
        <v>1351</v>
      </c>
      <c r="B1352" s="128" t="s">
        <v>172</v>
      </c>
      <c r="C1352" s="128" t="s">
        <v>316</v>
      </c>
      <c r="D1352" s="128" t="s">
        <v>2765</v>
      </c>
      <c r="E1352" s="128" t="s">
        <v>5818</v>
      </c>
      <c r="F1352" s="128">
        <v>2019</v>
      </c>
      <c r="G1352" s="128" t="s">
        <v>1560</v>
      </c>
      <c r="H1352" s="128">
        <v>29</v>
      </c>
      <c r="I1352" s="128">
        <v>29</v>
      </c>
      <c r="J1352" s="128" t="s">
        <v>2751</v>
      </c>
      <c r="K1352" s="128">
        <v>10</v>
      </c>
      <c r="L1352" s="128" t="s">
        <v>5819</v>
      </c>
      <c r="M1352" s="128" t="s">
        <v>2259</v>
      </c>
      <c r="N1352" s="128" t="s">
        <v>5820</v>
      </c>
      <c r="O1352" s="128">
        <v>326</v>
      </c>
      <c r="P1352" s="128">
        <v>66</v>
      </c>
      <c r="Q1352" s="128">
        <v>75</v>
      </c>
      <c r="R1352" s="128">
        <v>125</v>
      </c>
      <c r="S1352" s="128">
        <v>25</v>
      </c>
      <c r="T1352" s="128">
        <v>35</v>
      </c>
      <c r="U1352" s="128">
        <v>326</v>
      </c>
      <c r="V1352" s="128" t="s">
        <v>1416</v>
      </c>
    </row>
    <row r="1353" spans="1:22" x14ac:dyDescent="0.35">
      <c r="A1353" s="118">
        <v>1352</v>
      </c>
      <c r="B1353" s="128" t="s">
        <v>172</v>
      </c>
      <c r="C1353" s="128" t="s">
        <v>317</v>
      </c>
      <c r="D1353" s="128" t="s">
        <v>5821</v>
      </c>
      <c r="E1353" s="128" t="s">
        <v>5822</v>
      </c>
      <c r="F1353" s="128">
        <v>2007</v>
      </c>
      <c r="G1353" s="128">
        <v>199</v>
      </c>
      <c r="H1353" s="128">
        <v>21</v>
      </c>
      <c r="I1353" s="128">
        <v>220</v>
      </c>
      <c r="J1353" s="128" t="s">
        <v>5823</v>
      </c>
      <c r="K1353" s="128">
        <v>103.16</v>
      </c>
      <c r="L1353" s="128" t="s">
        <v>5824</v>
      </c>
      <c r="M1353" s="128" t="s">
        <v>5825</v>
      </c>
      <c r="N1353" s="128" t="s">
        <v>4345</v>
      </c>
      <c r="O1353" s="128">
        <v>535</v>
      </c>
      <c r="P1353" s="128">
        <v>104</v>
      </c>
      <c r="Q1353" s="128">
        <v>83</v>
      </c>
      <c r="R1353" s="128">
        <v>194</v>
      </c>
      <c r="S1353" s="128">
        <v>80</v>
      </c>
      <c r="T1353" s="128">
        <v>80</v>
      </c>
      <c r="U1353" s="128">
        <v>541</v>
      </c>
      <c r="V1353" s="128" t="s">
        <v>1397</v>
      </c>
    </row>
    <row r="1354" spans="1:22" x14ac:dyDescent="0.35">
      <c r="A1354" s="118">
        <v>1353</v>
      </c>
      <c r="B1354" s="128" t="s">
        <v>172</v>
      </c>
      <c r="C1354" s="128" t="s">
        <v>317</v>
      </c>
      <c r="D1354" s="128" t="s">
        <v>2726</v>
      </c>
      <c r="E1354" s="128" t="s">
        <v>5826</v>
      </c>
      <c r="F1354" s="128">
        <v>2007</v>
      </c>
      <c r="G1354" s="128">
        <v>319</v>
      </c>
      <c r="H1354" s="128">
        <v>43</v>
      </c>
      <c r="I1354" s="128">
        <v>362</v>
      </c>
      <c r="J1354" s="128" t="s">
        <v>5823</v>
      </c>
      <c r="K1354" s="128">
        <v>75</v>
      </c>
      <c r="L1354" s="128" t="s">
        <v>5827</v>
      </c>
      <c r="M1354" s="128" t="s">
        <v>3639</v>
      </c>
      <c r="N1354" s="128" t="s">
        <v>5828</v>
      </c>
      <c r="O1354" s="128">
        <v>783</v>
      </c>
      <c r="P1354" s="128">
        <v>150</v>
      </c>
      <c r="Q1354" s="128">
        <v>133</v>
      </c>
      <c r="R1354" s="128">
        <v>310</v>
      </c>
      <c r="S1354" s="128">
        <v>87</v>
      </c>
      <c r="T1354" s="128">
        <v>103</v>
      </c>
      <c r="U1354" s="128">
        <v>783</v>
      </c>
      <c r="V1354" s="128" t="s">
        <v>1417</v>
      </c>
    </row>
    <row r="1355" spans="1:22" x14ac:dyDescent="0.35">
      <c r="A1355" s="118">
        <v>1354</v>
      </c>
      <c r="B1355" s="128" t="s">
        <v>172</v>
      </c>
      <c r="C1355" s="128" t="s">
        <v>317</v>
      </c>
      <c r="D1355" s="128" t="s">
        <v>5829</v>
      </c>
      <c r="E1355" s="128" t="s">
        <v>5830</v>
      </c>
      <c r="F1355" s="128">
        <v>2007</v>
      </c>
      <c r="G1355" s="128">
        <v>90</v>
      </c>
      <c r="H1355" s="128">
        <v>5</v>
      </c>
      <c r="I1355" s="128">
        <v>95</v>
      </c>
      <c r="J1355" s="128" t="s">
        <v>5823</v>
      </c>
      <c r="K1355" s="128">
        <v>86.29</v>
      </c>
      <c r="L1355" s="128" t="s">
        <v>5831</v>
      </c>
      <c r="M1355" s="128" t="s">
        <v>5832</v>
      </c>
      <c r="N1355" s="128" t="s">
        <v>2430</v>
      </c>
      <c r="O1355" s="128">
        <v>713</v>
      </c>
      <c r="P1355" s="128">
        <v>137</v>
      </c>
      <c r="Q1355" s="128">
        <v>118</v>
      </c>
      <c r="R1355" s="128">
        <v>295</v>
      </c>
      <c r="S1355" s="128">
        <v>84</v>
      </c>
      <c r="T1355" s="128">
        <v>83</v>
      </c>
      <c r="U1355" s="128">
        <v>717</v>
      </c>
      <c r="V1355" s="128" t="s">
        <v>1417</v>
      </c>
    </row>
    <row r="1356" spans="1:22" x14ac:dyDescent="0.35">
      <c r="A1356" s="118">
        <v>1355</v>
      </c>
      <c r="B1356" s="128" t="s">
        <v>172</v>
      </c>
      <c r="C1356" s="128" t="s">
        <v>317</v>
      </c>
      <c r="D1356" s="128" t="s">
        <v>2726</v>
      </c>
      <c r="E1356" s="128" t="s">
        <v>5833</v>
      </c>
      <c r="F1356" s="128">
        <v>2019</v>
      </c>
      <c r="G1356" s="128">
        <v>171</v>
      </c>
      <c r="H1356" s="128">
        <v>12</v>
      </c>
      <c r="I1356" s="128">
        <v>183</v>
      </c>
      <c r="J1356" s="128" t="s">
        <v>5823</v>
      </c>
      <c r="K1356" s="128">
        <v>70</v>
      </c>
      <c r="L1356" s="128" t="s">
        <v>5834</v>
      </c>
      <c r="M1356" s="128" t="s">
        <v>5835</v>
      </c>
      <c r="N1356" s="128" t="s">
        <v>5836</v>
      </c>
      <c r="O1356" s="128">
        <v>270</v>
      </c>
      <c r="P1356" s="128">
        <v>70</v>
      </c>
      <c r="Q1356" s="128">
        <v>52</v>
      </c>
      <c r="R1356" s="128">
        <v>110</v>
      </c>
      <c r="S1356" s="128">
        <v>18</v>
      </c>
      <c r="T1356" s="128">
        <v>34</v>
      </c>
      <c r="U1356" s="128">
        <v>284</v>
      </c>
      <c r="V1356" s="128" t="s">
        <v>1416</v>
      </c>
    </row>
    <row r="1357" spans="1:22" x14ac:dyDescent="0.35">
      <c r="A1357" s="118">
        <v>1356</v>
      </c>
      <c r="B1357" s="128" t="s">
        <v>172</v>
      </c>
      <c r="C1357" s="128" t="s">
        <v>317</v>
      </c>
      <c r="D1357" s="128" t="s">
        <v>5837</v>
      </c>
      <c r="E1357" s="128" t="s">
        <v>5838</v>
      </c>
      <c r="F1357" s="128">
        <v>2007</v>
      </c>
      <c r="G1357" s="128">
        <v>110</v>
      </c>
      <c r="H1357" s="128">
        <v>6</v>
      </c>
      <c r="I1357" s="128">
        <v>116</v>
      </c>
      <c r="J1357" s="128" t="s">
        <v>5823</v>
      </c>
      <c r="K1357" s="128">
        <v>84.61</v>
      </c>
      <c r="L1357" s="128" t="s">
        <v>2531</v>
      </c>
      <c r="M1357" s="128" t="s">
        <v>5839</v>
      </c>
      <c r="N1357" s="128" t="s">
        <v>5726</v>
      </c>
      <c r="O1357" s="128">
        <v>515</v>
      </c>
      <c r="P1357" s="128">
        <v>104</v>
      </c>
      <c r="Q1357" s="128">
        <v>88</v>
      </c>
      <c r="R1357" s="128">
        <v>213</v>
      </c>
      <c r="S1357" s="128">
        <v>50</v>
      </c>
      <c r="T1357" s="128">
        <v>65</v>
      </c>
      <c r="U1357" s="128">
        <v>520</v>
      </c>
      <c r="V1357" s="128" t="s">
        <v>1547</v>
      </c>
    </row>
    <row r="1358" spans="1:22" x14ac:dyDescent="0.35">
      <c r="A1358" s="118">
        <v>1357</v>
      </c>
      <c r="B1358" s="128" t="s">
        <v>172</v>
      </c>
      <c r="C1358" s="128" t="s">
        <v>317</v>
      </c>
      <c r="D1358" s="128" t="s">
        <v>5840</v>
      </c>
      <c r="E1358" s="128" t="s">
        <v>5841</v>
      </c>
      <c r="F1358" s="128">
        <v>2007</v>
      </c>
      <c r="G1358" s="128">
        <v>124</v>
      </c>
      <c r="H1358" s="128">
        <v>5</v>
      </c>
      <c r="I1358" s="128">
        <v>129</v>
      </c>
      <c r="J1358" s="128" t="s">
        <v>5823</v>
      </c>
      <c r="K1358" s="128">
        <v>67.84</v>
      </c>
      <c r="L1358" s="128" t="s">
        <v>2516</v>
      </c>
      <c r="M1358" s="128" t="s">
        <v>5827</v>
      </c>
      <c r="N1358" s="128" t="s">
        <v>2566</v>
      </c>
      <c r="O1358" s="128">
        <v>505</v>
      </c>
      <c r="P1358" s="128">
        <v>104</v>
      </c>
      <c r="Q1358" s="128">
        <v>86</v>
      </c>
      <c r="R1358" s="128">
        <v>213</v>
      </c>
      <c r="S1358" s="128">
        <v>50</v>
      </c>
      <c r="T1358" s="128">
        <v>60</v>
      </c>
      <c r="U1358" s="128">
        <v>513</v>
      </c>
      <c r="V1358" s="128" t="s">
        <v>1547</v>
      </c>
    </row>
    <row r="1359" spans="1:22" x14ac:dyDescent="0.35">
      <c r="A1359" s="118">
        <v>1358</v>
      </c>
      <c r="B1359" s="128" t="s">
        <v>172</v>
      </c>
      <c r="C1359" s="128" t="s">
        <v>6241</v>
      </c>
      <c r="D1359" s="128" t="s">
        <v>5842</v>
      </c>
      <c r="E1359" s="128" t="s">
        <v>1327</v>
      </c>
      <c r="F1359" s="128">
        <v>2007</v>
      </c>
      <c r="G1359" s="128">
        <v>309</v>
      </c>
      <c r="H1359" s="128">
        <v>34</v>
      </c>
      <c r="I1359" s="128">
        <v>343</v>
      </c>
      <c r="J1359" s="128" t="s">
        <v>5823</v>
      </c>
      <c r="K1359" s="128">
        <v>105.17</v>
      </c>
      <c r="L1359" s="128" t="s">
        <v>2489</v>
      </c>
      <c r="M1359" s="128" t="s">
        <v>5843</v>
      </c>
      <c r="N1359" s="128" t="s">
        <v>2575</v>
      </c>
      <c r="O1359" s="128">
        <v>743</v>
      </c>
      <c r="P1359" s="128">
        <v>137</v>
      </c>
      <c r="Q1359" s="128">
        <v>118</v>
      </c>
      <c r="R1359" s="128">
        <v>300</v>
      </c>
      <c r="S1359" s="128">
        <v>100</v>
      </c>
      <c r="T1359" s="128">
        <v>90</v>
      </c>
      <c r="U1359" s="128">
        <v>745</v>
      </c>
      <c r="V1359" s="128" t="s">
        <v>2702</v>
      </c>
    </row>
    <row r="1360" spans="1:22" x14ac:dyDescent="0.35">
      <c r="A1360" s="118">
        <v>1359</v>
      </c>
      <c r="B1360" s="128" t="s">
        <v>172</v>
      </c>
      <c r="C1360" s="128" t="s">
        <v>6241</v>
      </c>
      <c r="D1360" s="128" t="s">
        <v>5844</v>
      </c>
      <c r="E1360" s="128" t="s">
        <v>1326</v>
      </c>
      <c r="F1360" s="128">
        <v>2007</v>
      </c>
      <c r="G1360" s="128">
        <v>111</v>
      </c>
      <c r="H1360" s="128">
        <v>13</v>
      </c>
      <c r="I1360" s="128">
        <v>124</v>
      </c>
      <c r="J1360" s="128" t="s">
        <v>5823</v>
      </c>
      <c r="K1360" s="128">
        <v>108.75</v>
      </c>
      <c r="L1360" s="128" t="s">
        <v>5845</v>
      </c>
      <c r="M1360" s="128" t="s">
        <v>5846</v>
      </c>
      <c r="N1360" s="128" t="s">
        <v>5847</v>
      </c>
      <c r="O1360" s="128">
        <v>575</v>
      </c>
      <c r="P1360" s="128">
        <v>102</v>
      </c>
      <c r="Q1360" s="128">
        <v>95</v>
      </c>
      <c r="R1360" s="128">
        <v>224</v>
      </c>
      <c r="S1360" s="128">
        <v>80</v>
      </c>
      <c r="T1360" s="128">
        <v>80</v>
      </c>
      <c r="U1360" s="128">
        <v>581</v>
      </c>
      <c r="V1360" s="128" t="s">
        <v>1547</v>
      </c>
    </row>
    <row r="1361" spans="1:22" x14ac:dyDescent="0.35">
      <c r="A1361" s="118">
        <v>1360</v>
      </c>
      <c r="B1361" s="128" t="s">
        <v>172</v>
      </c>
      <c r="C1361" s="128" t="s">
        <v>6241</v>
      </c>
      <c r="D1361" s="128" t="s">
        <v>5256</v>
      </c>
      <c r="E1361" s="128" t="s">
        <v>5848</v>
      </c>
      <c r="F1361" s="128">
        <v>2007</v>
      </c>
      <c r="G1361" s="128">
        <v>194</v>
      </c>
      <c r="H1361" s="128">
        <v>18</v>
      </c>
      <c r="I1361" s="128">
        <v>212</v>
      </c>
      <c r="J1361" s="128" t="s">
        <v>5823</v>
      </c>
      <c r="K1361" s="128">
        <v>86.73</v>
      </c>
      <c r="L1361" s="128" t="s">
        <v>5849</v>
      </c>
      <c r="M1361" s="128" t="s">
        <v>5850</v>
      </c>
      <c r="N1361" s="128" t="s">
        <v>5851</v>
      </c>
      <c r="O1361" s="128">
        <v>615</v>
      </c>
      <c r="P1361" s="128">
        <v>117</v>
      </c>
      <c r="Q1361" s="128">
        <v>99</v>
      </c>
      <c r="R1361" s="128">
        <v>244</v>
      </c>
      <c r="S1361" s="128">
        <v>80</v>
      </c>
      <c r="T1361" s="128">
        <v>80</v>
      </c>
      <c r="U1361" s="128">
        <v>620</v>
      </c>
      <c r="V1361" s="128" t="s">
        <v>1547</v>
      </c>
    </row>
    <row r="1362" spans="1:22" x14ac:dyDescent="0.35">
      <c r="A1362" s="118">
        <v>1361</v>
      </c>
      <c r="B1362" s="128" t="s">
        <v>172</v>
      </c>
      <c r="C1362" s="128" t="s">
        <v>6241</v>
      </c>
      <c r="D1362" s="128" t="s">
        <v>4139</v>
      </c>
      <c r="E1362" s="128" t="s">
        <v>5852</v>
      </c>
      <c r="F1362" s="128">
        <v>2007</v>
      </c>
      <c r="G1362" s="128">
        <v>310</v>
      </c>
      <c r="H1362" s="128">
        <v>26</v>
      </c>
      <c r="I1362" s="128">
        <v>336</v>
      </c>
      <c r="J1362" s="128" t="s">
        <v>5823</v>
      </c>
      <c r="K1362" s="128">
        <v>49.11</v>
      </c>
      <c r="L1362" s="128" t="s">
        <v>2432</v>
      </c>
      <c r="M1362" s="128" t="s">
        <v>5853</v>
      </c>
      <c r="N1362" s="128" t="s">
        <v>5854</v>
      </c>
      <c r="O1362" s="128">
        <v>708</v>
      </c>
      <c r="P1362" s="128">
        <v>137</v>
      </c>
      <c r="Q1362" s="128">
        <v>118</v>
      </c>
      <c r="R1362" s="128">
        <v>296</v>
      </c>
      <c r="S1362" s="128">
        <v>81</v>
      </c>
      <c r="T1362" s="128">
        <v>82</v>
      </c>
      <c r="U1362" s="128">
        <v>714</v>
      </c>
      <c r="V1362" s="128" t="s">
        <v>1417</v>
      </c>
    </row>
    <row r="1363" spans="1:22" x14ac:dyDescent="0.35">
      <c r="A1363" s="118">
        <v>1362</v>
      </c>
      <c r="B1363" s="128" t="s">
        <v>172</v>
      </c>
      <c r="C1363" s="128" t="s">
        <v>6241</v>
      </c>
      <c r="D1363" s="128" t="s">
        <v>3187</v>
      </c>
      <c r="E1363" s="128" t="s">
        <v>5855</v>
      </c>
      <c r="F1363" s="128">
        <v>2007</v>
      </c>
      <c r="G1363" s="128">
        <v>228</v>
      </c>
      <c r="H1363" s="128">
        <v>43</v>
      </c>
      <c r="I1363" s="128">
        <v>271</v>
      </c>
      <c r="J1363" s="128" t="s">
        <v>5823</v>
      </c>
      <c r="K1363" s="128">
        <v>100.17</v>
      </c>
      <c r="L1363" s="128" t="s">
        <v>2661</v>
      </c>
      <c r="M1363" s="128" t="s">
        <v>5856</v>
      </c>
      <c r="N1363" s="128" t="s">
        <v>5857</v>
      </c>
      <c r="O1363" s="128">
        <v>520</v>
      </c>
      <c r="P1363" s="128">
        <v>103</v>
      </c>
      <c r="Q1363" s="128">
        <v>87</v>
      </c>
      <c r="R1363" s="128">
        <v>204</v>
      </c>
      <c r="S1363" s="128">
        <v>75</v>
      </c>
      <c r="T1363" s="128">
        <v>60</v>
      </c>
      <c r="U1363" s="128">
        <v>529</v>
      </c>
      <c r="V1363" s="128" t="s">
        <v>1397</v>
      </c>
    </row>
    <row r="1364" spans="1:22" x14ac:dyDescent="0.35">
      <c r="A1364" s="118">
        <v>1363</v>
      </c>
      <c r="B1364" s="128" t="s">
        <v>172</v>
      </c>
      <c r="C1364" s="128" t="s">
        <v>6241</v>
      </c>
      <c r="D1364" s="128" t="s">
        <v>5858</v>
      </c>
      <c r="E1364" s="128" t="s">
        <v>5859</v>
      </c>
      <c r="F1364" s="128">
        <v>2007</v>
      </c>
      <c r="G1364" s="128">
        <v>285</v>
      </c>
      <c r="H1364" s="128">
        <v>47</v>
      </c>
      <c r="I1364" s="128">
        <v>332</v>
      </c>
      <c r="J1364" s="128" t="s">
        <v>5823</v>
      </c>
      <c r="K1364" s="128">
        <v>95.29</v>
      </c>
      <c r="L1364" s="128" t="s">
        <v>5860</v>
      </c>
      <c r="M1364" s="128" t="s">
        <v>2752</v>
      </c>
      <c r="N1364" s="128" t="s">
        <v>3159</v>
      </c>
      <c r="O1364" s="128">
        <v>703</v>
      </c>
      <c r="P1364" s="128">
        <v>137</v>
      </c>
      <c r="Q1364" s="128">
        <v>118</v>
      </c>
      <c r="R1364" s="128">
        <v>295</v>
      </c>
      <c r="S1364" s="128">
        <v>81</v>
      </c>
      <c r="T1364" s="128">
        <v>80</v>
      </c>
      <c r="U1364" s="128">
        <v>711</v>
      </c>
      <c r="V1364" s="128" t="s">
        <v>1417</v>
      </c>
    </row>
    <row r="1365" spans="1:22" x14ac:dyDescent="0.35">
      <c r="A1365" s="118">
        <v>1364</v>
      </c>
      <c r="B1365" s="128" t="s">
        <v>172</v>
      </c>
      <c r="C1365" s="128" t="s">
        <v>319</v>
      </c>
      <c r="D1365" s="128" t="s">
        <v>4989</v>
      </c>
      <c r="E1365" s="128" t="s">
        <v>5861</v>
      </c>
      <c r="F1365" s="128">
        <v>2001</v>
      </c>
      <c r="G1365" s="128">
        <v>151</v>
      </c>
      <c r="H1365" s="128">
        <v>31</v>
      </c>
      <c r="I1365" s="128">
        <v>182</v>
      </c>
      <c r="J1365" s="128" t="s">
        <v>2751</v>
      </c>
      <c r="K1365" s="128">
        <v>23.45</v>
      </c>
      <c r="L1365" s="128" t="s">
        <v>4018</v>
      </c>
      <c r="M1365" s="128" t="s">
        <v>3851</v>
      </c>
      <c r="N1365" s="128" t="s">
        <v>3599</v>
      </c>
      <c r="O1365" s="128">
        <v>743</v>
      </c>
      <c r="P1365" s="128">
        <v>137</v>
      </c>
      <c r="Q1365" s="128">
        <v>118</v>
      </c>
      <c r="R1365" s="128">
        <v>295</v>
      </c>
      <c r="S1365" s="128">
        <v>90</v>
      </c>
      <c r="T1365" s="128">
        <v>133</v>
      </c>
      <c r="U1365" s="128">
        <v>773</v>
      </c>
      <c r="V1365" s="128" t="s">
        <v>2702</v>
      </c>
    </row>
    <row r="1366" spans="1:22" x14ac:dyDescent="0.35">
      <c r="A1366" s="118">
        <v>1365</v>
      </c>
      <c r="B1366" s="128" t="s">
        <v>172</v>
      </c>
      <c r="C1366" s="128" t="s">
        <v>319</v>
      </c>
      <c r="D1366" s="128" t="s">
        <v>2828</v>
      </c>
      <c r="E1366" s="128" t="s">
        <v>5862</v>
      </c>
      <c r="F1366" s="128">
        <v>2002</v>
      </c>
      <c r="G1366" s="128">
        <v>109</v>
      </c>
      <c r="H1366" s="128">
        <v>18</v>
      </c>
      <c r="I1366" s="128">
        <v>127</v>
      </c>
      <c r="J1366" s="128" t="s">
        <v>2751</v>
      </c>
      <c r="K1366" s="128">
        <v>8.1999999999999993</v>
      </c>
      <c r="L1366" s="128" t="s">
        <v>3433</v>
      </c>
      <c r="M1366" s="128" t="s">
        <v>3438</v>
      </c>
      <c r="N1366" s="128" t="s">
        <v>5863</v>
      </c>
      <c r="O1366" s="128">
        <v>480</v>
      </c>
      <c r="P1366" s="128">
        <v>102</v>
      </c>
      <c r="Q1366" s="128">
        <v>90</v>
      </c>
      <c r="R1366" s="128">
        <v>195</v>
      </c>
      <c r="S1366" s="128">
        <v>80</v>
      </c>
      <c r="T1366" s="128">
        <v>80</v>
      </c>
      <c r="U1366" s="128">
        <v>547</v>
      </c>
      <c r="V1366" s="128" t="s">
        <v>1547</v>
      </c>
    </row>
    <row r="1367" spans="1:22" x14ac:dyDescent="0.35">
      <c r="A1367" s="118">
        <v>1366</v>
      </c>
      <c r="B1367" s="128" t="s">
        <v>172</v>
      </c>
      <c r="C1367" s="128" t="s">
        <v>319</v>
      </c>
      <c r="D1367" s="128" t="s">
        <v>5864</v>
      </c>
      <c r="E1367" s="128" t="s">
        <v>5865</v>
      </c>
      <c r="F1367" s="128">
        <v>2002</v>
      </c>
      <c r="G1367" s="128">
        <v>81</v>
      </c>
      <c r="H1367" s="128">
        <v>13</v>
      </c>
      <c r="I1367" s="128">
        <v>94</v>
      </c>
      <c r="J1367" s="128" t="s">
        <v>2751</v>
      </c>
      <c r="K1367" s="128">
        <v>12.81</v>
      </c>
      <c r="L1367" s="128" t="s">
        <v>5866</v>
      </c>
      <c r="M1367" s="128" t="s">
        <v>2615</v>
      </c>
      <c r="N1367" s="128" t="s">
        <v>2791</v>
      </c>
      <c r="O1367" s="128">
        <v>615</v>
      </c>
      <c r="P1367" s="128">
        <v>110</v>
      </c>
      <c r="Q1367" s="128">
        <v>97</v>
      </c>
      <c r="R1367" s="128">
        <v>252</v>
      </c>
      <c r="S1367" s="128">
        <v>80</v>
      </c>
      <c r="T1367" s="128">
        <v>80</v>
      </c>
      <c r="U1367" s="128">
        <v>619</v>
      </c>
      <c r="V1367" s="128" t="s">
        <v>1547</v>
      </c>
    </row>
    <row r="1368" spans="1:22" x14ac:dyDescent="0.35">
      <c r="A1368" s="118">
        <v>1367</v>
      </c>
      <c r="B1368" s="128" t="s">
        <v>172</v>
      </c>
      <c r="C1368" s="128" t="s">
        <v>319</v>
      </c>
      <c r="D1368" s="128" t="s">
        <v>5867</v>
      </c>
      <c r="E1368" s="128" t="s">
        <v>5868</v>
      </c>
      <c r="F1368" s="128">
        <v>2002</v>
      </c>
      <c r="G1368" s="128">
        <v>83</v>
      </c>
      <c r="H1368" s="128">
        <v>3</v>
      </c>
      <c r="I1368" s="128">
        <v>86</v>
      </c>
      <c r="J1368" s="128" t="s">
        <v>2751</v>
      </c>
      <c r="K1368" s="128">
        <v>18.05</v>
      </c>
      <c r="L1368" s="128" t="s">
        <v>5869</v>
      </c>
      <c r="M1368" s="128" t="s">
        <v>2750</v>
      </c>
      <c r="N1368" s="128" t="s">
        <v>4956</v>
      </c>
      <c r="O1368" s="128">
        <v>650</v>
      </c>
      <c r="P1368" s="128">
        <v>127</v>
      </c>
      <c r="Q1368" s="128">
        <v>101</v>
      </c>
      <c r="R1368" s="128">
        <v>264</v>
      </c>
      <c r="S1368" s="128">
        <v>80</v>
      </c>
      <c r="T1368" s="128">
        <v>80</v>
      </c>
      <c r="U1368" s="128">
        <v>652</v>
      </c>
      <c r="V1368" s="128" t="s">
        <v>1547</v>
      </c>
    </row>
    <row r="1369" spans="1:22" x14ac:dyDescent="0.35">
      <c r="A1369" s="118">
        <v>1368</v>
      </c>
      <c r="B1369" s="128" t="s">
        <v>172</v>
      </c>
      <c r="C1369" s="128" t="s">
        <v>319</v>
      </c>
      <c r="D1369" s="128" t="s">
        <v>5870</v>
      </c>
      <c r="E1369" s="128" t="s">
        <v>5871</v>
      </c>
      <c r="F1369" s="128">
        <v>1998</v>
      </c>
      <c r="G1369" s="128">
        <v>118</v>
      </c>
      <c r="H1369" s="128">
        <v>24</v>
      </c>
      <c r="I1369" s="128">
        <v>142</v>
      </c>
      <c r="J1369" s="128" t="s">
        <v>2751</v>
      </c>
      <c r="K1369" s="128">
        <v>29.4</v>
      </c>
      <c r="L1369" s="128" t="s">
        <v>2601</v>
      </c>
      <c r="M1369" s="128" t="s">
        <v>4345</v>
      </c>
      <c r="N1369" s="128" t="s">
        <v>5684</v>
      </c>
      <c r="O1369" s="128">
        <v>743</v>
      </c>
      <c r="P1369" s="128">
        <v>137</v>
      </c>
      <c r="Q1369" s="128">
        <v>118</v>
      </c>
      <c r="R1369" s="128">
        <v>295</v>
      </c>
      <c r="S1369" s="128">
        <v>90</v>
      </c>
      <c r="T1369" s="128">
        <v>135</v>
      </c>
      <c r="U1369" s="128">
        <v>775</v>
      </c>
      <c r="V1369" s="128" t="s">
        <v>2702</v>
      </c>
    </row>
    <row r="1370" spans="1:22" x14ac:dyDescent="0.35">
      <c r="A1370" s="118">
        <v>1369</v>
      </c>
      <c r="B1370" s="128" t="s">
        <v>172</v>
      </c>
      <c r="C1370" s="128" t="s">
        <v>319</v>
      </c>
      <c r="D1370" s="128" t="s">
        <v>5872</v>
      </c>
      <c r="E1370" s="128" t="s">
        <v>5873</v>
      </c>
      <c r="F1370" s="128">
        <v>1997</v>
      </c>
      <c r="G1370" s="128">
        <v>263</v>
      </c>
      <c r="H1370" s="128">
        <v>34</v>
      </c>
      <c r="I1370" s="128">
        <v>297</v>
      </c>
      <c r="J1370" s="128" t="s">
        <v>2751</v>
      </c>
      <c r="K1370" s="128">
        <v>40.799999999999997</v>
      </c>
      <c r="L1370" s="128" t="s">
        <v>5874</v>
      </c>
      <c r="M1370" s="128" t="s">
        <v>5731</v>
      </c>
      <c r="N1370" s="128" t="s">
        <v>2615</v>
      </c>
      <c r="O1370" s="128">
        <v>743</v>
      </c>
      <c r="P1370" s="128">
        <v>137</v>
      </c>
      <c r="Q1370" s="128">
        <v>118</v>
      </c>
      <c r="R1370" s="128">
        <v>295</v>
      </c>
      <c r="S1370" s="128">
        <v>90</v>
      </c>
      <c r="T1370" s="128">
        <v>130</v>
      </c>
      <c r="U1370" s="128">
        <v>770</v>
      </c>
      <c r="V1370" s="128" t="s">
        <v>2702</v>
      </c>
    </row>
    <row r="1371" spans="1:22" x14ac:dyDescent="0.35">
      <c r="A1371" s="118">
        <v>1370</v>
      </c>
      <c r="B1371" s="128" t="s">
        <v>172</v>
      </c>
      <c r="C1371" s="128" t="s">
        <v>319</v>
      </c>
      <c r="D1371" s="128" t="s">
        <v>3811</v>
      </c>
      <c r="E1371" s="128" t="s">
        <v>5875</v>
      </c>
      <c r="F1371" s="128">
        <v>1996</v>
      </c>
      <c r="G1371" s="128">
        <v>168</v>
      </c>
      <c r="H1371" s="128">
        <v>19</v>
      </c>
      <c r="I1371" s="128">
        <v>187</v>
      </c>
      <c r="J1371" s="128" t="s">
        <v>2751</v>
      </c>
      <c r="K1371" s="128">
        <v>38.590000000000003</v>
      </c>
      <c r="L1371" s="128" t="s">
        <v>5876</v>
      </c>
      <c r="M1371" s="128" t="s">
        <v>5877</v>
      </c>
      <c r="N1371" s="128" t="s">
        <v>5878</v>
      </c>
      <c r="O1371" s="128">
        <v>520</v>
      </c>
      <c r="P1371" s="128">
        <v>102</v>
      </c>
      <c r="Q1371" s="128">
        <v>83</v>
      </c>
      <c r="R1371" s="128">
        <v>190</v>
      </c>
      <c r="S1371" s="128">
        <v>80</v>
      </c>
      <c r="T1371" s="128">
        <v>80</v>
      </c>
      <c r="U1371" s="128">
        <v>535</v>
      </c>
      <c r="V1371" s="128" t="s">
        <v>1547</v>
      </c>
    </row>
    <row r="1372" spans="1:22" x14ac:dyDescent="0.35">
      <c r="A1372" s="118">
        <v>1371</v>
      </c>
      <c r="B1372" s="128" t="s">
        <v>172</v>
      </c>
      <c r="C1372" s="128" t="s">
        <v>320</v>
      </c>
      <c r="D1372" s="128" t="s">
        <v>5879</v>
      </c>
      <c r="E1372" s="128" t="s">
        <v>1344</v>
      </c>
      <c r="F1372" s="128">
        <v>1995</v>
      </c>
      <c r="G1372" s="128">
        <v>184</v>
      </c>
      <c r="H1372" s="128">
        <v>29</v>
      </c>
      <c r="I1372" s="128">
        <v>213</v>
      </c>
      <c r="J1372" s="128" t="s">
        <v>5671</v>
      </c>
      <c r="K1372" s="128">
        <v>40</v>
      </c>
      <c r="L1372" s="128" t="s">
        <v>5869</v>
      </c>
      <c r="M1372" s="128" t="s">
        <v>3850</v>
      </c>
      <c r="N1372" s="128" t="s">
        <v>5880</v>
      </c>
      <c r="O1372" s="128">
        <v>585</v>
      </c>
      <c r="P1372" s="128">
        <v>130</v>
      </c>
      <c r="Q1372" s="128">
        <v>83</v>
      </c>
      <c r="R1372" s="128">
        <v>220</v>
      </c>
      <c r="S1372" s="128">
        <v>80</v>
      </c>
      <c r="T1372" s="128">
        <v>80</v>
      </c>
      <c r="U1372" s="128">
        <v>593</v>
      </c>
      <c r="V1372" s="128" t="s">
        <v>1547</v>
      </c>
    </row>
    <row r="1373" spans="1:22" x14ac:dyDescent="0.35">
      <c r="A1373" s="118">
        <v>1372</v>
      </c>
      <c r="B1373" s="128" t="s">
        <v>172</v>
      </c>
      <c r="C1373" s="128" t="s">
        <v>320</v>
      </c>
      <c r="D1373" s="128" t="s">
        <v>2391</v>
      </c>
      <c r="E1373" s="128" t="s">
        <v>1343</v>
      </c>
      <c r="F1373" s="128">
        <v>1996</v>
      </c>
      <c r="G1373" s="128">
        <v>133</v>
      </c>
      <c r="H1373" s="128">
        <v>40</v>
      </c>
      <c r="I1373" s="128">
        <v>173</v>
      </c>
      <c r="J1373" s="128" t="s">
        <v>5671</v>
      </c>
      <c r="K1373" s="128">
        <v>34</v>
      </c>
      <c r="L1373" s="128" t="s">
        <v>3333</v>
      </c>
      <c r="M1373" s="128" t="s">
        <v>2781</v>
      </c>
      <c r="N1373" s="128" t="s">
        <v>337</v>
      </c>
      <c r="O1373" s="128">
        <v>655</v>
      </c>
      <c r="P1373" s="128">
        <v>125</v>
      </c>
      <c r="Q1373" s="128">
        <v>83</v>
      </c>
      <c r="R1373" s="128">
        <v>290</v>
      </c>
      <c r="S1373" s="128">
        <v>80</v>
      </c>
      <c r="T1373" s="128">
        <v>80</v>
      </c>
      <c r="U1373" s="128">
        <v>658</v>
      </c>
      <c r="V1373" s="128" t="s">
        <v>1547</v>
      </c>
    </row>
    <row r="1374" spans="1:22" x14ac:dyDescent="0.35">
      <c r="A1374" s="118">
        <v>1373</v>
      </c>
      <c r="B1374" s="128" t="s">
        <v>172</v>
      </c>
      <c r="C1374" s="128" t="s">
        <v>320</v>
      </c>
      <c r="D1374" s="128" t="s">
        <v>4678</v>
      </c>
      <c r="E1374" s="128" t="s">
        <v>1342</v>
      </c>
      <c r="F1374" s="128">
        <v>1996</v>
      </c>
      <c r="G1374" s="128">
        <v>148</v>
      </c>
      <c r="H1374" s="128">
        <v>19</v>
      </c>
      <c r="I1374" s="128">
        <v>167</v>
      </c>
      <c r="J1374" s="128" t="s">
        <v>5671</v>
      </c>
      <c r="K1374" s="128">
        <v>32</v>
      </c>
      <c r="L1374" s="128" t="s">
        <v>2516</v>
      </c>
      <c r="M1374" s="128" t="s">
        <v>5705</v>
      </c>
      <c r="N1374" s="128" t="s">
        <v>5881</v>
      </c>
      <c r="O1374" s="128">
        <v>550</v>
      </c>
      <c r="P1374" s="128">
        <v>120</v>
      </c>
      <c r="Q1374" s="128">
        <v>83</v>
      </c>
      <c r="R1374" s="128">
        <v>200</v>
      </c>
      <c r="S1374" s="128">
        <v>80</v>
      </c>
      <c r="T1374" s="128">
        <v>75</v>
      </c>
      <c r="U1374" s="128">
        <v>558</v>
      </c>
      <c r="V1374" s="128" t="s">
        <v>1547</v>
      </c>
    </row>
    <row r="1375" spans="1:22" x14ac:dyDescent="0.35">
      <c r="A1375" s="118">
        <v>1374</v>
      </c>
      <c r="B1375" s="128" t="s">
        <v>172</v>
      </c>
      <c r="C1375" s="128" t="s">
        <v>320</v>
      </c>
      <c r="D1375" s="128" t="s">
        <v>5882</v>
      </c>
      <c r="E1375" s="128" t="s">
        <v>1341</v>
      </c>
      <c r="F1375" s="128">
        <v>1996</v>
      </c>
      <c r="G1375" s="128">
        <v>107</v>
      </c>
      <c r="H1375" s="128">
        <v>48</v>
      </c>
      <c r="I1375" s="128">
        <v>155</v>
      </c>
      <c r="J1375" s="128" t="s">
        <v>5671</v>
      </c>
      <c r="K1375" s="128">
        <v>28.5</v>
      </c>
      <c r="L1375" s="128" t="s">
        <v>5883</v>
      </c>
      <c r="M1375" s="128" t="s">
        <v>5884</v>
      </c>
      <c r="N1375" s="128" t="s">
        <v>5885</v>
      </c>
      <c r="O1375" s="128">
        <v>545</v>
      </c>
      <c r="P1375" s="128">
        <v>125</v>
      </c>
      <c r="Q1375" s="128">
        <v>83</v>
      </c>
      <c r="R1375" s="128">
        <v>200</v>
      </c>
      <c r="S1375" s="128">
        <v>75</v>
      </c>
      <c r="T1375" s="128">
        <v>70</v>
      </c>
      <c r="U1375" s="128">
        <v>553</v>
      </c>
      <c r="V1375" s="128" t="s">
        <v>1547</v>
      </c>
    </row>
    <row r="1376" spans="1:22" x14ac:dyDescent="0.35">
      <c r="A1376" s="118">
        <v>1375</v>
      </c>
      <c r="B1376" s="128" t="s">
        <v>172</v>
      </c>
      <c r="C1376" s="128" t="s">
        <v>320</v>
      </c>
      <c r="D1376" s="128" t="s">
        <v>3510</v>
      </c>
      <c r="E1376" s="128" t="s">
        <v>1340</v>
      </c>
      <c r="F1376" s="128">
        <v>1996</v>
      </c>
      <c r="G1376" s="128">
        <v>157</v>
      </c>
      <c r="H1376" s="128">
        <v>39</v>
      </c>
      <c r="I1376" s="128">
        <v>196</v>
      </c>
      <c r="J1376" s="128" t="s">
        <v>5671</v>
      </c>
      <c r="K1376" s="128">
        <v>30.5</v>
      </c>
      <c r="L1376" s="128" t="s">
        <v>5886</v>
      </c>
      <c r="M1376" s="128" t="s">
        <v>5887</v>
      </c>
      <c r="N1376" s="128" t="s">
        <v>3132</v>
      </c>
      <c r="O1376" s="128">
        <v>545</v>
      </c>
      <c r="P1376" s="128">
        <v>125</v>
      </c>
      <c r="Q1376" s="128">
        <v>83</v>
      </c>
      <c r="R1376" s="128">
        <v>205</v>
      </c>
      <c r="S1376" s="128">
        <v>75</v>
      </c>
      <c r="T1376" s="128">
        <v>70</v>
      </c>
      <c r="U1376" s="128">
        <v>558</v>
      </c>
      <c r="V1376" s="128" t="s">
        <v>1547</v>
      </c>
    </row>
    <row r="1377" spans="1:22" x14ac:dyDescent="0.35">
      <c r="A1377" s="118">
        <v>1376</v>
      </c>
      <c r="B1377" s="128" t="s">
        <v>172</v>
      </c>
      <c r="C1377" s="128" t="s">
        <v>320</v>
      </c>
      <c r="D1377" s="128" t="s">
        <v>2391</v>
      </c>
      <c r="E1377" s="128" t="s">
        <v>5888</v>
      </c>
      <c r="F1377" s="128">
        <v>2001</v>
      </c>
      <c r="G1377" s="128">
        <v>0</v>
      </c>
      <c r="H1377" s="128">
        <v>16</v>
      </c>
      <c r="I1377" s="128">
        <v>16</v>
      </c>
      <c r="J1377" s="128" t="s">
        <v>5698</v>
      </c>
      <c r="K1377" s="128"/>
      <c r="L1377" s="128" t="s">
        <v>5889</v>
      </c>
      <c r="M1377" s="128" t="s">
        <v>5880</v>
      </c>
      <c r="N1377" s="128" t="s">
        <v>5890</v>
      </c>
      <c r="O1377" s="128">
        <v>500</v>
      </c>
      <c r="P1377" s="128">
        <v>120</v>
      </c>
      <c r="Q1377" s="128">
        <v>83</v>
      </c>
      <c r="R1377" s="128">
        <v>190</v>
      </c>
      <c r="S1377" s="128">
        <v>75</v>
      </c>
      <c r="T1377" s="128">
        <v>60</v>
      </c>
      <c r="U1377" s="128">
        <v>528</v>
      </c>
      <c r="V1377" s="128" t="s">
        <v>1547</v>
      </c>
    </row>
    <row r="1378" spans="1:22" x14ac:dyDescent="0.35">
      <c r="A1378" s="118">
        <v>1377</v>
      </c>
      <c r="B1378" s="128" t="s">
        <v>172</v>
      </c>
      <c r="C1378" s="128" t="s">
        <v>323</v>
      </c>
      <c r="D1378" s="128" t="s">
        <v>2391</v>
      </c>
      <c r="E1378" s="128" t="s">
        <v>5891</v>
      </c>
      <c r="F1378" s="128">
        <v>2001</v>
      </c>
      <c r="G1378" s="128">
        <v>59</v>
      </c>
      <c r="H1378" s="128">
        <v>21</v>
      </c>
      <c r="I1378" s="128">
        <v>80</v>
      </c>
      <c r="J1378" s="128" t="s">
        <v>2751</v>
      </c>
      <c r="K1378" s="128" t="s">
        <v>5892</v>
      </c>
      <c r="L1378" s="128" t="s">
        <v>5893</v>
      </c>
      <c r="M1378" s="128" t="s">
        <v>5894</v>
      </c>
      <c r="N1378" s="128" t="s">
        <v>5895</v>
      </c>
      <c r="O1378" s="128">
        <v>585</v>
      </c>
      <c r="P1378" s="128">
        <v>34</v>
      </c>
      <c r="Q1378" s="128">
        <v>115</v>
      </c>
      <c r="R1378" s="128">
        <v>286</v>
      </c>
      <c r="S1378" s="128">
        <v>77</v>
      </c>
      <c r="T1378" s="128">
        <v>78</v>
      </c>
      <c r="U1378" s="128">
        <v>590</v>
      </c>
      <c r="V1378" s="128" t="s">
        <v>1547</v>
      </c>
    </row>
    <row r="1379" spans="1:22" x14ac:dyDescent="0.35">
      <c r="A1379" s="118">
        <v>1378</v>
      </c>
      <c r="B1379" s="128" t="s">
        <v>172</v>
      </c>
      <c r="C1379" s="128" t="s">
        <v>323</v>
      </c>
      <c r="D1379" s="128" t="s">
        <v>5896</v>
      </c>
      <c r="E1379" s="128" t="s">
        <v>1359</v>
      </c>
      <c r="F1379" s="128">
        <v>1998</v>
      </c>
      <c r="G1379" s="128">
        <v>125</v>
      </c>
      <c r="H1379" s="128">
        <v>27</v>
      </c>
      <c r="I1379" s="128">
        <v>152</v>
      </c>
      <c r="J1379" s="128" t="s">
        <v>2751</v>
      </c>
      <c r="K1379" s="128" t="s">
        <v>5897</v>
      </c>
      <c r="L1379" s="128" t="s">
        <v>5898</v>
      </c>
      <c r="M1379" s="128" t="s">
        <v>5899</v>
      </c>
      <c r="N1379" s="128" t="s">
        <v>2776</v>
      </c>
      <c r="O1379" s="128">
        <v>555</v>
      </c>
      <c r="P1379" s="128">
        <v>110</v>
      </c>
      <c r="Q1379" s="128">
        <v>90</v>
      </c>
      <c r="R1379" s="128">
        <v>215</v>
      </c>
      <c r="S1379" s="128">
        <v>75</v>
      </c>
      <c r="T1379" s="128">
        <v>75</v>
      </c>
      <c r="U1379" s="128">
        <v>565</v>
      </c>
      <c r="V1379" s="128" t="s">
        <v>1547</v>
      </c>
    </row>
    <row r="1380" spans="1:22" x14ac:dyDescent="0.35">
      <c r="A1380" s="118">
        <v>1379</v>
      </c>
      <c r="B1380" s="128" t="s">
        <v>172</v>
      </c>
      <c r="C1380" s="128" t="s">
        <v>323</v>
      </c>
      <c r="D1380" s="128" t="s">
        <v>2635</v>
      </c>
      <c r="E1380" s="128" t="s">
        <v>1358</v>
      </c>
      <c r="F1380" s="128">
        <v>2003</v>
      </c>
      <c r="G1380" s="128">
        <v>49</v>
      </c>
      <c r="H1380" s="128">
        <v>89</v>
      </c>
      <c r="I1380" s="128">
        <v>138</v>
      </c>
      <c r="J1380" s="128" t="s">
        <v>2751</v>
      </c>
      <c r="K1380" s="128" t="s">
        <v>5900</v>
      </c>
      <c r="L1380" s="128" t="s">
        <v>5901</v>
      </c>
      <c r="M1380" s="128" t="s">
        <v>5902</v>
      </c>
      <c r="N1380" s="128" t="s">
        <v>5903</v>
      </c>
      <c r="O1380" s="128">
        <v>565</v>
      </c>
      <c r="P1380" s="128">
        <v>107</v>
      </c>
      <c r="Q1380" s="128">
        <v>96</v>
      </c>
      <c r="R1380" s="128">
        <v>221</v>
      </c>
      <c r="S1380" s="128">
        <v>75</v>
      </c>
      <c r="T1380" s="128">
        <v>71</v>
      </c>
      <c r="U1380" s="128">
        <v>570</v>
      </c>
      <c r="V1380" s="128" t="s">
        <v>1547</v>
      </c>
    </row>
    <row r="1381" spans="1:22" x14ac:dyDescent="0.35">
      <c r="A1381" s="118">
        <v>1380</v>
      </c>
      <c r="B1381" s="128" t="s">
        <v>172</v>
      </c>
      <c r="C1381" s="128" t="s">
        <v>323</v>
      </c>
      <c r="D1381" s="128" t="s">
        <v>5904</v>
      </c>
      <c r="E1381" s="128" t="s">
        <v>1357</v>
      </c>
      <c r="F1381" s="128">
        <v>2002</v>
      </c>
      <c r="G1381" s="128">
        <v>97</v>
      </c>
      <c r="H1381" s="128">
        <v>45</v>
      </c>
      <c r="I1381" s="128">
        <v>142</v>
      </c>
      <c r="J1381" s="128" t="s">
        <v>2751</v>
      </c>
      <c r="K1381" s="128" t="s">
        <v>5905</v>
      </c>
      <c r="L1381" s="128" t="s">
        <v>3527</v>
      </c>
      <c r="M1381" s="128" t="s">
        <v>5906</v>
      </c>
      <c r="N1381" s="128" t="s">
        <v>5907</v>
      </c>
      <c r="O1381" s="128">
        <v>550</v>
      </c>
      <c r="P1381" s="128">
        <v>110</v>
      </c>
      <c r="Q1381" s="128">
        <v>91</v>
      </c>
      <c r="R1381" s="128">
        <v>209</v>
      </c>
      <c r="S1381" s="128">
        <v>70</v>
      </c>
      <c r="T1381" s="128">
        <v>75</v>
      </c>
      <c r="U1381" s="128">
        <v>555</v>
      </c>
      <c r="V1381" s="128" t="s">
        <v>1547</v>
      </c>
    </row>
    <row r="1382" spans="1:22" x14ac:dyDescent="0.35">
      <c r="A1382" s="118">
        <v>1381</v>
      </c>
      <c r="B1382" s="128" t="s">
        <v>172</v>
      </c>
      <c r="C1382" s="128" t="s">
        <v>323</v>
      </c>
      <c r="D1382" s="128" t="s">
        <v>5908</v>
      </c>
      <c r="E1382" s="128" t="s">
        <v>1356</v>
      </c>
      <c r="F1382" s="128">
        <v>2005</v>
      </c>
      <c r="G1382" s="128">
        <v>146</v>
      </c>
      <c r="H1382" s="128">
        <v>41</v>
      </c>
      <c r="I1382" s="128">
        <v>187</v>
      </c>
      <c r="J1382" s="128" t="s">
        <v>2751</v>
      </c>
      <c r="K1382" s="128" t="s">
        <v>5909</v>
      </c>
      <c r="L1382" s="128" t="s">
        <v>5910</v>
      </c>
      <c r="M1382" s="128" t="s">
        <v>3378</v>
      </c>
      <c r="N1382" s="128" t="s">
        <v>2418</v>
      </c>
      <c r="O1382" s="128">
        <v>575</v>
      </c>
      <c r="P1382" s="128">
        <v>115</v>
      </c>
      <c r="Q1382" s="128">
        <v>90</v>
      </c>
      <c r="R1382" s="128">
        <v>215</v>
      </c>
      <c r="S1382" s="128">
        <v>80</v>
      </c>
      <c r="T1382" s="128">
        <v>80</v>
      </c>
      <c r="U1382" s="128">
        <v>580</v>
      </c>
      <c r="V1382" s="128" t="s">
        <v>1547</v>
      </c>
    </row>
    <row r="1383" spans="1:22" x14ac:dyDescent="0.35">
      <c r="A1383" s="118">
        <v>1382</v>
      </c>
      <c r="B1383" s="128" t="s">
        <v>172</v>
      </c>
      <c r="C1383" s="128" t="s">
        <v>323</v>
      </c>
      <c r="D1383" s="128" t="s">
        <v>5911</v>
      </c>
      <c r="E1383" s="128" t="s">
        <v>1355</v>
      </c>
      <c r="F1383" s="128">
        <v>2001</v>
      </c>
      <c r="G1383" s="128">
        <v>73</v>
      </c>
      <c r="H1383" s="128">
        <v>28</v>
      </c>
      <c r="I1383" s="128">
        <v>101</v>
      </c>
      <c r="J1383" s="128" t="s">
        <v>2751</v>
      </c>
      <c r="K1383" s="128" t="s">
        <v>5912</v>
      </c>
      <c r="L1383" s="128" t="s">
        <v>5913</v>
      </c>
      <c r="M1383" s="128" t="s">
        <v>5914</v>
      </c>
      <c r="N1383" s="128" t="s">
        <v>5915</v>
      </c>
      <c r="O1383" s="128">
        <v>540</v>
      </c>
      <c r="P1383" s="128">
        <v>107</v>
      </c>
      <c r="Q1383" s="128">
        <v>92</v>
      </c>
      <c r="R1383" s="128">
        <v>211</v>
      </c>
      <c r="S1383" s="128">
        <v>75</v>
      </c>
      <c r="T1383" s="128">
        <v>75</v>
      </c>
      <c r="U1383" s="128">
        <v>560</v>
      </c>
      <c r="V1383" s="128" t="s">
        <v>1547</v>
      </c>
    </row>
    <row r="1384" spans="1:22" x14ac:dyDescent="0.35">
      <c r="A1384" s="118">
        <v>1383</v>
      </c>
      <c r="B1384" s="128" t="s">
        <v>172</v>
      </c>
      <c r="C1384" s="128" t="s">
        <v>321</v>
      </c>
      <c r="D1384" s="128" t="s">
        <v>5756</v>
      </c>
      <c r="E1384" s="128" t="s">
        <v>1113</v>
      </c>
      <c r="F1384" s="128">
        <v>2000</v>
      </c>
      <c r="G1384" s="128">
        <v>134</v>
      </c>
      <c r="H1384" s="128">
        <v>24</v>
      </c>
      <c r="I1384" s="128">
        <v>158</v>
      </c>
      <c r="J1384" s="128" t="s">
        <v>2751</v>
      </c>
      <c r="K1384" s="128">
        <v>61.12</v>
      </c>
      <c r="L1384" s="128" t="s">
        <v>5916</v>
      </c>
      <c r="M1384" s="128" t="s">
        <v>5917</v>
      </c>
      <c r="N1384" s="128" t="s">
        <v>2356</v>
      </c>
      <c r="O1384" s="128">
        <v>635</v>
      </c>
      <c r="P1384" s="128">
        <v>135</v>
      </c>
      <c r="Q1384" s="128">
        <v>83</v>
      </c>
      <c r="R1384" s="128">
        <v>275</v>
      </c>
      <c r="S1384" s="128">
        <v>80</v>
      </c>
      <c r="T1384" s="128">
        <v>80</v>
      </c>
      <c r="U1384" s="128">
        <v>653</v>
      </c>
      <c r="V1384" s="128" t="s">
        <v>1547</v>
      </c>
    </row>
    <row r="1385" spans="1:22" x14ac:dyDescent="0.35">
      <c r="A1385" s="118">
        <v>1384</v>
      </c>
      <c r="B1385" s="128" t="s">
        <v>172</v>
      </c>
      <c r="C1385" s="128" t="s">
        <v>321</v>
      </c>
      <c r="D1385" s="128" t="s">
        <v>4133</v>
      </c>
      <c r="E1385" s="128" t="s">
        <v>1112</v>
      </c>
      <c r="F1385" s="128">
        <v>1987</v>
      </c>
      <c r="G1385" s="128">
        <v>116</v>
      </c>
      <c r="H1385" s="128">
        <v>36</v>
      </c>
      <c r="I1385" s="128">
        <v>152</v>
      </c>
      <c r="J1385" s="128" t="s">
        <v>2751</v>
      </c>
      <c r="K1385" s="128">
        <v>84.35</v>
      </c>
      <c r="L1385" s="128" t="s">
        <v>5918</v>
      </c>
      <c r="M1385" s="128" t="s">
        <v>5919</v>
      </c>
      <c r="N1385" s="128" t="s">
        <v>5920</v>
      </c>
      <c r="O1385" s="128">
        <v>733</v>
      </c>
      <c r="P1385" s="128">
        <v>153</v>
      </c>
      <c r="Q1385" s="128">
        <v>118</v>
      </c>
      <c r="R1385" s="128">
        <v>295</v>
      </c>
      <c r="S1385" s="128">
        <v>100</v>
      </c>
      <c r="T1385" s="128">
        <v>105</v>
      </c>
      <c r="U1385" s="128">
        <v>771</v>
      </c>
      <c r="V1385" s="128" t="s">
        <v>2702</v>
      </c>
    </row>
    <row r="1386" spans="1:22" x14ac:dyDescent="0.35">
      <c r="A1386" s="118">
        <v>1385</v>
      </c>
      <c r="B1386" s="128" t="s">
        <v>172</v>
      </c>
      <c r="C1386" s="128" t="s">
        <v>321</v>
      </c>
      <c r="D1386" s="128" t="s">
        <v>5921</v>
      </c>
      <c r="E1386" s="128" t="s">
        <v>5922</v>
      </c>
      <c r="F1386" s="128">
        <v>1987</v>
      </c>
      <c r="G1386" s="128">
        <v>99</v>
      </c>
      <c r="H1386" s="128">
        <v>18</v>
      </c>
      <c r="I1386" s="128">
        <v>117</v>
      </c>
      <c r="J1386" s="128" t="s">
        <v>2751</v>
      </c>
      <c r="K1386" s="128">
        <v>137.41999999999999</v>
      </c>
      <c r="L1386" s="128" t="s">
        <v>5923</v>
      </c>
      <c r="M1386" s="128" t="s">
        <v>5924</v>
      </c>
      <c r="N1386" s="128" t="s">
        <v>5925</v>
      </c>
      <c r="O1386" s="128">
        <v>565</v>
      </c>
      <c r="P1386" s="128">
        <v>102</v>
      </c>
      <c r="Q1386" s="128">
        <v>83</v>
      </c>
      <c r="R1386" s="128">
        <v>220</v>
      </c>
      <c r="S1386" s="128">
        <v>80</v>
      </c>
      <c r="T1386" s="128">
        <v>80</v>
      </c>
      <c r="U1386" s="128">
        <v>565</v>
      </c>
      <c r="V1386" s="128" t="s">
        <v>1547</v>
      </c>
    </row>
    <row r="1387" spans="1:22" x14ac:dyDescent="0.35">
      <c r="A1387" s="118">
        <v>1386</v>
      </c>
      <c r="B1387" s="128" t="s">
        <v>172</v>
      </c>
      <c r="C1387" s="128" t="s">
        <v>321</v>
      </c>
      <c r="D1387" s="128" t="s">
        <v>5926</v>
      </c>
      <c r="E1387" s="128" t="s">
        <v>5927</v>
      </c>
      <c r="F1387" s="128">
        <v>2001</v>
      </c>
      <c r="G1387" s="128">
        <v>95</v>
      </c>
      <c r="H1387" s="128">
        <v>21</v>
      </c>
      <c r="I1387" s="128">
        <v>116</v>
      </c>
      <c r="J1387" s="128" t="s">
        <v>2751</v>
      </c>
      <c r="K1387" s="128">
        <v>73.88</v>
      </c>
      <c r="L1387" s="128" t="s">
        <v>2971</v>
      </c>
      <c r="M1387" s="128" t="s">
        <v>1597</v>
      </c>
      <c r="N1387" s="128" t="s">
        <v>5928</v>
      </c>
      <c r="O1387" s="128">
        <v>635</v>
      </c>
      <c r="P1387" s="128">
        <v>135</v>
      </c>
      <c r="Q1387" s="128">
        <v>100</v>
      </c>
      <c r="R1387" s="128">
        <v>251</v>
      </c>
      <c r="S1387" s="128">
        <v>75</v>
      </c>
      <c r="T1387" s="128">
        <v>74</v>
      </c>
      <c r="U1387" s="128">
        <v>635</v>
      </c>
      <c r="V1387" s="128" t="s">
        <v>1547</v>
      </c>
    </row>
    <row r="1388" spans="1:22" x14ac:dyDescent="0.35">
      <c r="A1388" s="118">
        <v>1387</v>
      </c>
      <c r="B1388" s="128" t="s">
        <v>172</v>
      </c>
      <c r="C1388" s="128" t="s">
        <v>321</v>
      </c>
      <c r="D1388" s="128" t="s">
        <v>5929</v>
      </c>
      <c r="E1388" s="128" t="s">
        <v>5930</v>
      </c>
      <c r="F1388" s="128">
        <v>1996</v>
      </c>
      <c r="G1388" s="128">
        <v>129</v>
      </c>
      <c r="H1388" s="128">
        <v>32</v>
      </c>
      <c r="I1388" s="128">
        <v>161</v>
      </c>
      <c r="J1388" s="128" t="s">
        <v>2751</v>
      </c>
      <c r="K1388" s="128">
        <v>60.86</v>
      </c>
      <c r="L1388" s="128" t="s">
        <v>1649</v>
      </c>
      <c r="M1388" s="128" t="s">
        <v>5931</v>
      </c>
      <c r="N1388" s="128" t="s">
        <v>1536</v>
      </c>
      <c r="O1388" s="128">
        <v>605</v>
      </c>
      <c r="P1388" s="128">
        <v>135</v>
      </c>
      <c r="Q1388" s="128">
        <v>83</v>
      </c>
      <c r="R1388" s="128">
        <v>245</v>
      </c>
      <c r="S1388" s="128">
        <v>80</v>
      </c>
      <c r="T1388" s="128">
        <v>70</v>
      </c>
      <c r="U1388" s="128">
        <v>613</v>
      </c>
      <c r="V1388" s="128" t="s">
        <v>1547</v>
      </c>
    </row>
    <row r="1389" spans="1:22" x14ac:dyDescent="0.35">
      <c r="A1389" s="118">
        <v>1388</v>
      </c>
      <c r="B1389" s="128" t="s">
        <v>172</v>
      </c>
      <c r="C1389" s="128" t="s">
        <v>321</v>
      </c>
      <c r="D1389" s="128" t="s">
        <v>5932</v>
      </c>
      <c r="E1389" s="128" t="s">
        <v>5933</v>
      </c>
      <c r="F1389" s="128">
        <v>1984</v>
      </c>
      <c r="G1389" s="128">
        <v>91</v>
      </c>
      <c r="H1389" s="128">
        <v>26</v>
      </c>
      <c r="I1389" s="128">
        <v>117</v>
      </c>
      <c r="J1389" s="128" t="s">
        <v>2751</v>
      </c>
      <c r="K1389" s="128">
        <v>49.32</v>
      </c>
      <c r="L1389" s="128" t="s">
        <v>5934</v>
      </c>
      <c r="M1389" s="128" t="s">
        <v>5935</v>
      </c>
      <c r="N1389" s="128" t="s">
        <v>4187</v>
      </c>
      <c r="O1389" s="128">
        <v>612</v>
      </c>
      <c r="P1389" s="128">
        <v>135</v>
      </c>
      <c r="Q1389" s="128">
        <v>83</v>
      </c>
      <c r="R1389" s="128">
        <v>237</v>
      </c>
      <c r="S1389" s="128">
        <v>80</v>
      </c>
      <c r="T1389" s="128">
        <v>80</v>
      </c>
      <c r="U1389" s="128">
        <v>615</v>
      </c>
      <c r="V1389" s="128" t="s">
        <v>1547</v>
      </c>
    </row>
    <row r="1390" spans="1:22" x14ac:dyDescent="0.35">
      <c r="A1390" s="118">
        <v>1389</v>
      </c>
      <c r="B1390" s="128" t="s">
        <v>172</v>
      </c>
      <c r="C1390" s="128" t="s">
        <v>321</v>
      </c>
      <c r="D1390" s="128" t="s">
        <v>5936</v>
      </c>
      <c r="E1390" s="128" t="s">
        <v>5937</v>
      </c>
      <c r="F1390" s="128">
        <v>2004</v>
      </c>
      <c r="G1390" s="128">
        <v>0</v>
      </c>
      <c r="H1390" s="128">
        <v>24</v>
      </c>
      <c r="I1390" s="128">
        <v>24</v>
      </c>
      <c r="J1390" s="128"/>
      <c r="K1390" s="128"/>
      <c r="L1390" s="128" t="s">
        <v>5938</v>
      </c>
      <c r="M1390" s="128" t="s">
        <v>5939</v>
      </c>
      <c r="N1390" s="128" t="s">
        <v>5940</v>
      </c>
      <c r="O1390" s="128">
        <v>450</v>
      </c>
      <c r="P1390" s="128">
        <v>102</v>
      </c>
      <c r="Q1390" s="128">
        <v>83</v>
      </c>
      <c r="R1390" s="128">
        <v>190</v>
      </c>
      <c r="S1390" s="128">
        <v>75</v>
      </c>
      <c r="T1390" s="128">
        <v>65</v>
      </c>
      <c r="U1390" s="128">
        <v>515</v>
      </c>
      <c r="V1390" s="128" t="s">
        <v>1547</v>
      </c>
    </row>
    <row r="1391" spans="1:22" x14ac:dyDescent="0.35">
      <c r="A1391" s="118">
        <v>1390</v>
      </c>
      <c r="B1391" s="128" t="s">
        <v>172</v>
      </c>
      <c r="C1391" s="128" t="s">
        <v>324</v>
      </c>
      <c r="D1391" s="128" t="s">
        <v>5941</v>
      </c>
      <c r="E1391" s="128" t="s">
        <v>1365</v>
      </c>
      <c r="F1391" s="128">
        <v>1981</v>
      </c>
      <c r="G1391" s="128">
        <v>107</v>
      </c>
      <c r="H1391" s="128">
        <v>10</v>
      </c>
      <c r="I1391" s="128">
        <v>117</v>
      </c>
      <c r="J1391" s="128" t="s">
        <v>2751</v>
      </c>
      <c r="K1391" s="128" t="s">
        <v>5703</v>
      </c>
      <c r="L1391" s="128" t="s">
        <v>5942</v>
      </c>
      <c r="M1391" s="128" t="s">
        <v>5943</v>
      </c>
      <c r="N1391" s="128" t="s">
        <v>5944</v>
      </c>
      <c r="O1391" s="128">
        <v>625</v>
      </c>
      <c r="P1391" s="128">
        <v>113</v>
      </c>
      <c r="Q1391" s="128">
        <v>95</v>
      </c>
      <c r="R1391" s="128">
        <v>248</v>
      </c>
      <c r="S1391" s="128">
        <v>80</v>
      </c>
      <c r="T1391" s="128">
        <v>80</v>
      </c>
      <c r="U1391" s="128">
        <v>616</v>
      </c>
      <c r="V1391" s="128" t="s">
        <v>1547</v>
      </c>
    </row>
    <row r="1392" spans="1:22" x14ac:dyDescent="0.35">
      <c r="A1392" s="118">
        <v>1391</v>
      </c>
      <c r="B1392" s="128" t="s">
        <v>172</v>
      </c>
      <c r="C1392" s="128" t="s">
        <v>324</v>
      </c>
      <c r="D1392" s="128" t="s">
        <v>3649</v>
      </c>
      <c r="E1392" s="128" t="s">
        <v>1364</v>
      </c>
      <c r="F1392" s="128">
        <v>1981</v>
      </c>
      <c r="G1392" s="128">
        <v>117</v>
      </c>
      <c r="H1392" s="128">
        <v>15</v>
      </c>
      <c r="I1392" s="128">
        <v>132</v>
      </c>
      <c r="J1392" s="128" t="s">
        <v>2751</v>
      </c>
      <c r="K1392" s="128" t="s">
        <v>5709</v>
      </c>
      <c r="L1392" s="128" t="s">
        <v>5945</v>
      </c>
      <c r="M1392" s="128" t="s">
        <v>5946</v>
      </c>
      <c r="N1392" s="128" t="s">
        <v>2460</v>
      </c>
      <c r="O1392" s="128">
        <v>598</v>
      </c>
      <c r="P1392" s="128">
        <v>102</v>
      </c>
      <c r="Q1392" s="128">
        <v>105</v>
      </c>
      <c r="R1392" s="128">
        <v>253</v>
      </c>
      <c r="S1392" s="128">
        <v>72</v>
      </c>
      <c r="T1392" s="128">
        <v>75</v>
      </c>
      <c r="U1392" s="128">
        <v>607</v>
      </c>
      <c r="V1392" s="128" t="s">
        <v>1547</v>
      </c>
    </row>
    <row r="1393" spans="1:22" x14ac:dyDescent="0.35">
      <c r="A1393" s="118">
        <v>1392</v>
      </c>
      <c r="B1393" s="128" t="s">
        <v>172</v>
      </c>
      <c r="C1393" s="128" t="s">
        <v>324</v>
      </c>
      <c r="D1393" s="128" t="s">
        <v>5947</v>
      </c>
      <c r="E1393" s="128" t="s">
        <v>1363</v>
      </c>
      <c r="F1393" s="128">
        <v>1983</v>
      </c>
      <c r="G1393" s="128">
        <v>76</v>
      </c>
      <c r="H1393" s="128">
        <v>5</v>
      </c>
      <c r="I1393" s="128">
        <v>81</v>
      </c>
      <c r="J1393" s="128" t="s">
        <v>2751</v>
      </c>
      <c r="K1393" s="128" t="s">
        <v>5713</v>
      </c>
      <c r="L1393" s="128" t="s">
        <v>5948</v>
      </c>
      <c r="M1393" s="128" t="s">
        <v>5949</v>
      </c>
      <c r="N1393" s="128" t="s">
        <v>5950</v>
      </c>
      <c r="O1393" s="128">
        <v>808</v>
      </c>
      <c r="P1393" s="128">
        <v>163</v>
      </c>
      <c r="Q1393" s="128">
        <v>133</v>
      </c>
      <c r="R1393" s="128">
        <v>334</v>
      </c>
      <c r="S1393" s="128">
        <v>91</v>
      </c>
      <c r="T1393" s="128">
        <v>92</v>
      </c>
      <c r="U1393" s="128">
        <v>813</v>
      </c>
      <c r="V1393" s="128" t="s">
        <v>2702</v>
      </c>
    </row>
    <row r="1394" spans="1:22" x14ac:dyDescent="0.35">
      <c r="A1394" s="118">
        <v>1393</v>
      </c>
      <c r="B1394" s="128" t="s">
        <v>172</v>
      </c>
      <c r="C1394" s="128" t="s">
        <v>324</v>
      </c>
      <c r="D1394" s="128" t="s">
        <v>5951</v>
      </c>
      <c r="E1394" s="128" t="s">
        <v>1362</v>
      </c>
      <c r="F1394" s="128">
        <v>1981</v>
      </c>
      <c r="G1394" s="128">
        <v>97</v>
      </c>
      <c r="H1394" s="128">
        <v>11</v>
      </c>
      <c r="I1394" s="128">
        <v>108</v>
      </c>
      <c r="J1394" s="128" t="s">
        <v>2751</v>
      </c>
      <c r="K1394" s="128" t="s">
        <v>5719</v>
      </c>
      <c r="L1394" s="128" t="s">
        <v>5952</v>
      </c>
      <c r="M1394" s="128" t="s">
        <v>3513</v>
      </c>
      <c r="N1394" s="128" t="s">
        <v>5953</v>
      </c>
      <c r="O1394" s="128">
        <v>575</v>
      </c>
      <c r="P1394" s="128">
        <v>115</v>
      </c>
      <c r="Q1394" s="128">
        <v>95</v>
      </c>
      <c r="R1394" s="128">
        <v>289</v>
      </c>
      <c r="S1394" s="128">
        <v>80</v>
      </c>
      <c r="T1394" s="128">
        <v>80</v>
      </c>
      <c r="U1394" s="128">
        <v>659</v>
      </c>
      <c r="V1394" s="128" t="s">
        <v>1547</v>
      </c>
    </row>
    <row r="1395" spans="1:22" x14ac:dyDescent="0.35">
      <c r="A1395" s="118">
        <v>1394</v>
      </c>
      <c r="B1395" s="128" t="s">
        <v>172</v>
      </c>
      <c r="C1395" s="128" t="s">
        <v>324</v>
      </c>
      <c r="D1395" s="128" t="s">
        <v>2391</v>
      </c>
      <c r="E1395" s="128" t="s">
        <v>1361</v>
      </c>
      <c r="F1395" s="128">
        <v>1990</v>
      </c>
      <c r="G1395" s="128">
        <v>77</v>
      </c>
      <c r="H1395" s="128">
        <v>9</v>
      </c>
      <c r="I1395" s="128">
        <v>86</v>
      </c>
      <c r="J1395" s="128" t="s">
        <v>2751</v>
      </c>
      <c r="K1395" s="128" t="s">
        <v>5954</v>
      </c>
      <c r="L1395" s="128" t="s">
        <v>5955</v>
      </c>
      <c r="M1395" s="128" t="s">
        <v>5956</v>
      </c>
      <c r="N1395" s="128" t="s">
        <v>5957</v>
      </c>
      <c r="O1395" s="128">
        <v>788</v>
      </c>
      <c r="P1395" s="128">
        <v>154</v>
      </c>
      <c r="Q1395" s="128">
        <v>115</v>
      </c>
      <c r="R1395" s="128">
        <v>326</v>
      </c>
      <c r="S1395" s="128">
        <v>102</v>
      </c>
      <c r="T1395" s="128">
        <v>96</v>
      </c>
      <c r="U1395" s="128">
        <v>793</v>
      </c>
      <c r="V1395" s="128" t="s">
        <v>2702</v>
      </c>
    </row>
    <row r="1396" spans="1:22" x14ac:dyDescent="0.35">
      <c r="A1396" s="118">
        <v>1395</v>
      </c>
      <c r="B1396" s="128" t="s">
        <v>172</v>
      </c>
      <c r="C1396" s="128" t="s">
        <v>326</v>
      </c>
      <c r="D1396" s="128" t="s">
        <v>4989</v>
      </c>
      <c r="E1396" s="128" t="s">
        <v>1373</v>
      </c>
      <c r="F1396" s="128">
        <v>1987</v>
      </c>
      <c r="G1396" s="128">
        <v>270</v>
      </c>
      <c r="H1396" s="128">
        <v>34</v>
      </c>
      <c r="I1396" s="128">
        <v>304</v>
      </c>
      <c r="J1396" s="128" t="s">
        <v>2751</v>
      </c>
      <c r="K1396" s="128">
        <v>423.5</v>
      </c>
      <c r="L1396" s="128" t="s">
        <v>3576</v>
      </c>
      <c r="M1396" s="128" t="s">
        <v>5958</v>
      </c>
      <c r="N1396" s="128" t="s">
        <v>5959</v>
      </c>
      <c r="O1396" s="128">
        <v>728</v>
      </c>
      <c r="P1396" s="128">
        <v>137</v>
      </c>
      <c r="Q1396" s="128">
        <v>118</v>
      </c>
      <c r="R1396" s="128">
        <v>295</v>
      </c>
      <c r="S1396" s="128">
        <v>80</v>
      </c>
      <c r="T1396" s="128">
        <v>100</v>
      </c>
      <c r="U1396" s="128">
        <v>730</v>
      </c>
      <c r="V1396" s="128" t="s">
        <v>2702</v>
      </c>
    </row>
    <row r="1397" spans="1:22" x14ac:dyDescent="0.35">
      <c r="A1397" s="118">
        <v>1396</v>
      </c>
      <c r="B1397" s="128" t="s">
        <v>172</v>
      </c>
      <c r="C1397" s="128" t="s">
        <v>326</v>
      </c>
      <c r="D1397" s="128" t="s">
        <v>5960</v>
      </c>
      <c r="E1397" s="128" t="s">
        <v>1372</v>
      </c>
      <c r="F1397" s="128">
        <v>1974</v>
      </c>
      <c r="G1397" s="128">
        <v>197</v>
      </c>
      <c r="H1397" s="128">
        <v>26</v>
      </c>
      <c r="I1397" s="128">
        <v>223</v>
      </c>
      <c r="J1397" s="128" t="s">
        <v>2751</v>
      </c>
      <c r="K1397" s="128">
        <v>265.69</v>
      </c>
      <c r="L1397" s="128" t="s">
        <v>2752</v>
      </c>
      <c r="M1397" s="128" t="s">
        <v>5961</v>
      </c>
      <c r="N1397" s="128" t="s">
        <v>5789</v>
      </c>
      <c r="O1397" s="128">
        <v>690</v>
      </c>
      <c r="P1397" s="128">
        <v>133</v>
      </c>
      <c r="Q1397" s="128">
        <v>114</v>
      </c>
      <c r="R1397" s="128">
        <v>286</v>
      </c>
      <c r="S1397" s="128">
        <v>80</v>
      </c>
      <c r="T1397" s="128">
        <v>80</v>
      </c>
      <c r="U1397" s="128">
        <v>693</v>
      </c>
      <c r="V1397" s="128" t="s">
        <v>1547</v>
      </c>
    </row>
    <row r="1398" spans="1:22" x14ac:dyDescent="0.35">
      <c r="A1398" s="118">
        <v>1397</v>
      </c>
      <c r="B1398" s="128" t="s">
        <v>172</v>
      </c>
      <c r="C1398" s="128" t="s">
        <v>326</v>
      </c>
      <c r="D1398" s="128" t="s">
        <v>3514</v>
      </c>
      <c r="E1398" s="128" t="s">
        <v>1371</v>
      </c>
      <c r="F1398" s="128">
        <v>1983</v>
      </c>
      <c r="G1398" s="128">
        <v>156</v>
      </c>
      <c r="H1398" s="128">
        <v>18</v>
      </c>
      <c r="I1398" s="128">
        <v>174</v>
      </c>
      <c r="J1398" s="128" t="s">
        <v>2751</v>
      </c>
      <c r="K1398" s="128">
        <v>153.24</v>
      </c>
      <c r="L1398" s="128" t="s">
        <v>5962</v>
      </c>
      <c r="M1398" s="128" t="s">
        <v>5963</v>
      </c>
      <c r="N1398" s="128" t="s">
        <v>5964</v>
      </c>
      <c r="O1398" s="128">
        <v>733</v>
      </c>
      <c r="P1398" s="128">
        <v>140</v>
      </c>
      <c r="Q1398" s="128">
        <v>121</v>
      </c>
      <c r="R1398" s="128">
        <v>300</v>
      </c>
      <c r="S1398" s="128">
        <v>87</v>
      </c>
      <c r="T1398" s="128">
        <v>90</v>
      </c>
      <c r="U1398" s="128">
        <v>738</v>
      </c>
      <c r="V1398" s="128" t="s">
        <v>2702</v>
      </c>
    </row>
    <row r="1399" spans="1:22" x14ac:dyDescent="0.35">
      <c r="A1399" s="118">
        <v>1398</v>
      </c>
      <c r="B1399" s="128" t="s">
        <v>172</v>
      </c>
      <c r="C1399" s="128" t="s">
        <v>326</v>
      </c>
      <c r="D1399" s="128" t="s">
        <v>2721</v>
      </c>
      <c r="E1399" s="128" t="s">
        <v>1370</v>
      </c>
      <c r="F1399" s="128">
        <v>1985</v>
      </c>
      <c r="G1399" s="128">
        <v>144</v>
      </c>
      <c r="H1399" s="128">
        <v>30</v>
      </c>
      <c r="I1399" s="128">
        <v>174</v>
      </c>
      <c r="J1399" s="128" t="s">
        <v>2751</v>
      </c>
      <c r="K1399" s="128">
        <v>175.5</v>
      </c>
      <c r="L1399" s="128" t="s">
        <v>3164</v>
      </c>
      <c r="M1399" s="128" t="s">
        <v>2501</v>
      </c>
      <c r="N1399" s="128" t="s">
        <v>4345</v>
      </c>
      <c r="O1399" s="128">
        <v>773</v>
      </c>
      <c r="P1399" s="128">
        <v>148</v>
      </c>
      <c r="Q1399" s="128">
        <v>119</v>
      </c>
      <c r="R1399" s="128">
        <v>308</v>
      </c>
      <c r="S1399" s="128">
        <v>100</v>
      </c>
      <c r="T1399" s="128">
        <v>100</v>
      </c>
      <c r="U1399" s="128">
        <v>775</v>
      </c>
      <c r="V1399" s="128" t="s">
        <v>2702</v>
      </c>
    </row>
    <row r="1400" spans="1:22" x14ac:dyDescent="0.35">
      <c r="A1400" s="118">
        <v>1399</v>
      </c>
      <c r="B1400" s="128" t="s">
        <v>172</v>
      </c>
      <c r="C1400" s="128" t="s">
        <v>326</v>
      </c>
      <c r="D1400" s="128" t="s">
        <v>5965</v>
      </c>
      <c r="E1400" s="128" t="s">
        <v>1369</v>
      </c>
      <c r="F1400" s="128">
        <v>1987</v>
      </c>
      <c r="G1400" s="128">
        <v>128</v>
      </c>
      <c r="H1400" s="128">
        <v>2</v>
      </c>
      <c r="I1400" s="128">
        <v>130</v>
      </c>
      <c r="J1400" s="128" t="s">
        <v>2751</v>
      </c>
      <c r="K1400" s="128">
        <v>171.84</v>
      </c>
      <c r="L1400" s="128" t="s">
        <v>2771</v>
      </c>
      <c r="M1400" s="128" t="s">
        <v>5966</v>
      </c>
      <c r="N1400" s="128" t="s">
        <v>2771</v>
      </c>
      <c r="O1400" s="128">
        <v>733</v>
      </c>
      <c r="P1400" s="128">
        <v>138</v>
      </c>
      <c r="Q1400" s="128">
        <v>120</v>
      </c>
      <c r="R1400" s="128">
        <v>302</v>
      </c>
      <c r="S1400" s="128">
        <v>85</v>
      </c>
      <c r="T1400" s="128">
        <v>90</v>
      </c>
      <c r="U1400" s="128">
        <v>735</v>
      </c>
      <c r="V1400" s="128" t="s">
        <v>2702</v>
      </c>
    </row>
    <row r="1401" spans="1:22" x14ac:dyDescent="0.35">
      <c r="A1401" s="118">
        <v>1400</v>
      </c>
      <c r="B1401" s="128" t="s">
        <v>172</v>
      </c>
      <c r="C1401" s="128" t="s">
        <v>326</v>
      </c>
      <c r="D1401" s="128" t="s">
        <v>4989</v>
      </c>
      <c r="E1401" s="128" t="s">
        <v>1368</v>
      </c>
      <c r="F1401" s="128">
        <v>2022</v>
      </c>
      <c r="G1401" s="128">
        <v>39</v>
      </c>
      <c r="H1401" s="128">
        <v>5</v>
      </c>
      <c r="I1401" s="128">
        <v>44</v>
      </c>
      <c r="J1401" s="128" t="s">
        <v>2751</v>
      </c>
      <c r="K1401" s="128">
        <v>100</v>
      </c>
      <c r="L1401" s="128" t="s">
        <v>5967</v>
      </c>
      <c r="M1401" s="128" t="s">
        <v>5705</v>
      </c>
      <c r="N1401" s="128" t="s">
        <v>5968</v>
      </c>
      <c r="O1401" s="128">
        <v>195</v>
      </c>
      <c r="P1401" s="128">
        <v>63</v>
      </c>
      <c r="Q1401" s="128">
        <v>44</v>
      </c>
      <c r="R1401" s="128">
        <v>61</v>
      </c>
      <c r="S1401" s="128">
        <v>9</v>
      </c>
      <c r="T1401" s="128">
        <v>29</v>
      </c>
      <c r="U1401" s="128">
        <v>206</v>
      </c>
      <c r="V1401" s="128" t="s">
        <v>3122</v>
      </c>
    </row>
    <row r="1402" spans="1:22" x14ac:dyDescent="0.35">
      <c r="A1402" s="118">
        <v>1401</v>
      </c>
      <c r="B1402" s="128" t="s">
        <v>172</v>
      </c>
      <c r="C1402" s="128" t="s">
        <v>318</v>
      </c>
      <c r="D1402" s="128" t="s">
        <v>2391</v>
      </c>
      <c r="E1402" s="128" t="s">
        <v>364</v>
      </c>
      <c r="F1402" s="128">
        <v>2000</v>
      </c>
      <c r="G1402" s="128">
        <v>240</v>
      </c>
      <c r="H1402" s="128">
        <v>20</v>
      </c>
      <c r="I1402" s="128">
        <v>260</v>
      </c>
      <c r="J1402" s="128" t="s">
        <v>5969</v>
      </c>
      <c r="K1402" s="128">
        <v>105.18</v>
      </c>
      <c r="L1402" s="128" t="s">
        <v>5970</v>
      </c>
      <c r="M1402" s="128" t="s">
        <v>2406</v>
      </c>
      <c r="N1402" s="128" t="s">
        <v>5971</v>
      </c>
      <c r="O1402" s="128">
        <v>765</v>
      </c>
      <c r="P1402" s="128">
        <v>166</v>
      </c>
      <c r="Q1402" s="128">
        <v>130</v>
      </c>
      <c r="R1402" s="128">
        <v>298</v>
      </c>
      <c r="S1402" s="128">
        <v>87</v>
      </c>
      <c r="T1402" s="128">
        <v>91</v>
      </c>
      <c r="U1402" s="128">
        <v>772</v>
      </c>
      <c r="V1402" s="128" t="s">
        <v>2702</v>
      </c>
    </row>
    <row r="1403" spans="1:22" x14ac:dyDescent="0.35">
      <c r="A1403" s="118">
        <v>1402</v>
      </c>
      <c r="B1403" s="128" t="s">
        <v>172</v>
      </c>
      <c r="C1403" s="128" t="s">
        <v>318</v>
      </c>
      <c r="D1403" s="128" t="s">
        <v>4107</v>
      </c>
      <c r="E1403" s="128" t="s">
        <v>363</v>
      </c>
      <c r="F1403" s="128">
        <v>2000</v>
      </c>
      <c r="G1403" s="128">
        <v>219</v>
      </c>
      <c r="H1403" s="128">
        <v>76</v>
      </c>
      <c r="I1403" s="128">
        <v>295</v>
      </c>
      <c r="J1403" s="128" t="s">
        <v>5969</v>
      </c>
      <c r="K1403" s="128">
        <v>98.5</v>
      </c>
      <c r="L1403" s="128" t="s">
        <v>5972</v>
      </c>
      <c r="M1403" s="128" t="s">
        <v>3085</v>
      </c>
      <c r="N1403" s="128" t="s">
        <v>5973</v>
      </c>
      <c r="O1403" s="128">
        <v>670</v>
      </c>
      <c r="P1403" s="128">
        <v>133</v>
      </c>
      <c r="Q1403" s="128">
        <v>111</v>
      </c>
      <c r="R1403" s="128">
        <v>281</v>
      </c>
      <c r="S1403" s="128">
        <v>77</v>
      </c>
      <c r="T1403" s="128">
        <v>79</v>
      </c>
      <c r="U1403" s="128">
        <v>681</v>
      </c>
      <c r="V1403" s="128" t="s">
        <v>1547</v>
      </c>
    </row>
    <row r="1404" spans="1:22" x14ac:dyDescent="0.35">
      <c r="A1404" s="118">
        <v>1403</v>
      </c>
      <c r="B1404" s="128" t="s">
        <v>172</v>
      </c>
      <c r="C1404" s="128" t="s">
        <v>318</v>
      </c>
      <c r="D1404" s="128" t="s">
        <v>5082</v>
      </c>
      <c r="E1404" s="128" t="s">
        <v>362</v>
      </c>
      <c r="F1404" s="128">
        <v>2002</v>
      </c>
      <c r="G1404" s="128">
        <v>133</v>
      </c>
      <c r="H1404" s="128">
        <v>22</v>
      </c>
      <c r="I1404" s="128">
        <v>155</v>
      </c>
      <c r="J1404" s="128" t="s">
        <v>5969</v>
      </c>
      <c r="K1404" s="128">
        <v>84.82</v>
      </c>
      <c r="L1404" s="128" t="s">
        <v>2432</v>
      </c>
      <c r="M1404" s="128" t="s">
        <v>3687</v>
      </c>
      <c r="N1404" s="128" t="s">
        <v>5974</v>
      </c>
      <c r="O1404" s="128">
        <v>695</v>
      </c>
      <c r="P1404" s="128">
        <v>135</v>
      </c>
      <c r="Q1404" s="128">
        <v>115</v>
      </c>
      <c r="R1404" s="128">
        <v>289</v>
      </c>
      <c r="S1404" s="128">
        <v>80</v>
      </c>
      <c r="T1404" s="128">
        <v>80</v>
      </c>
      <c r="U1404" s="128">
        <v>699</v>
      </c>
      <c r="V1404" s="128" t="s">
        <v>1547</v>
      </c>
    </row>
    <row r="1405" spans="1:22" x14ac:dyDescent="0.35">
      <c r="A1405" s="118">
        <v>1404</v>
      </c>
      <c r="B1405" s="128" t="s">
        <v>172</v>
      </c>
      <c r="C1405" s="128" t="s">
        <v>318</v>
      </c>
      <c r="D1405" s="128" t="s">
        <v>5975</v>
      </c>
      <c r="E1405" s="128" t="s">
        <v>1334</v>
      </c>
      <c r="F1405" s="128">
        <v>2000</v>
      </c>
      <c r="G1405" s="128">
        <v>114</v>
      </c>
      <c r="H1405" s="128">
        <v>30</v>
      </c>
      <c r="I1405" s="128">
        <v>144</v>
      </c>
      <c r="J1405" s="128" t="s">
        <v>5969</v>
      </c>
      <c r="K1405" s="128">
        <v>97</v>
      </c>
      <c r="L1405" s="128" t="s">
        <v>5976</v>
      </c>
      <c r="M1405" s="128" t="s">
        <v>5977</v>
      </c>
      <c r="N1405" s="128" t="s">
        <v>2609</v>
      </c>
      <c r="O1405" s="128">
        <v>620</v>
      </c>
      <c r="P1405" s="128">
        <v>130</v>
      </c>
      <c r="Q1405" s="128">
        <v>109</v>
      </c>
      <c r="R1405" s="128">
        <v>266</v>
      </c>
      <c r="S1405" s="128">
        <v>55</v>
      </c>
      <c r="T1405" s="128">
        <v>70</v>
      </c>
      <c r="U1405" s="128">
        <v>630</v>
      </c>
      <c r="V1405" s="128" t="s">
        <v>1547</v>
      </c>
    </row>
    <row r="1406" spans="1:22" x14ac:dyDescent="0.35">
      <c r="A1406" s="118">
        <v>1405</v>
      </c>
      <c r="B1406" s="128" t="s">
        <v>172</v>
      </c>
      <c r="C1406" s="128" t="s">
        <v>322</v>
      </c>
      <c r="D1406" s="128" t="s">
        <v>2391</v>
      </c>
      <c r="E1406" s="128" t="s">
        <v>5978</v>
      </c>
      <c r="F1406" s="128">
        <v>2001</v>
      </c>
      <c r="G1406" s="128">
        <v>118</v>
      </c>
      <c r="H1406" s="128">
        <v>25</v>
      </c>
      <c r="I1406" s="128">
        <v>143</v>
      </c>
      <c r="J1406" s="128" t="s">
        <v>5969</v>
      </c>
      <c r="K1406" s="128">
        <v>188.41</v>
      </c>
      <c r="L1406" s="128" t="s">
        <v>2857</v>
      </c>
      <c r="M1406" s="128" t="s">
        <v>5979</v>
      </c>
      <c r="N1406" s="128" t="s">
        <v>2508</v>
      </c>
      <c r="O1406" s="128">
        <v>645</v>
      </c>
      <c r="P1406" s="128">
        <v>128</v>
      </c>
      <c r="Q1406" s="128">
        <v>111</v>
      </c>
      <c r="R1406" s="128">
        <v>253</v>
      </c>
      <c r="S1406" s="128">
        <v>80</v>
      </c>
      <c r="T1406" s="128">
        <v>80</v>
      </c>
      <c r="U1406" s="128">
        <v>652</v>
      </c>
      <c r="V1406" s="128" t="s">
        <v>1547</v>
      </c>
    </row>
    <row r="1407" spans="1:22" x14ac:dyDescent="0.35">
      <c r="A1407" s="118">
        <v>1406</v>
      </c>
      <c r="B1407" s="128" t="s">
        <v>172</v>
      </c>
      <c r="C1407" s="128" t="s">
        <v>322</v>
      </c>
      <c r="D1407" s="128" t="s">
        <v>4107</v>
      </c>
      <c r="E1407" s="128" t="s">
        <v>5980</v>
      </c>
      <c r="F1407" s="128">
        <v>2000</v>
      </c>
      <c r="G1407" s="128">
        <v>497</v>
      </c>
      <c r="H1407" s="128">
        <v>95</v>
      </c>
      <c r="I1407" s="128">
        <v>592</v>
      </c>
      <c r="J1407" s="128" t="s">
        <v>5969</v>
      </c>
      <c r="K1407" s="128">
        <v>246.41</v>
      </c>
      <c r="L1407" s="128" t="s">
        <v>5019</v>
      </c>
      <c r="M1407" s="128" t="s">
        <v>5981</v>
      </c>
      <c r="N1407" s="128" t="s">
        <v>5982</v>
      </c>
      <c r="O1407" s="128">
        <v>675</v>
      </c>
      <c r="P1407" s="128">
        <v>132</v>
      </c>
      <c r="Q1407" s="128">
        <v>110</v>
      </c>
      <c r="R1407" s="128">
        <v>280</v>
      </c>
      <c r="S1407" s="128">
        <v>80</v>
      </c>
      <c r="T1407" s="128">
        <v>80</v>
      </c>
      <c r="U1407" s="128">
        <v>682</v>
      </c>
      <c r="V1407" s="128" t="s">
        <v>1547</v>
      </c>
    </row>
    <row r="1408" spans="1:22" x14ac:dyDescent="0.35">
      <c r="A1408" s="118">
        <v>1407</v>
      </c>
      <c r="B1408" s="128" t="s">
        <v>172</v>
      </c>
      <c r="C1408" s="128" t="s">
        <v>322</v>
      </c>
      <c r="D1408" s="128" t="s">
        <v>5082</v>
      </c>
      <c r="E1408" s="128" t="s">
        <v>5983</v>
      </c>
      <c r="F1408" s="128">
        <v>2002</v>
      </c>
      <c r="G1408" s="128">
        <v>399</v>
      </c>
      <c r="H1408" s="128">
        <v>8</v>
      </c>
      <c r="I1408" s="128">
        <v>407</v>
      </c>
      <c r="J1408" s="128" t="s">
        <v>5969</v>
      </c>
      <c r="K1408" s="128">
        <v>169.35</v>
      </c>
      <c r="L1408" s="128" t="s">
        <v>5984</v>
      </c>
      <c r="M1408" s="128" t="s">
        <v>5726</v>
      </c>
      <c r="N1408" s="128" t="s">
        <v>2430</v>
      </c>
      <c r="O1408" s="128">
        <v>755</v>
      </c>
      <c r="P1408" s="128">
        <v>176</v>
      </c>
      <c r="Q1408" s="128">
        <v>141</v>
      </c>
      <c r="R1408" s="128">
        <v>297</v>
      </c>
      <c r="S1408" s="128">
        <v>85</v>
      </c>
      <c r="T1408" s="128">
        <v>82</v>
      </c>
      <c r="U1408" s="128">
        <v>781</v>
      </c>
      <c r="V1408" s="128" t="s">
        <v>2702</v>
      </c>
    </row>
    <row r="1409" spans="1:22" x14ac:dyDescent="0.35">
      <c r="A1409" s="118">
        <v>1408</v>
      </c>
      <c r="B1409" s="128" t="s">
        <v>172</v>
      </c>
      <c r="C1409" s="128" t="s">
        <v>322</v>
      </c>
      <c r="D1409" s="128" t="s">
        <v>5975</v>
      </c>
      <c r="E1409" s="128" t="s">
        <v>5985</v>
      </c>
      <c r="F1409" s="128">
        <v>2001</v>
      </c>
      <c r="G1409" s="128">
        <v>210</v>
      </c>
      <c r="H1409" s="128">
        <v>27</v>
      </c>
      <c r="I1409" s="128">
        <v>237</v>
      </c>
      <c r="J1409" s="128" t="s">
        <v>5969</v>
      </c>
      <c r="K1409" s="128">
        <v>232.32</v>
      </c>
      <c r="L1409" s="128" t="s">
        <v>2835</v>
      </c>
      <c r="M1409" s="128" t="s">
        <v>3988</v>
      </c>
      <c r="N1409" s="128" t="s">
        <v>3639</v>
      </c>
      <c r="O1409" s="128">
        <v>650</v>
      </c>
      <c r="P1409" s="128">
        <v>130</v>
      </c>
      <c r="Q1409" s="128">
        <v>109</v>
      </c>
      <c r="R1409" s="128">
        <v>269</v>
      </c>
      <c r="S1409" s="128">
        <v>75</v>
      </c>
      <c r="T1409" s="128">
        <v>76</v>
      </c>
      <c r="U1409" s="128">
        <v>659</v>
      </c>
      <c r="V1409" s="128" t="s">
        <v>1547</v>
      </c>
    </row>
    <row r="1410" spans="1:22" x14ac:dyDescent="0.35">
      <c r="A1410" s="118">
        <v>1409</v>
      </c>
      <c r="B1410" s="128" t="s">
        <v>171</v>
      </c>
      <c r="C1410" s="128" t="s">
        <v>302</v>
      </c>
      <c r="D1410" s="128" t="s">
        <v>5986</v>
      </c>
      <c r="E1410" s="128" t="s">
        <v>1214</v>
      </c>
      <c r="F1410" s="128">
        <v>2001</v>
      </c>
      <c r="G1410" s="128">
        <v>279</v>
      </c>
      <c r="H1410" s="128">
        <v>37</v>
      </c>
      <c r="I1410" s="128">
        <v>316</v>
      </c>
      <c r="J1410" s="128" t="s">
        <v>2751</v>
      </c>
      <c r="K1410" s="128" t="s">
        <v>5987</v>
      </c>
      <c r="L1410" s="128" t="s">
        <v>5988</v>
      </c>
      <c r="M1410" s="128" t="s">
        <v>1536</v>
      </c>
      <c r="N1410" s="128" t="s">
        <v>5989</v>
      </c>
      <c r="O1410" s="128">
        <v>528</v>
      </c>
      <c r="P1410" s="128">
        <v>106</v>
      </c>
      <c r="Q1410" s="128">
        <v>103</v>
      </c>
      <c r="R1410" s="128">
        <v>217</v>
      </c>
      <c r="S1410" s="128">
        <v>53</v>
      </c>
      <c r="T1410" s="128">
        <v>55</v>
      </c>
      <c r="U1410" s="128">
        <v>534</v>
      </c>
      <c r="V1410" s="128" t="s">
        <v>1547</v>
      </c>
    </row>
    <row r="1411" spans="1:22" x14ac:dyDescent="0.35">
      <c r="A1411" s="118">
        <v>1410</v>
      </c>
      <c r="B1411" s="128" t="s">
        <v>171</v>
      </c>
      <c r="C1411" s="128" t="s">
        <v>302</v>
      </c>
      <c r="D1411" s="128" t="s">
        <v>3400</v>
      </c>
      <c r="E1411" s="128" t="s">
        <v>1213</v>
      </c>
      <c r="F1411" s="128">
        <v>2002</v>
      </c>
      <c r="G1411" s="128">
        <v>136</v>
      </c>
      <c r="H1411" s="128">
        <v>9</v>
      </c>
      <c r="I1411" s="128">
        <v>145</v>
      </c>
      <c r="J1411" s="128" t="s">
        <v>2751</v>
      </c>
      <c r="K1411" s="128" t="s">
        <v>5990</v>
      </c>
      <c r="L1411" s="128" t="s">
        <v>5991</v>
      </c>
      <c r="M1411" s="128" t="s">
        <v>1597</v>
      </c>
      <c r="N1411" s="128" t="s">
        <v>5530</v>
      </c>
      <c r="O1411" s="128">
        <v>318</v>
      </c>
      <c r="P1411" s="128">
        <v>80</v>
      </c>
      <c r="Q1411" s="128">
        <v>55</v>
      </c>
      <c r="R1411" s="128">
        <v>120</v>
      </c>
      <c r="S1411" s="128">
        <v>25</v>
      </c>
      <c r="T1411" s="128">
        <v>40</v>
      </c>
      <c r="U1411" s="128">
        <v>320</v>
      </c>
      <c r="V1411" s="128" t="s">
        <v>2643</v>
      </c>
    </row>
    <row r="1412" spans="1:22" x14ac:dyDescent="0.35">
      <c r="A1412" s="118">
        <v>1411</v>
      </c>
      <c r="B1412" s="128" t="s">
        <v>171</v>
      </c>
      <c r="C1412" s="128" t="s">
        <v>302</v>
      </c>
      <c r="D1412" s="128" t="s">
        <v>5992</v>
      </c>
      <c r="E1412" s="128" t="s">
        <v>1212</v>
      </c>
      <c r="F1412" s="128">
        <v>2001</v>
      </c>
      <c r="G1412" s="128">
        <v>225</v>
      </c>
      <c r="H1412" s="128">
        <v>45</v>
      </c>
      <c r="I1412" s="128">
        <v>270</v>
      </c>
      <c r="J1412" s="128" t="s">
        <v>2751</v>
      </c>
      <c r="K1412" s="128" t="s">
        <v>5993</v>
      </c>
      <c r="L1412" s="128" t="s">
        <v>5994</v>
      </c>
      <c r="M1412" s="128" t="s">
        <v>1681</v>
      </c>
      <c r="N1412" s="128" t="s">
        <v>5995</v>
      </c>
      <c r="O1412" s="128">
        <v>344</v>
      </c>
      <c r="P1412" s="128">
        <v>84</v>
      </c>
      <c r="Q1412" s="128">
        <v>62</v>
      </c>
      <c r="R1412" s="128">
        <v>142</v>
      </c>
      <c r="S1412" s="128">
        <v>30</v>
      </c>
      <c r="T1412" s="128">
        <v>37</v>
      </c>
      <c r="U1412" s="128">
        <v>355</v>
      </c>
      <c r="V1412" s="128" t="s">
        <v>2643</v>
      </c>
    </row>
    <row r="1413" spans="1:22" x14ac:dyDescent="0.35">
      <c r="A1413" s="118">
        <v>1412</v>
      </c>
      <c r="B1413" s="128" t="s">
        <v>171</v>
      </c>
      <c r="C1413" s="128" t="s">
        <v>302</v>
      </c>
      <c r="D1413" s="128" t="s">
        <v>5837</v>
      </c>
      <c r="E1413" s="128" t="s">
        <v>1211</v>
      </c>
      <c r="F1413" s="128">
        <v>2007</v>
      </c>
      <c r="G1413" s="128">
        <v>127</v>
      </c>
      <c r="H1413" s="128">
        <v>25</v>
      </c>
      <c r="I1413" s="128">
        <v>152</v>
      </c>
      <c r="J1413" s="128" t="s">
        <v>5996</v>
      </c>
      <c r="K1413" s="128" t="s">
        <v>5997</v>
      </c>
      <c r="L1413" s="128" t="s">
        <v>5998</v>
      </c>
      <c r="M1413" s="128" t="s">
        <v>1600</v>
      </c>
      <c r="N1413" s="128" t="s">
        <v>1926</v>
      </c>
      <c r="O1413" s="128">
        <v>731</v>
      </c>
      <c r="P1413" s="128">
        <v>141</v>
      </c>
      <c r="Q1413" s="128">
        <v>128</v>
      </c>
      <c r="R1413" s="128">
        <v>298</v>
      </c>
      <c r="S1413" s="128">
        <v>83</v>
      </c>
      <c r="T1413" s="128">
        <v>82</v>
      </c>
      <c r="U1413" s="128">
        <v>732</v>
      </c>
      <c r="V1413" s="128" t="s">
        <v>2702</v>
      </c>
    </row>
    <row r="1414" spans="1:22" x14ac:dyDescent="0.35">
      <c r="A1414" s="118">
        <v>1413</v>
      </c>
      <c r="B1414" s="128" t="s">
        <v>171</v>
      </c>
      <c r="C1414" s="128" t="s">
        <v>302</v>
      </c>
      <c r="D1414" s="128" t="s">
        <v>5999</v>
      </c>
      <c r="E1414" s="128" t="s">
        <v>1210</v>
      </c>
      <c r="F1414" s="128">
        <v>2006</v>
      </c>
      <c r="G1414" s="128">
        <v>102</v>
      </c>
      <c r="H1414" s="128">
        <v>30</v>
      </c>
      <c r="I1414" s="128">
        <v>132</v>
      </c>
      <c r="J1414" s="128" t="s">
        <v>2751</v>
      </c>
      <c r="K1414" s="128" t="s">
        <v>6000</v>
      </c>
      <c r="L1414" s="128" t="s">
        <v>6001</v>
      </c>
      <c r="M1414" s="128" t="s">
        <v>5341</v>
      </c>
      <c r="N1414" s="128" t="s">
        <v>6002</v>
      </c>
      <c r="O1414" s="128">
        <v>406</v>
      </c>
      <c r="P1414" s="128">
        <v>95</v>
      </c>
      <c r="Q1414" s="128">
        <v>76</v>
      </c>
      <c r="R1414" s="128">
        <v>153</v>
      </c>
      <c r="S1414" s="128">
        <v>39</v>
      </c>
      <c r="T1414" s="128">
        <v>45</v>
      </c>
      <c r="U1414" s="128">
        <v>408</v>
      </c>
      <c r="V1414" s="128" t="s">
        <v>2643</v>
      </c>
    </row>
    <row r="1415" spans="1:22" x14ac:dyDescent="0.35">
      <c r="A1415" s="118">
        <v>1414</v>
      </c>
      <c r="B1415" s="128" t="s">
        <v>171</v>
      </c>
      <c r="C1415" s="128" t="s">
        <v>302</v>
      </c>
      <c r="D1415" s="128" t="s">
        <v>6003</v>
      </c>
      <c r="E1415" s="128" t="s">
        <v>1209</v>
      </c>
      <c r="F1415" s="128">
        <v>2006</v>
      </c>
      <c r="G1415" s="128">
        <v>140</v>
      </c>
      <c r="H1415" s="128">
        <v>76</v>
      </c>
      <c r="I1415" s="128">
        <v>216</v>
      </c>
      <c r="J1415" s="128" t="s">
        <v>2751</v>
      </c>
      <c r="K1415" s="128" t="s">
        <v>6004</v>
      </c>
      <c r="L1415" s="128" t="s">
        <v>6005</v>
      </c>
      <c r="M1415" s="128" t="s">
        <v>6006</v>
      </c>
      <c r="N1415" s="128" t="s">
        <v>1688</v>
      </c>
      <c r="O1415" s="128">
        <v>501</v>
      </c>
      <c r="P1415" s="128">
        <v>106</v>
      </c>
      <c r="Q1415" s="128">
        <v>80</v>
      </c>
      <c r="R1415" s="128">
        <v>215</v>
      </c>
      <c r="S1415" s="128">
        <v>45</v>
      </c>
      <c r="T1415" s="128">
        <v>55</v>
      </c>
      <c r="U1415" s="128">
        <v>501</v>
      </c>
      <c r="V1415" s="128" t="s">
        <v>1547</v>
      </c>
    </row>
    <row r="1416" spans="1:22" x14ac:dyDescent="0.35">
      <c r="A1416" s="118">
        <v>1415</v>
      </c>
      <c r="B1416" s="128" t="s">
        <v>171</v>
      </c>
      <c r="C1416" s="128" t="s">
        <v>302</v>
      </c>
      <c r="D1416" s="128" t="s">
        <v>6007</v>
      </c>
      <c r="E1416" s="128" t="s">
        <v>1208</v>
      </c>
      <c r="F1416" s="128">
        <v>2001</v>
      </c>
      <c r="G1416" s="128">
        <v>185</v>
      </c>
      <c r="H1416" s="128">
        <v>28</v>
      </c>
      <c r="I1416" s="128">
        <v>213</v>
      </c>
      <c r="J1416" s="128" t="s">
        <v>5996</v>
      </c>
      <c r="K1416" s="128" t="s">
        <v>6008</v>
      </c>
      <c r="L1416" s="128" t="s">
        <v>6009</v>
      </c>
      <c r="M1416" s="128" t="s">
        <v>6010</v>
      </c>
      <c r="N1416" s="128" t="s">
        <v>6011</v>
      </c>
      <c r="O1416" s="128">
        <v>782</v>
      </c>
      <c r="P1416" s="128">
        <v>169</v>
      </c>
      <c r="Q1416" s="128">
        <v>123</v>
      </c>
      <c r="R1416" s="128">
        <v>313</v>
      </c>
      <c r="S1416" s="128">
        <v>88</v>
      </c>
      <c r="T1416" s="128">
        <v>89</v>
      </c>
      <c r="U1416" s="128">
        <v>782</v>
      </c>
      <c r="V1416" s="128" t="s">
        <v>2702</v>
      </c>
    </row>
    <row r="1417" spans="1:22" x14ac:dyDescent="0.35">
      <c r="A1417" s="118">
        <v>1416</v>
      </c>
      <c r="B1417" s="128" t="s">
        <v>171</v>
      </c>
      <c r="C1417" s="128" t="s">
        <v>302</v>
      </c>
      <c r="D1417" s="128" t="s">
        <v>5986</v>
      </c>
      <c r="E1417" s="128" t="s">
        <v>1207</v>
      </c>
      <c r="F1417" s="128">
        <v>2011</v>
      </c>
      <c r="G1417" s="128">
        <v>2</v>
      </c>
      <c r="H1417" s="128">
        <v>30</v>
      </c>
      <c r="I1417" s="128">
        <v>32</v>
      </c>
      <c r="J1417" s="128" t="s">
        <v>6012</v>
      </c>
      <c r="K1417" s="128" t="s">
        <v>6013</v>
      </c>
      <c r="L1417" s="128" t="s">
        <v>6014</v>
      </c>
      <c r="M1417" s="128" t="s">
        <v>6015</v>
      </c>
      <c r="N1417" s="128" t="s">
        <v>6016</v>
      </c>
      <c r="O1417" s="128">
        <v>301</v>
      </c>
      <c r="P1417" s="128">
        <v>80</v>
      </c>
      <c r="Q1417" s="128">
        <v>54</v>
      </c>
      <c r="R1417" s="128">
        <v>113</v>
      </c>
      <c r="S1417" s="128">
        <v>28</v>
      </c>
      <c r="T1417" s="128">
        <v>37</v>
      </c>
      <c r="U1417" s="128">
        <v>312</v>
      </c>
      <c r="V1417" s="128" t="s">
        <v>2643</v>
      </c>
    </row>
    <row r="1418" spans="1:22" x14ac:dyDescent="0.35">
      <c r="A1418" s="118">
        <v>1417</v>
      </c>
      <c r="B1418" s="128" t="s">
        <v>171</v>
      </c>
      <c r="C1418" s="128" t="s">
        <v>6247</v>
      </c>
      <c r="D1418" s="128" t="s">
        <v>1517</v>
      </c>
      <c r="E1418" s="128" t="s">
        <v>474</v>
      </c>
      <c r="F1418" s="128">
        <v>2006</v>
      </c>
      <c r="G1418" s="128">
        <v>208</v>
      </c>
      <c r="H1418" s="128">
        <v>17</v>
      </c>
      <c r="I1418" s="128">
        <v>225</v>
      </c>
      <c r="J1418" s="128" t="s">
        <v>6017</v>
      </c>
      <c r="K1418" s="128">
        <v>85.04030644707359</v>
      </c>
      <c r="L1418" s="128" t="s">
        <v>6018</v>
      </c>
      <c r="M1418" s="128" t="s">
        <v>6019</v>
      </c>
      <c r="N1418" s="128" t="s">
        <v>6020</v>
      </c>
      <c r="O1418" s="128">
        <v>793</v>
      </c>
      <c r="P1418" s="128">
        <v>147</v>
      </c>
      <c r="Q1418" s="128">
        <v>146</v>
      </c>
      <c r="R1418" s="128">
        <v>307</v>
      </c>
      <c r="S1418" s="128">
        <v>99</v>
      </c>
      <c r="T1418" s="128">
        <v>103</v>
      </c>
      <c r="U1418" s="128">
        <v>802</v>
      </c>
      <c r="V1418" s="128" t="s">
        <v>2702</v>
      </c>
    </row>
    <row r="1419" spans="1:22" x14ac:dyDescent="0.35">
      <c r="A1419" s="118">
        <v>1418</v>
      </c>
      <c r="B1419" s="128" t="s">
        <v>171</v>
      </c>
      <c r="C1419" s="128" t="s">
        <v>6247</v>
      </c>
      <c r="D1419" s="128" t="s">
        <v>2238</v>
      </c>
      <c r="E1419" s="128" t="s">
        <v>423</v>
      </c>
      <c r="F1419" s="128">
        <v>2008</v>
      </c>
      <c r="G1419" s="128">
        <v>132</v>
      </c>
      <c r="H1419" s="128">
        <v>11</v>
      </c>
      <c r="I1419" s="128">
        <v>143</v>
      </c>
      <c r="J1419" s="128" t="s">
        <v>6017</v>
      </c>
      <c r="K1419" s="128">
        <v>67.28274818930295</v>
      </c>
      <c r="L1419" s="128" t="s">
        <v>2586</v>
      </c>
      <c r="M1419" s="128" t="s">
        <v>6021</v>
      </c>
      <c r="N1419" s="128" t="s">
        <v>4369</v>
      </c>
      <c r="O1419" s="128">
        <v>609</v>
      </c>
      <c r="P1419" s="128">
        <v>133</v>
      </c>
      <c r="Q1419" s="128">
        <v>114</v>
      </c>
      <c r="R1419" s="128">
        <v>221</v>
      </c>
      <c r="S1419" s="128">
        <v>73</v>
      </c>
      <c r="T1419" s="128">
        <v>79</v>
      </c>
      <c r="U1419" s="128">
        <v>620</v>
      </c>
      <c r="V1419" s="128" t="s">
        <v>1547</v>
      </c>
    </row>
    <row r="1420" spans="1:22" x14ac:dyDescent="0.35">
      <c r="A1420" s="118">
        <v>1419</v>
      </c>
      <c r="B1420" s="128" t="s">
        <v>171</v>
      </c>
      <c r="C1420" s="128" t="s">
        <v>6247</v>
      </c>
      <c r="D1420" s="128" t="s">
        <v>1517</v>
      </c>
      <c r="E1420" s="128" t="s">
        <v>422</v>
      </c>
      <c r="F1420" s="128">
        <v>2006</v>
      </c>
      <c r="G1420" s="128">
        <v>165</v>
      </c>
      <c r="H1420" s="128">
        <v>19</v>
      </c>
      <c r="I1420" s="128">
        <v>184</v>
      </c>
      <c r="J1420" s="128" t="s">
        <v>6017</v>
      </c>
      <c r="K1420" s="128">
        <v>76.923584700316866</v>
      </c>
      <c r="L1420" s="128" t="s">
        <v>5662</v>
      </c>
      <c r="M1420" s="128" t="s">
        <v>6022</v>
      </c>
      <c r="N1420" s="128" t="s">
        <v>1970</v>
      </c>
      <c r="O1420" s="128">
        <v>579</v>
      </c>
      <c r="P1420" s="128">
        <v>134</v>
      </c>
      <c r="Q1420" s="128">
        <v>112</v>
      </c>
      <c r="R1420" s="128">
        <v>212</v>
      </c>
      <c r="S1420" s="128">
        <v>60</v>
      </c>
      <c r="T1420" s="128">
        <v>72</v>
      </c>
      <c r="U1420" s="128">
        <v>590</v>
      </c>
      <c r="V1420" s="128" t="s">
        <v>1547</v>
      </c>
    </row>
    <row r="1421" spans="1:22" x14ac:dyDescent="0.35">
      <c r="A1421" s="118">
        <v>1420</v>
      </c>
      <c r="B1421" s="128" t="s">
        <v>171</v>
      </c>
      <c r="C1421" s="128" t="s">
        <v>6247</v>
      </c>
      <c r="D1421" s="128" t="s">
        <v>6023</v>
      </c>
      <c r="E1421" s="128" t="s">
        <v>6024</v>
      </c>
      <c r="F1421" s="128">
        <v>2006</v>
      </c>
      <c r="G1421" s="128">
        <v>186</v>
      </c>
      <c r="H1421" s="128">
        <v>2</v>
      </c>
      <c r="I1421" s="128">
        <v>188</v>
      </c>
      <c r="J1421" s="128" t="s">
        <v>6025</v>
      </c>
      <c r="K1421" s="128">
        <v>63.346635694803808</v>
      </c>
      <c r="L1421" s="128" t="s">
        <v>2926</v>
      </c>
      <c r="M1421" s="128" t="s">
        <v>6026</v>
      </c>
      <c r="N1421" s="128" t="s">
        <v>1856</v>
      </c>
      <c r="O1421" s="128">
        <v>770</v>
      </c>
      <c r="P1421" s="128">
        <v>144</v>
      </c>
      <c r="Q1421" s="128">
        <v>145</v>
      </c>
      <c r="R1421" s="128">
        <v>306</v>
      </c>
      <c r="S1421" s="128">
        <v>91</v>
      </c>
      <c r="T1421" s="128">
        <v>91</v>
      </c>
      <c r="U1421" s="128">
        <v>777</v>
      </c>
      <c r="V1421" s="128" t="s">
        <v>2702</v>
      </c>
    </row>
    <row r="1422" spans="1:22" x14ac:dyDescent="0.35">
      <c r="A1422" s="118">
        <v>1421</v>
      </c>
      <c r="B1422" s="128" t="s">
        <v>171</v>
      </c>
      <c r="C1422" s="128" t="s">
        <v>6247</v>
      </c>
      <c r="D1422" s="128" t="s">
        <v>6027</v>
      </c>
      <c r="E1422" s="128" t="s">
        <v>6028</v>
      </c>
      <c r="F1422" s="128">
        <v>2006</v>
      </c>
      <c r="G1422" s="128">
        <v>197</v>
      </c>
      <c r="H1422" s="128">
        <v>14</v>
      </c>
      <c r="I1422" s="128">
        <v>211</v>
      </c>
      <c r="J1422" s="128" t="s">
        <v>6017</v>
      </c>
      <c r="K1422" s="128">
        <v>91.022404109017884</v>
      </c>
      <c r="L1422" s="128" t="s">
        <v>6029</v>
      </c>
      <c r="M1422" s="128" t="s">
        <v>3242</v>
      </c>
      <c r="N1422" s="128" t="s">
        <v>2047</v>
      </c>
      <c r="O1422" s="128">
        <v>463</v>
      </c>
      <c r="P1422" s="128">
        <v>102</v>
      </c>
      <c r="Q1422" s="128">
        <v>83</v>
      </c>
      <c r="R1422" s="128">
        <v>195</v>
      </c>
      <c r="S1422" s="128">
        <v>45</v>
      </c>
      <c r="T1422" s="128">
        <v>58</v>
      </c>
      <c r="U1422" s="128">
        <v>483</v>
      </c>
      <c r="V1422" s="128" t="s">
        <v>1547</v>
      </c>
    </row>
    <row r="1423" spans="1:22" x14ac:dyDescent="0.35">
      <c r="A1423" s="118">
        <v>1422</v>
      </c>
      <c r="B1423" s="128" t="s">
        <v>171</v>
      </c>
      <c r="C1423" s="128" t="s">
        <v>6247</v>
      </c>
      <c r="D1423" s="128" t="s">
        <v>2003</v>
      </c>
      <c r="E1423" s="128" t="s">
        <v>6030</v>
      </c>
      <c r="F1423" s="128">
        <v>2006</v>
      </c>
      <c r="G1423" s="128">
        <v>57</v>
      </c>
      <c r="H1423" s="128">
        <v>15</v>
      </c>
      <c r="I1423" s="128">
        <v>72</v>
      </c>
      <c r="J1423" s="128" t="s">
        <v>6017</v>
      </c>
      <c r="K1423" s="128">
        <v>31.947982491501435</v>
      </c>
      <c r="L1423" s="128" t="s">
        <v>6031</v>
      </c>
      <c r="M1423" s="128" t="s">
        <v>1568</v>
      </c>
      <c r="N1423" s="128" t="s">
        <v>5920</v>
      </c>
      <c r="O1423" s="128">
        <v>532</v>
      </c>
      <c r="P1423" s="128">
        <v>111</v>
      </c>
      <c r="Q1423" s="128">
        <v>114</v>
      </c>
      <c r="R1423" s="128">
        <v>200</v>
      </c>
      <c r="S1423" s="128">
        <v>54</v>
      </c>
      <c r="T1423" s="128">
        <v>60</v>
      </c>
      <c r="U1423" s="128">
        <v>539</v>
      </c>
      <c r="V1423" s="128" t="s">
        <v>1547</v>
      </c>
    </row>
    <row r="1424" spans="1:22" x14ac:dyDescent="0.35">
      <c r="A1424" s="118">
        <v>1423</v>
      </c>
      <c r="B1424" s="128" t="s">
        <v>171</v>
      </c>
      <c r="C1424" s="128" t="s">
        <v>6247</v>
      </c>
      <c r="D1424" s="128" t="s">
        <v>2003</v>
      </c>
      <c r="E1424" s="128" t="s">
        <v>6032</v>
      </c>
      <c r="F1424" s="128">
        <v>2006</v>
      </c>
      <c r="G1424" s="128">
        <v>83</v>
      </c>
      <c r="H1424" s="128">
        <v>17</v>
      </c>
      <c r="I1424" s="128">
        <v>100</v>
      </c>
      <c r="J1424" s="128" t="s">
        <v>6017</v>
      </c>
      <c r="K1424" s="128">
        <v>63.955474926469691</v>
      </c>
      <c r="L1424" s="128" t="s">
        <v>2379</v>
      </c>
      <c r="M1424" s="128" t="s">
        <v>6033</v>
      </c>
      <c r="N1424" s="128" t="s">
        <v>1689</v>
      </c>
      <c r="O1424" s="128">
        <v>609</v>
      </c>
      <c r="P1424" s="128">
        <v>133</v>
      </c>
      <c r="Q1424" s="128">
        <v>113</v>
      </c>
      <c r="R1424" s="128">
        <v>218</v>
      </c>
      <c r="S1424" s="128">
        <v>72</v>
      </c>
      <c r="T1424" s="128">
        <v>79</v>
      </c>
      <c r="U1424" s="128">
        <v>615</v>
      </c>
      <c r="V1424" s="128" t="s">
        <v>1547</v>
      </c>
    </row>
    <row r="1425" spans="1:22" x14ac:dyDescent="0.35">
      <c r="A1425" s="118">
        <v>1424</v>
      </c>
      <c r="B1425" s="128" t="s">
        <v>171</v>
      </c>
      <c r="C1425" s="128" t="s">
        <v>6247</v>
      </c>
      <c r="D1425" s="128" t="s">
        <v>2238</v>
      </c>
      <c r="E1425" s="128" t="s">
        <v>6034</v>
      </c>
      <c r="F1425" s="128">
        <v>2009</v>
      </c>
      <c r="G1425" s="128">
        <v>156</v>
      </c>
      <c r="H1425" s="128">
        <v>12</v>
      </c>
      <c r="I1425" s="128">
        <v>168</v>
      </c>
      <c r="J1425" s="128" t="s">
        <v>6017</v>
      </c>
      <c r="K1425" s="128">
        <v>77.470555309217644</v>
      </c>
      <c r="L1425" s="128" t="s">
        <v>5289</v>
      </c>
      <c r="M1425" s="128" t="s">
        <v>6035</v>
      </c>
      <c r="N1425" s="128" t="s">
        <v>3237</v>
      </c>
      <c r="O1425" s="128">
        <v>453</v>
      </c>
      <c r="P1425" s="128">
        <v>102</v>
      </c>
      <c r="Q1425" s="128">
        <v>83</v>
      </c>
      <c r="R1425" s="128">
        <v>191</v>
      </c>
      <c r="S1425" s="128">
        <v>41</v>
      </c>
      <c r="T1425" s="128">
        <v>51</v>
      </c>
      <c r="U1425" s="128">
        <v>468</v>
      </c>
      <c r="V1425" s="128" t="s">
        <v>1547</v>
      </c>
    </row>
    <row r="1426" spans="1:22" x14ac:dyDescent="0.35">
      <c r="A1426" s="118">
        <v>1425</v>
      </c>
      <c r="B1426" s="128" t="s">
        <v>171</v>
      </c>
      <c r="C1426" s="128" t="s">
        <v>6247</v>
      </c>
      <c r="D1426" s="128" t="s">
        <v>6027</v>
      </c>
      <c r="E1426" s="128" t="s">
        <v>6036</v>
      </c>
      <c r="F1426" s="128">
        <v>2009</v>
      </c>
      <c r="G1426" s="128">
        <v>119</v>
      </c>
      <c r="H1426" s="128">
        <v>16</v>
      </c>
      <c r="I1426" s="128">
        <v>135</v>
      </c>
      <c r="J1426" s="128" t="s">
        <v>6017</v>
      </c>
      <c r="K1426" s="128">
        <v>66.711241463449511</v>
      </c>
      <c r="L1426" s="128" t="s">
        <v>6037</v>
      </c>
      <c r="M1426" s="128" t="s">
        <v>6038</v>
      </c>
      <c r="N1426" s="128" t="s">
        <v>6039</v>
      </c>
      <c r="O1426" s="128">
        <v>418</v>
      </c>
      <c r="P1426" s="128">
        <v>98</v>
      </c>
      <c r="Q1426" s="128">
        <v>80</v>
      </c>
      <c r="R1426" s="128">
        <v>161</v>
      </c>
      <c r="S1426" s="128">
        <v>42</v>
      </c>
      <c r="T1426" s="128">
        <v>52</v>
      </c>
      <c r="U1426" s="128">
        <v>433</v>
      </c>
      <c r="V1426" s="128" t="s">
        <v>2643</v>
      </c>
    </row>
    <row r="1427" spans="1:22" x14ac:dyDescent="0.35">
      <c r="A1427" s="118">
        <v>1426</v>
      </c>
      <c r="B1427" s="128" t="s">
        <v>171</v>
      </c>
      <c r="C1427" s="128" t="s">
        <v>6247</v>
      </c>
      <c r="D1427" s="128" t="s">
        <v>1517</v>
      </c>
      <c r="E1427" s="128" t="s">
        <v>6040</v>
      </c>
      <c r="F1427" s="128">
        <v>2014</v>
      </c>
      <c r="G1427" s="128">
        <v>0</v>
      </c>
      <c r="H1427" s="128">
        <v>25</v>
      </c>
      <c r="I1427" s="128">
        <v>25</v>
      </c>
      <c r="J1427" s="128" t="s">
        <v>2136</v>
      </c>
      <c r="K1427" s="128">
        <v>1.25</v>
      </c>
      <c r="L1427" s="128" t="s">
        <v>6041</v>
      </c>
      <c r="M1427" s="128" t="s">
        <v>6042</v>
      </c>
      <c r="N1427" s="128" t="s">
        <v>6043</v>
      </c>
      <c r="O1427" s="128">
        <v>375</v>
      </c>
      <c r="P1427" s="128">
        <v>89</v>
      </c>
      <c r="Q1427" s="128">
        <v>76</v>
      </c>
      <c r="R1427" s="128">
        <v>134</v>
      </c>
      <c r="S1427" s="128">
        <v>42</v>
      </c>
      <c r="T1427" s="128">
        <v>48</v>
      </c>
      <c r="U1427" s="128">
        <v>389</v>
      </c>
      <c r="V1427" s="128" t="s">
        <v>2643</v>
      </c>
    </row>
    <row r="1428" spans="1:22" x14ac:dyDescent="0.35">
      <c r="A1428" s="118">
        <v>1427</v>
      </c>
      <c r="B1428" s="128" t="s">
        <v>171</v>
      </c>
      <c r="C1428" s="128" t="s">
        <v>6247</v>
      </c>
      <c r="D1428" s="128" t="s">
        <v>2238</v>
      </c>
      <c r="E1428" s="128" t="s">
        <v>6044</v>
      </c>
      <c r="F1428" s="128">
        <v>2020</v>
      </c>
      <c r="G1428" s="128">
        <v>145</v>
      </c>
      <c r="H1428" s="128">
        <v>6</v>
      </c>
      <c r="I1428" s="128">
        <v>151</v>
      </c>
      <c r="J1428" s="128" t="s">
        <v>6025</v>
      </c>
      <c r="K1428" s="128">
        <v>67.074227870582519</v>
      </c>
      <c r="L1428" s="128" t="s">
        <v>1643</v>
      </c>
      <c r="M1428" s="128" t="s">
        <v>6045</v>
      </c>
      <c r="N1428" s="128" t="s">
        <v>2004</v>
      </c>
      <c r="O1428" s="128">
        <v>274</v>
      </c>
      <c r="P1428" s="128">
        <v>73</v>
      </c>
      <c r="Q1428" s="128">
        <v>53</v>
      </c>
      <c r="R1428" s="128">
        <v>107</v>
      </c>
      <c r="S1428" s="128">
        <v>26</v>
      </c>
      <c r="T1428" s="128">
        <v>39</v>
      </c>
      <c r="U1428" s="128">
        <v>298</v>
      </c>
      <c r="V1428" s="128" t="s">
        <v>2643</v>
      </c>
    </row>
    <row r="1429" spans="1:22" x14ac:dyDescent="0.35">
      <c r="A1429" s="118">
        <v>1428</v>
      </c>
      <c r="B1429" s="128" t="s">
        <v>171</v>
      </c>
      <c r="C1429" s="128" t="s">
        <v>6247</v>
      </c>
      <c r="D1429" s="128" t="s">
        <v>2238</v>
      </c>
      <c r="E1429" s="128" t="s">
        <v>660</v>
      </c>
      <c r="F1429" s="128">
        <v>2020</v>
      </c>
      <c r="G1429" s="128">
        <v>117</v>
      </c>
      <c r="H1429" s="128">
        <v>12</v>
      </c>
      <c r="I1429" s="128">
        <v>129</v>
      </c>
      <c r="J1429" s="128" t="s">
        <v>6017</v>
      </c>
      <c r="K1429" s="128">
        <v>33.757357536107406</v>
      </c>
      <c r="L1429" s="128" t="s">
        <v>6046</v>
      </c>
      <c r="M1429" s="128" t="s">
        <v>6047</v>
      </c>
      <c r="N1429" s="128" t="s">
        <v>1568</v>
      </c>
      <c r="O1429" s="128">
        <v>265</v>
      </c>
      <c r="P1429" s="128">
        <v>68</v>
      </c>
      <c r="Q1429" s="128">
        <v>53</v>
      </c>
      <c r="R1429" s="128">
        <v>105</v>
      </c>
      <c r="S1429" s="128">
        <v>25</v>
      </c>
      <c r="T1429" s="128">
        <v>37</v>
      </c>
      <c r="U1429" s="128">
        <v>288</v>
      </c>
      <c r="V1429" s="128" t="s">
        <v>2643</v>
      </c>
    </row>
    <row r="1430" spans="1:22" x14ac:dyDescent="0.35">
      <c r="A1430" s="118">
        <v>1429</v>
      </c>
      <c r="B1430" s="128" t="s">
        <v>171</v>
      </c>
      <c r="C1430" s="128" t="s">
        <v>6247</v>
      </c>
      <c r="D1430" s="128" t="s">
        <v>2003</v>
      </c>
      <c r="E1430" s="128" t="s">
        <v>6048</v>
      </c>
      <c r="F1430" s="128">
        <v>2020</v>
      </c>
      <c r="G1430" s="128">
        <v>105</v>
      </c>
      <c r="H1430" s="128">
        <v>15</v>
      </c>
      <c r="I1430" s="128">
        <v>120</v>
      </c>
      <c r="J1430" s="128" t="s">
        <v>6017</v>
      </c>
      <c r="K1430" s="128">
        <v>44.52133537299143</v>
      </c>
      <c r="L1430" s="128" t="s">
        <v>6049</v>
      </c>
      <c r="M1430" s="128" t="s">
        <v>6050</v>
      </c>
      <c r="N1430" s="128" t="s">
        <v>1920</v>
      </c>
      <c r="O1430" s="128">
        <v>287</v>
      </c>
      <c r="P1430" s="128">
        <v>71</v>
      </c>
      <c r="Q1430" s="128">
        <v>54</v>
      </c>
      <c r="R1430" s="128">
        <v>108</v>
      </c>
      <c r="S1430" s="128">
        <v>25</v>
      </c>
      <c r="T1430" s="128">
        <v>45</v>
      </c>
      <c r="U1430" s="128">
        <v>303</v>
      </c>
      <c r="V1430" s="128" t="s">
        <v>2643</v>
      </c>
    </row>
    <row r="1431" spans="1:22" x14ac:dyDescent="0.35">
      <c r="A1431" s="118">
        <v>1430</v>
      </c>
      <c r="B1431" s="128" t="s">
        <v>171</v>
      </c>
      <c r="C1431" s="128" t="s">
        <v>6247</v>
      </c>
      <c r="D1431" s="128" t="s">
        <v>2238</v>
      </c>
      <c r="E1431" s="128" t="s">
        <v>455</v>
      </c>
      <c r="F1431" s="128">
        <v>2008</v>
      </c>
      <c r="G1431" s="128">
        <v>123</v>
      </c>
      <c r="H1431" s="128">
        <v>8</v>
      </c>
      <c r="I1431" s="128">
        <v>131</v>
      </c>
      <c r="J1431" s="128" t="s">
        <v>6017</v>
      </c>
      <c r="K1431" s="128">
        <v>50.634256009080872</v>
      </c>
      <c r="L1431" s="128" t="s">
        <v>6051</v>
      </c>
      <c r="M1431" s="128" t="s">
        <v>6035</v>
      </c>
      <c r="N1431" s="128" t="s">
        <v>4178</v>
      </c>
      <c r="O1431" s="128">
        <v>534</v>
      </c>
      <c r="P1431" s="128">
        <v>111</v>
      </c>
      <c r="Q1431" s="128">
        <v>113</v>
      </c>
      <c r="R1431" s="128">
        <v>201</v>
      </c>
      <c r="S1431" s="128">
        <v>60</v>
      </c>
      <c r="T1431" s="128">
        <v>62</v>
      </c>
      <c r="U1431" s="128">
        <v>547</v>
      </c>
      <c r="V1431" s="128" t="s">
        <v>1547</v>
      </c>
    </row>
    <row r="1432" spans="1:22" x14ac:dyDescent="0.35">
      <c r="A1432" s="118">
        <v>1431</v>
      </c>
      <c r="B1432" s="128" t="s">
        <v>171</v>
      </c>
      <c r="C1432" s="128" t="s">
        <v>6247</v>
      </c>
      <c r="D1432" s="128" t="s">
        <v>2238</v>
      </c>
      <c r="E1432" s="128" t="s">
        <v>42</v>
      </c>
      <c r="F1432" s="128">
        <v>2023</v>
      </c>
      <c r="G1432" s="128">
        <v>38</v>
      </c>
      <c r="H1432" s="128">
        <v>2</v>
      </c>
      <c r="I1432" s="128">
        <v>40</v>
      </c>
      <c r="J1432" s="128" t="s">
        <v>6052</v>
      </c>
      <c r="K1432" s="128">
        <v>16.907481874467376</v>
      </c>
      <c r="L1432" s="128" t="s">
        <v>6053</v>
      </c>
      <c r="M1432" s="128" t="s">
        <v>6054</v>
      </c>
      <c r="N1432" s="128" t="s">
        <v>6055</v>
      </c>
      <c r="O1432" s="128">
        <v>190</v>
      </c>
      <c r="P1432" s="128">
        <v>57</v>
      </c>
      <c r="Q1432" s="128">
        <v>41</v>
      </c>
      <c r="R1432" s="128">
        <v>93</v>
      </c>
      <c r="S1432" s="128">
        <v>10</v>
      </c>
      <c r="T1432" s="128">
        <v>30</v>
      </c>
      <c r="U1432" s="128">
        <v>231</v>
      </c>
      <c r="V1432" s="128" t="s">
        <v>3122</v>
      </c>
    </row>
    <row r="1433" spans="1:22" x14ac:dyDescent="0.35">
      <c r="A1433" s="118">
        <v>1432</v>
      </c>
      <c r="B1433" s="128" t="s">
        <v>171</v>
      </c>
      <c r="C1433" s="128" t="s">
        <v>6247</v>
      </c>
      <c r="D1433" s="128" t="s">
        <v>2003</v>
      </c>
      <c r="E1433" s="128" t="s">
        <v>6056</v>
      </c>
      <c r="F1433" s="128">
        <v>2024</v>
      </c>
      <c r="G1433" s="128">
        <v>57</v>
      </c>
      <c r="H1433" s="128">
        <v>8</v>
      </c>
      <c r="I1433" s="128">
        <v>65</v>
      </c>
      <c r="J1433" s="128" t="s">
        <v>6017</v>
      </c>
      <c r="K1433" s="128">
        <v>29.344408005616977</v>
      </c>
      <c r="L1433" s="128" t="s">
        <v>6057</v>
      </c>
      <c r="M1433" s="128" t="s">
        <v>4750</v>
      </c>
      <c r="N1433" s="128" t="s">
        <v>1997</v>
      </c>
      <c r="O1433" s="128">
        <v>0</v>
      </c>
      <c r="P1433" s="128">
        <v>32</v>
      </c>
      <c r="Q1433" s="128">
        <v>27</v>
      </c>
      <c r="R1433" s="128">
        <v>64</v>
      </c>
      <c r="S1433" s="128">
        <v>8</v>
      </c>
      <c r="T1433" s="128">
        <v>27</v>
      </c>
      <c r="U1433" s="128">
        <v>158</v>
      </c>
      <c r="V1433" s="128" t="s">
        <v>3122</v>
      </c>
    </row>
    <row r="1434" spans="1:22" x14ac:dyDescent="0.35">
      <c r="A1434" s="118">
        <v>1433</v>
      </c>
      <c r="B1434" s="128" t="s">
        <v>171</v>
      </c>
      <c r="C1434" s="128" t="s">
        <v>307</v>
      </c>
      <c r="D1434" s="128" t="s">
        <v>6058</v>
      </c>
      <c r="E1434" s="128" t="s">
        <v>1206</v>
      </c>
      <c r="F1434" s="128">
        <v>2006</v>
      </c>
      <c r="G1434" s="128">
        <v>130</v>
      </c>
      <c r="H1434" s="128">
        <v>23</v>
      </c>
      <c r="I1434" s="128">
        <v>153</v>
      </c>
      <c r="J1434" s="128" t="s">
        <v>2751</v>
      </c>
      <c r="K1434" s="128">
        <v>18</v>
      </c>
      <c r="L1434" s="128" t="s">
        <v>6059</v>
      </c>
      <c r="M1434" s="128" t="s">
        <v>6060</v>
      </c>
      <c r="N1434" s="128" t="s">
        <v>6061</v>
      </c>
      <c r="O1434" s="128">
        <v>490</v>
      </c>
      <c r="P1434" s="128">
        <v>101</v>
      </c>
      <c r="Q1434" s="128">
        <v>89</v>
      </c>
      <c r="R1434" s="128">
        <v>207</v>
      </c>
      <c r="S1434" s="128">
        <v>43</v>
      </c>
      <c r="T1434" s="128">
        <v>52</v>
      </c>
      <c r="U1434" s="128">
        <v>492</v>
      </c>
      <c r="V1434" s="128" t="s">
        <v>1397</v>
      </c>
    </row>
    <row r="1435" spans="1:22" x14ac:dyDescent="0.35">
      <c r="A1435" s="118">
        <v>1434</v>
      </c>
      <c r="B1435" s="128" t="s">
        <v>171</v>
      </c>
      <c r="C1435" s="128" t="s">
        <v>307</v>
      </c>
      <c r="D1435" s="128" t="s">
        <v>6062</v>
      </c>
      <c r="E1435" s="128" t="s">
        <v>1258</v>
      </c>
      <c r="F1435" s="128">
        <v>2005</v>
      </c>
      <c r="G1435" s="128">
        <v>242</v>
      </c>
      <c r="H1435" s="128">
        <v>17</v>
      </c>
      <c r="I1435" s="128">
        <v>259</v>
      </c>
      <c r="J1435" s="128" t="s">
        <v>2751</v>
      </c>
      <c r="K1435" s="128">
        <v>19</v>
      </c>
      <c r="L1435" s="128" t="s">
        <v>4015</v>
      </c>
      <c r="M1435" s="128" t="s">
        <v>3738</v>
      </c>
      <c r="N1435" s="128" t="s">
        <v>6063</v>
      </c>
      <c r="O1435" s="128">
        <v>401</v>
      </c>
      <c r="P1435" s="128">
        <v>78</v>
      </c>
      <c r="Q1435" s="128">
        <v>75</v>
      </c>
      <c r="R1435" s="128">
        <v>173</v>
      </c>
      <c r="S1435" s="128">
        <v>31</v>
      </c>
      <c r="T1435" s="128">
        <v>45</v>
      </c>
      <c r="U1435" s="128">
        <v>402</v>
      </c>
      <c r="V1435" s="128" t="s">
        <v>1416</v>
      </c>
    </row>
    <row r="1436" spans="1:22" x14ac:dyDescent="0.35">
      <c r="A1436" s="118">
        <v>1435</v>
      </c>
      <c r="B1436" s="128" t="s">
        <v>171</v>
      </c>
      <c r="C1436" s="128" t="s">
        <v>307</v>
      </c>
      <c r="D1436" s="128" t="s">
        <v>6064</v>
      </c>
      <c r="E1436" s="128" t="s">
        <v>1256</v>
      </c>
      <c r="F1436" s="128">
        <v>2004</v>
      </c>
      <c r="G1436" s="128">
        <v>168</v>
      </c>
      <c r="H1436" s="128">
        <v>17</v>
      </c>
      <c r="I1436" s="128">
        <v>185</v>
      </c>
      <c r="J1436" s="128" t="s">
        <v>2751</v>
      </c>
      <c r="K1436" s="128">
        <v>19</v>
      </c>
      <c r="L1436" s="128" t="s">
        <v>3828</v>
      </c>
      <c r="M1436" s="128" t="s">
        <v>3085</v>
      </c>
      <c r="N1436" s="128" t="s">
        <v>3534</v>
      </c>
      <c r="O1436" s="128">
        <v>516</v>
      </c>
      <c r="P1436" s="128">
        <v>110</v>
      </c>
      <c r="Q1436" s="128">
        <v>80</v>
      </c>
      <c r="R1436" s="128">
        <v>211</v>
      </c>
      <c r="S1436" s="128">
        <v>54</v>
      </c>
      <c r="T1436" s="128">
        <v>64</v>
      </c>
      <c r="U1436" s="128">
        <v>519</v>
      </c>
      <c r="V1436" s="128" t="s">
        <v>1397</v>
      </c>
    </row>
    <row r="1437" spans="1:22" x14ac:dyDescent="0.35">
      <c r="A1437" s="118">
        <v>1436</v>
      </c>
      <c r="B1437" s="128" t="s">
        <v>171</v>
      </c>
      <c r="C1437" s="128" t="s">
        <v>307</v>
      </c>
      <c r="D1437" s="128" t="s">
        <v>3380</v>
      </c>
      <c r="E1437" s="128" t="s">
        <v>1260</v>
      </c>
      <c r="F1437" s="128">
        <v>2007</v>
      </c>
      <c r="G1437" s="128">
        <v>200</v>
      </c>
      <c r="H1437" s="128">
        <v>29</v>
      </c>
      <c r="I1437" s="128">
        <v>229</v>
      </c>
      <c r="J1437" s="128" t="s">
        <v>2751</v>
      </c>
      <c r="K1437" s="128">
        <v>16</v>
      </c>
      <c r="L1437" s="128" t="s">
        <v>2441</v>
      </c>
      <c r="M1437" s="128" t="s">
        <v>6065</v>
      </c>
      <c r="N1437" s="128" t="s">
        <v>6066</v>
      </c>
      <c r="O1437" s="128">
        <v>515</v>
      </c>
      <c r="P1437" s="128">
        <v>108</v>
      </c>
      <c r="Q1437" s="128">
        <v>91</v>
      </c>
      <c r="R1437" s="128">
        <v>211</v>
      </c>
      <c r="S1437" s="128">
        <v>49</v>
      </c>
      <c r="T1437" s="128">
        <v>59</v>
      </c>
      <c r="U1437" s="128">
        <v>518</v>
      </c>
      <c r="V1437" s="128" t="s">
        <v>1397</v>
      </c>
    </row>
    <row r="1438" spans="1:22" x14ac:dyDescent="0.35">
      <c r="A1438" s="118">
        <v>1437</v>
      </c>
      <c r="B1438" s="128" t="s">
        <v>171</v>
      </c>
      <c r="C1438" s="128" t="s">
        <v>307</v>
      </c>
      <c r="D1438" s="128" t="s">
        <v>3380</v>
      </c>
      <c r="E1438" s="128" t="s">
        <v>402</v>
      </c>
      <c r="F1438" s="128">
        <v>2020</v>
      </c>
      <c r="G1438" s="128">
        <v>139</v>
      </c>
      <c r="H1438" s="128">
        <v>22</v>
      </c>
      <c r="I1438" s="128">
        <v>161</v>
      </c>
      <c r="J1438" s="128" t="s">
        <v>2751</v>
      </c>
      <c r="K1438" s="128">
        <v>17</v>
      </c>
      <c r="L1438" s="128" t="s">
        <v>6067</v>
      </c>
      <c r="M1438" s="128" t="s">
        <v>5831</v>
      </c>
      <c r="N1438" s="128" t="s">
        <v>6068</v>
      </c>
      <c r="O1438" s="128">
        <v>286</v>
      </c>
      <c r="P1438" s="128">
        <v>72</v>
      </c>
      <c r="Q1438" s="128">
        <v>53</v>
      </c>
      <c r="R1438" s="128">
        <v>103</v>
      </c>
      <c r="S1438" s="128">
        <v>34</v>
      </c>
      <c r="T1438" s="128">
        <v>50</v>
      </c>
      <c r="U1438" s="128">
        <v>312</v>
      </c>
      <c r="V1438" s="128" t="s">
        <v>1416</v>
      </c>
    </row>
    <row r="1439" spans="1:22" x14ac:dyDescent="0.35">
      <c r="A1439" s="118">
        <v>1438</v>
      </c>
      <c r="B1439" s="128" t="s">
        <v>171</v>
      </c>
      <c r="C1439" s="128" t="s">
        <v>307</v>
      </c>
      <c r="D1439" s="128" t="s">
        <v>3380</v>
      </c>
      <c r="E1439" s="128" t="s">
        <v>1261</v>
      </c>
      <c r="F1439" s="128">
        <v>2020</v>
      </c>
      <c r="G1439" s="128">
        <v>151</v>
      </c>
      <c r="H1439" s="128">
        <v>37</v>
      </c>
      <c r="I1439" s="128">
        <v>188</v>
      </c>
      <c r="J1439" s="128" t="s">
        <v>2751</v>
      </c>
      <c r="K1439" s="128">
        <v>18</v>
      </c>
      <c r="L1439" s="128" t="s">
        <v>6069</v>
      </c>
      <c r="M1439" s="128" t="s">
        <v>6070</v>
      </c>
      <c r="N1439" s="128" t="s">
        <v>2508</v>
      </c>
      <c r="O1439" s="128">
        <v>256</v>
      </c>
      <c r="P1439" s="128">
        <v>70</v>
      </c>
      <c r="Q1439" s="128">
        <v>52</v>
      </c>
      <c r="R1439" s="128">
        <v>100</v>
      </c>
      <c r="S1439" s="128">
        <v>30</v>
      </c>
      <c r="T1439" s="128">
        <v>30</v>
      </c>
      <c r="U1439" s="128">
        <v>282</v>
      </c>
      <c r="V1439" s="128" t="s">
        <v>1416</v>
      </c>
    </row>
    <row r="1440" spans="1:22" x14ac:dyDescent="0.35">
      <c r="A1440" s="118">
        <v>1439</v>
      </c>
      <c r="B1440" s="128" t="s">
        <v>171</v>
      </c>
      <c r="C1440" s="128" t="s">
        <v>307</v>
      </c>
      <c r="D1440" s="128" t="s">
        <v>6058</v>
      </c>
      <c r="E1440" s="128" t="s">
        <v>136</v>
      </c>
      <c r="F1440" s="128">
        <v>2020</v>
      </c>
      <c r="G1440" s="128">
        <v>124</v>
      </c>
      <c r="H1440" s="128">
        <v>29</v>
      </c>
      <c r="I1440" s="128">
        <v>153</v>
      </c>
      <c r="J1440" s="128" t="s">
        <v>2751</v>
      </c>
      <c r="K1440" s="128">
        <v>13</v>
      </c>
      <c r="L1440" s="128" t="s">
        <v>2830</v>
      </c>
      <c r="M1440" s="128" t="s">
        <v>6071</v>
      </c>
      <c r="N1440" s="128" t="s">
        <v>6072</v>
      </c>
      <c r="O1440" s="128">
        <v>258</v>
      </c>
      <c r="P1440" s="128">
        <v>70</v>
      </c>
      <c r="Q1440" s="128">
        <v>50</v>
      </c>
      <c r="R1440" s="128">
        <v>112</v>
      </c>
      <c r="S1440" s="128">
        <v>29</v>
      </c>
      <c r="T1440" s="128">
        <v>35</v>
      </c>
      <c r="U1440" s="128">
        <v>296</v>
      </c>
      <c r="V1440" s="128" t="s">
        <v>1416</v>
      </c>
    </row>
    <row r="1441" spans="1:22" x14ac:dyDescent="0.35">
      <c r="A1441" s="118">
        <v>1440</v>
      </c>
      <c r="B1441" s="128" t="s">
        <v>171</v>
      </c>
      <c r="C1441" s="128" t="s">
        <v>307</v>
      </c>
      <c r="D1441" s="128" t="s">
        <v>6062</v>
      </c>
      <c r="E1441" s="128" t="s">
        <v>1259</v>
      </c>
      <c r="F1441" s="128">
        <v>2020</v>
      </c>
      <c r="G1441" s="128">
        <v>178</v>
      </c>
      <c r="H1441" s="128">
        <v>13</v>
      </c>
      <c r="I1441" s="128">
        <v>191</v>
      </c>
      <c r="J1441" s="128" t="s">
        <v>2751</v>
      </c>
      <c r="K1441" s="128">
        <v>17</v>
      </c>
      <c r="L1441" s="128" t="s">
        <v>6073</v>
      </c>
      <c r="M1441" s="128" t="s">
        <v>6074</v>
      </c>
      <c r="N1441" s="128" t="s">
        <v>2615</v>
      </c>
      <c r="O1441" s="128">
        <v>252</v>
      </c>
      <c r="P1441" s="128">
        <v>70</v>
      </c>
      <c r="Q1441" s="128">
        <v>49</v>
      </c>
      <c r="R1441" s="128">
        <v>102</v>
      </c>
      <c r="S1441" s="128">
        <v>28</v>
      </c>
      <c r="T1441" s="128">
        <v>31</v>
      </c>
      <c r="U1441" s="128">
        <v>280</v>
      </c>
      <c r="V1441" s="128" t="s">
        <v>1416</v>
      </c>
    </row>
    <row r="1442" spans="1:22" x14ac:dyDescent="0.35">
      <c r="A1442" s="118">
        <v>1441</v>
      </c>
      <c r="B1442" s="128" t="s">
        <v>171</v>
      </c>
      <c r="C1442" s="128" t="s">
        <v>307</v>
      </c>
      <c r="D1442" s="128" t="s">
        <v>6064</v>
      </c>
      <c r="E1442" s="128" t="s">
        <v>1257</v>
      </c>
      <c r="F1442" s="128">
        <v>2020</v>
      </c>
      <c r="G1442" s="128">
        <v>162</v>
      </c>
      <c r="H1442" s="128">
        <v>7</v>
      </c>
      <c r="I1442" s="128">
        <v>169</v>
      </c>
      <c r="J1442" s="128" t="s">
        <v>2751</v>
      </c>
      <c r="K1442" s="128">
        <v>15</v>
      </c>
      <c r="L1442" s="128" t="s">
        <v>6075</v>
      </c>
      <c r="M1442" s="128" t="s">
        <v>6076</v>
      </c>
      <c r="N1442" s="128" t="s">
        <v>6077</v>
      </c>
      <c r="O1442" s="128">
        <v>251</v>
      </c>
      <c r="P1442" s="128">
        <v>68</v>
      </c>
      <c r="Q1442" s="128">
        <v>50</v>
      </c>
      <c r="R1442" s="128">
        <v>103</v>
      </c>
      <c r="S1442" s="128">
        <v>32</v>
      </c>
      <c r="T1442" s="128">
        <v>35</v>
      </c>
      <c r="U1442" s="128">
        <v>288</v>
      </c>
      <c r="V1442" s="128" t="s">
        <v>1416</v>
      </c>
    </row>
    <row r="1443" spans="1:22" x14ac:dyDescent="0.35">
      <c r="A1443" s="118">
        <v>1442</v>
      </c>
      <c r="B1443" s="128" t="s">
        <v>171</v>
      </c>
      <c r="C1443" s="128" t="s">
        <v>310</v>
      </c>
      <c r="D1443" s="128" t="s">
        <v>6078</v>
      </c>
      <c r="E1443" s="128" t="s">
        <v>1279</v>
      </c>
      <c r="F1443" s="128">
        <v>2004</v>
      </c>
      <c r="G1443" s="128">
        <v>124</v>
      </c>
      <c r="H1443" s="128">
        <v>12</v>
      </c>
      <c r="I1443" s="128">
        <v>136</v>
      </c>
      <c r="J1443" s="128" t="s">
        <v>6079</v>
      </c>
      <c r="K1443" s="128">
        <v>115.72</v>
      </c>
      <c r="L1443" s="128" t="s">
        <v>6080</v>
      </c>
      <c r="M1443" s="128" t="s">
        <v>3633</v>
      </c>
      <c r="N1443" s="128" t="s">
        <v>6081</v>
      </c>
      <c r="O1443" s="128">
        <v>550</v>
      </c>
      <c r="P1443" s="128">
        <v>119</v>
      </c>
      <c r="Q1443" s="128">
        <v>96</v>
      </c>
      <c r="R1443" s="128">
        <v>233</v>
      </c>
      <c r="S1443" s="128">
        <v>50</v>
      </c>
      <c r="T1443" s="128">
        <v>56</v>
      </c>
      <c r="U1443" s="128">
        <v>554</v>
      </c>
      <c r="V1443" s="128" t="s">
        <v>1547</v>
      </c>
    </row>
    <row r="1444" spans="1:22" x14ac:dyDescent="0.35">
      <c r="A1444" s="118">
        <v>1443</v>
      </c>
      <c r="B1444" s="128" t="s">
        <v>171</v>
      </c>
      <c r="C1444" s="128" t="s">
        <v>310</v>
      </c>
      <c r="D1444" s="128" t="s">
        <v>2391</v>
      </c>
      <c r="E1444" s="128" t="s">
        <v>1278</v>
      </c>
      <c r="F1444" s="128">
        <v>2004</v>
      </c>
      <c r="G1444" s="128">
        <v>59</v>
      </c>
      <c r="H1444" s="128">
        <v>0</v>
      </c>
      <c r="I1444" s="128">
        <v>59</v>
      </c>
      <c r="J1444" s="128" t="s">
        <v>6079</v>
      </c>
      <c r="K1444" s="128">
        <v>38.07</v>
      </c>
      <c r="L1444" s="128" t="s">
        <v>6082</v>
      </c>
      <c r="M1444" s="128" t="s">
        <v>6083</v>
      </c>
      <c r="N1444" s="128" t="s">
        <v>2521</v>
      </c>
      <c r="O1444" s="128">
        <v>472</v>
      </c>
      <c r="P1444" s="128">
        <v>114</v>
      </c>
      <c r="Q1444" s="128">
        <v>106</v>
      </c>
      <c r="R1444" s="128">
        <v>191</v>
      </c>
      <c r="S1444" s="128">
        <v>75</v>
      </c>
      <c r="T1444" s="128">
        <v>72</v>
      </c>
      <c r="U1444" s="128">
        <v>558</v>
      </c>
      <c r="V1444" s="128" t="s">
        <v>1547</v>
      </c>
    </row>
    <row r="1445" spans="1:22" x14ac:dyDescent="0.35">
      <c r="A1445" s="118">
        <v>1444</v>
      </c>
      <c r="B1445" s="128" t="s">
        <v>171</v>
      </c>
      <c r="C1445" s="128" t="s">
        <v>310</v>
      </c>
      <c r="D1445" s="128" t="s">
        <v>6084</v>
      </c>
      <c r="E1445" s="128" t="s">
        <v>1277</v>
      </c>
      <c r="F1445" s="128">
        <v>2002</v>
      </c>
      <c r="G1445" s="128">
        <v>60</v>
      </c>
      <c r="H1445" s="128">
        <v>23</v>
      </c>
      <c r="I1445" s="128">
        <v>83</v>
      </c>
      <c r="J1445" s="128" t="s">
        <v>6079</v>
      </c>
      <c r="K1445" s="128">
        <v>43.5</v>
      </c>
      <c r="L1445" s="128" t="s">
        <v>2678</v>
      </c>
      <c r="M1445" s="128" t="s">
        <v>6085</v>
      </c>
      <c r="N1445" s="128" t="s">
        <v>6086</v>
      </c>
      <c r="O1445" s="128">
        <v>462</v>
      </c>
      <c r="P1445" s="128">
        <v>102</v>
      </c>
      <c r="Q1445" s="128">
        <v>87</v>
      </c>
      <c r="R1445" s="128">
        <v>195</v>
      </c>
      <c r="S1445" s="128">
        <v>71</v>
      </c>
      <c r="T1445" s="128">
        <v>97</v>
      </c>
      <c r="U1445" s="128">
        <v>552</v>
      </c>
      <c r="V1445" s="128" t="s">
        <v>1547</v>
      </c>
    </row>
    <row r="1446" spans="1:22" x14ac:dyDescent="0.35">
      <c r="A1446" s="118">
        <v>1445</v>
      </c>
      <c r="B1446" s="128" t="s">
        <v>171</v>
      </c>
      <c r="C1446" s="128" t="s">
        <v>310</v>
      </c>
      <c r="D1446" s="128" t="s">
        <v>6084</v>
      </c>
      <c r="E1446" s="128" t="s">
        <v>1276</v>
      </c>
      <c r="F1446" s="128">
        <v>2006</v>
      </c>
      <c r="G1446" s="128">
        <v>80</v>
      </c>
      <c r="H1446" s="128">
        <v>7</v>
      </c>
      <c r="I1446" s="128">
        <v>87</v>
      </c>
      <c r="J1446" s="128" t="s">
        <v>6079</v>
      </c>
      <c r="K1446" s="128">
        <v>51.16</v>
      </c>
      <c r="L1446" s="128" t="s">
        <v>2418</v>
      </c>
      <c r="M1446" s="128" t="s">
        <v>6087</v>
      </c>
      <c r="N1446" s="128" t="s">
        <v>2611</v>
      </c>
      <c r="O1446" s="128">
        <v>526</v>
      </c>
      <c r="P1446" s="128">
        <v>112</v>
      </c>
      <c r="Q1446" s="128">
        <v>91</v>
      </c>
      <c r="R1446" s="128">
        <v>211</v>
      </c>
      <c r="S1446" s="128">
        <v>55</v>
      </c>
      <c r="T1446" s="128">
        <v>60</v>
      </c>
      <c r="U1446" s="128">
        <v>529</v>
      </c>
      <c r="V1446" s="128" t="s">
        <v>1547</v>
      </c>
    </row>
    <row r="1447" spans="1:22" x14ac:dyDescent="0.35">
      <c r="A1447" s="118">
        <v>1446</v>
      </c>
      <c r="B1447" s="128" t="s">
        <v>171</v>
      </c>
      <c r="C1447" s="128" t="s">
        <v>310</v>
      </c>
      <c r="D1447" s="128" t="s">
        <v>6084</v>
      </c>
      <c r="E1447" s="128" t="s">
        <v>1275</v>
      </c>
      <c r="F1447" s="128">
        <v>2007</v>
      </c>
      <c r="G1447" s="128">
        <v>101</v>
      </c>
      <c r="H1447" s="128">
        <v>7</v>
      </c>
      <c r="I1447" s="128">
        <v>108</v>
      </c>
      <c r="J1447" s="128" t="s">
        <v>6079</v>
      </c>
      <c r="K1447" s="128" t="s">
        <v>6088</v>
      </c>
      <c r="L1447" s="128" t="s">
        <v>6089</v>
      </c>
      <c r="M1447" s="128" t="s">
        <v>3089</v>
      </c>
      <c r="N1447" s="128" t="s">
        <v>2678</v>
      </c>
      <c r="O1447" s="128">
        <v>464</v>
      </c>
      <c r="P1447" s="128">
        <v>115</v>
      </c>
      <c r="Q1447" s="128">
        <v>82</v>
      </c>
      <c r="R1447" s="128">
        <v>192</v>
      </c>
      <c r="S1447" s="128">
        <v>76</v>
      </c>
      <c r="T1447" s="128">
        <v>75</v>
      </c>
      <c r="U1447" s="128">
        <v>540</v>
      </c>
      <c r="V1447" s="128" t="s">
        <v>1547</v>
      </c>
    </row>
    <row r="1448" spans="1:22" x14ac:dyDescent="0.35">
      <c r="A1448" s="118">
        <v>1447</v>
      </c>
      <c r="B1448" s="128" t="s">
        <v>171</v>
      </c>
      <c r="C1448" s="128" t="s">
        <v>310</v>
      </c>
      <c r="D1448" s="128" t="s">
        <v>6078</v>
      </c>
      <c r="E1448" s="128" t="s">
        <v>1274</v>
      </c>
      <c r="F1448" s="128">
        <v>2006</v>
      </c>
      <c r="G1448" s="128">
        <v>63</v>
      </c>
      <c r="H1448" s="128">
        <v>10</v>
      </c>
      <c r="I1448" s="128">
        <v>73</v>
      </c>
      <c r="J1448" s="128" t="s">
        <v>6079</v>
      </c>
      <c r="K1448" s="128">
        <v>49.16</v>
      </c>
      <c r="L1448" s="128" t="s">
        <v>6090</v>
      </c>
      <c r="M1448" s="128" t="s">
        <v>6091</v>
      </c>
      <c r="N1448" s="128" t="s">
        <v>6092</v>
      </c>
      <c r="O1448" s="128">
        <v>510</v>
      </c>
      <c r="P1448" s="128">
        <v>119</v>
      </c>
      <c r="Q1448" s="128">
        <v>88</v>
      </c>
      <c r="R1448" s="128">
        <v>217</v>
      </c>
      <c r="S1448" s="128">
        <v>50</v>
      </c>
      <c r="T1448" s="128">
        <v>60</v>
      </c>
      <c r="U1448" s="128">
        <v>530</v>
      </c>
      <c r="V1448" s="128" t="s">
        <v>1547</v>
      </c>
    </row>
    <row r="1449" spans="1:22" x14ac:dyDescent="0.35">
      <c r="A1449" s="118">
        <v>1448</v>
      </c>
      <c r="B1449" s="128" t="s">
        <v>171</v>
      </c>
      <c r="C1449" s="128" t="s">
        <v>310</v>
      </c>
      <c r="D1449" s="128" t="s">
        <v>2391</v>
      </c>
      <c r="E1449" s="128" t="s">
        <v>1273</v>
      </c>
      <c r="F1449" s="128">
        <v>2006</v>
      </c>
      <c r="G1449" s="128">
        <v>55</v>
      </c>
      <c r="H1449" s="128">
        <v>3</v>
      </c>
      <c r="I1449" s="128">
        <v>58</v>
      </c>
      <c r="J1449" s="128" t="s">
        <v>6079</v>
      </c>
      <c r="K1449" s="128">
        <v>41.99</v>
      </c>
      <c r="L1449" s="128" t="s">
        <v>6093</v>
      </c>
      <c r="M1449" s="128" t="s">
        <v>3837</v>
      </c>
      <c r="N1449" s="128" t="s">
        <v>2430</v>
      </c>
      <c r="O1449" s="128">
        <v>529</v>
      </c>
      <c r="P1449" s="128">
        <v>115</v>
      </c>
      <c r="Q1449" s="128">
        <v>96</v>
      </c>
      <c r="R1449" s="128">
        <v>215</v>
      </c>
      <c r="S1449" s="128">
        <v>51</v>
      </c>
      <c r="T1449" s="128">
        <v>60</v>
      </c>
      <c r="U1449" s="128">
        <v>537</v>
      </c>
      <c r="V1449" s="128" t="s">
        <v>1547</v>
      </c>
    </row>
    <row r="1450" spans="1:22" x14ac:dyDescent="0.35">
      <c r="A1450" s="118">
        <v>1449</v>
      </c>
      <c r="B1450" s="128" t="s">
        <v>171</v>
      </c>
      <c r="C1450" s="128" t="s">
        <v>310</v>
      </c>
      <c r="D1450" s="128" t="s">
        <v>6084</v>
      </c>
      <c r="E1450" s="128" t="s">
        <v>6094</v>
      </c>
      <c r="F1450" s="128">
        <v>2010</v>
      </c>
      <c r="G1450" s="128">
        <v>0</v>
      </c>
      <c r="H1450" s="128">
        <v>22</v>
      </c>
      <c r="I1450" s="128">
        <v>22</v>
      </c>
      <c r="J1450" s="128" t="s">
        <v>5751</v>
      </c>
      <c r="K1450" s="128">
        <v>1</v>
      </c>
      <c r="L1450" s="128" t="s">
        <v>6095</v>
      </c>
      <c r="M1450" s="128" t="s">
        <v>2541</v>
      </c>
      <c r="N1450" s="128" t="s">
        <v>6096</v>
      </c>
      <c r="O1450" s="128">
        <v>326</v>
      </c>
      <c r="P1450" s="128">
        <v>74</v>
      </c>
      <c r="Q1450" s="128">
        <v>57</v>
      </c>
      <c r="R1450" s="128">
        <v>116</v>
      </c>
      <c r="S1450" s="128">
        <v>45</v>
      </c>
      <c r="T1450" s="128">
        <v>45</v>
      </c>
      <c r="U1450" s="128">
        <v>337</v>
      </c>
      <c r="V1450" s="128" t="s">
        <v>2643</v>
      </c>
    </row>
    <row r="1451" spans="1:22" x14ac:dyDescent="0.35">
      <c r="A1451" s="118">
        <v>1450</v>
      </c>
      <c r="B1451" s="128" t="s">
        <v>171</v>
      </c>
      <c r="C1451" s="128" t="s">
        <v>309</v>
      </c>
      <c r="D1451" s="128" t="s">
        <v>2215</v>
      </c>
      <c r="E1451" s="128" t="s">
        <v>21</v>
      </c>
      <c r="F1451" s="128">
        <v>2008</v>
      </c>
      <c r="G1451" s="128">
        <v>207</v>
      </c>
      <c r="H1451" s="128">
        <v>9</v>
      </c>
      <c r="I1451" s="128">
        <v>216</v>
      </c>
      <c r="J1451" s="128" t="s">
        <v>6025</v>
      </c>
      <c r="K1451" s="128">
        <v>223.75</v>
      </c>
      <c r="L1451" s="128" t="s">
        <v>3184</v>
      </c>
      <c r="M1451" s="128" t="s">
        <v>1688</v>
      </c>
      <c r="N1451" s="128" t="s">
        <v>3184</v>
      </c>
      <c r="O1451" s="128">
        <v>784</v>
      </c>
      <c r="P1451" s="128">
        <v>164</v>
      </c>
      <c r="Q1451" s="128">
        <v>140</v>
      </c>
      <c r="R1451" s="128">
        <v>332</v>
      </c>
      <c r="S1451" s="128">
        <v>91</v>
      </c>
      <c r="T1451" s="128">
        <v>93</v>
      </c>
      <c r="U1451" s="128">
        <v>820</v>
      </c>
      <c r="V1451" s="128" t="s">
        <v>1417</v>
      </c>
    </row>
    <row r="1452" spans="1:22" x14ac:dyDescent="0.35">
      <c r="A1452" s="118">
        <v>1451</v>
      </c>
      <c r="B1452" s="128" t="s">
        <v>171</v>
      </c>
      <c r="C1452" s="128" t="s">
        <v>309</v>
      </c>
      <c r="D1452" s="128" t="s">
        <v>6097</v>
      </c>
      <c r="E1452" s="128" t="s">
        <v>40</v>
      </c>
      <c r="F1452" s="128">
        <v>2008</v>
      </c>
      <c r="G1452" s="128">
        <v>152</v>
      </c>
      <c r="H1452" s="128">
        <v>11</v>
      </c>
      <c r="I1452" s="128">
        <v>163</v>
      </c>
      <c r="J1452" s="128" t="s">
        <v>6025</v>
      </c>
      <c r="K1452" s="128">
        <v>174.61</v>
      </c>
      <c r="L1452" s="128" t="s">
        <v>6098</v>
      </c>
      <c r="M1452" s="128" t="s">
        <v>6099</v>
      </c>
      <c r="N1452" s="128" t="s">
        <v>6100</v>
      </c>
      <c r="O1452" s="128">
        <v>614</v>
      </c>
      <c r="P1452" s="128">
        <v>132</v>
      </c>
      <c r="Q1452" s="128">
        <v>114</v>
      </c>
      <c r="R1452" s="128">
        <v>218</v>
      </c>
      <c r="S1452" s="128">
        <v>79</v>
      </c>
      <c r="T1452" s="128">
        <v>74</v>
      </c>
      <c r="U1452" s="128">
        <v>617</v>
      </c>
      <c r="V1452" s="128" t="s">
        <v>1397</v>
      </c>
    </row>
    <row r="1453" spans="1:22" x14ac:dyDescent="0.35">
      <c r="A1453" s="118">
        <v>1452</v>
      </c>
      <c r="B1453" s="128" t="s">
        <v>171</v>
      </c>
      <c r="C1453" s="128" t="s">
        <v>309</v>
      </c>
      <c r="D1453" s="128" t="s">
        <v>2550</v>
      </c>
      <c r="E1453" s="128" t="s">
        <v>58</v>
      </c>
      <c r="F1453" s="128">
        <v>2008</v>
      </c>
      <c r="G1453" s="128">
        <v>136</v>
      </c>
      <c r="H1453" s="128">
        <v>9</v>
      </c>
      <c r="I1453" s="128">
        <v>145</v>
      </c>
      <c r="J1453" s="128" t="s">
        <v>6025</v>
      </c>
      <c r="K1453" s="128">
        <v>141.66</v>
      </c>
      <c r="L1453" s="128" t="s">
        <v>6101</v>
      </c>
      <c r="M1453" s="128" t="s">
        <v>6102</v>
      </c>
      <c r="N1453" s="128" t="s">
        <v>6103</v>
      </c>
      <c r="O1453" s="128">
        <v>536</v>
      </c>
      <c r="P1453" s="128">
        <v>122</v>
      </c>
      <c r="Q1453" s="128">
        <v>105</v>
      </c>
      <c r="R1453" s="128">
        <v>209</v>
      </c>
      <c r="S1453" s="128">
        <v>51</v>
      </c>
      <c r="T1453" s="128">
        <v>61</v>
      </c>
      <c r="U1453" s="128">
        <v>548</v>
      </c>
      <c r="V1453" s="128" t="s">
        <v>1397</v>
      </c>
    </row>
    <row r="1454" spans="1:22" x14ac:dyDescent="0.35">
      <c r="A1454" s="118">
        <v>1453</v>
      </c>
      <c r="B1454" s="128" t="s">
        <v>171</v>
      </c>
      <c r="C1454" s="128" t="s">
        <v>309</v>
      </c>
      <c r="D1454" s="128" t="s">
        <v>6104</v>
      </c>
      <c r="E1454" s="128" t="s">
        <v>6105</v>
      </c>
      <c r="F1454" s="128">
        <v>2008</v>
      </c>
      <c r="G1454" s="128">
        <v>133</v>
      </c>
      <c r="H1454" s="128">
        <v>10</v>
      </c>
      <c r="I1454" s="128">
        <v>143</v>
      </c>
      <c r="J1454" s="128" t="s">
        <v>6025</v>
      </c>
      <c r="K1454" s="128">
        <v>144.65</v>
      </c>
      <c r="L1454" s="128" t="s">
        <v>6106</v>
      </c>
      <c r="M1454" s="128" t="s">
        <v>6107</v>
      </c>
      <c r="N1454" s="128" t="s">
        <v>6108</v>
      </c>
      <c r="O1454" s="128">
        <v>603</v>
      </c>
      <c r="P1454" s="128">
        <v>124</v>
      </c>
      <c r="Q1454" s="128">
        <v>114</v>
      </c>
      <c r="R1454" s="128">
        <v>223</v>
      </c>
      <c r="S1454" s="128">
        <v>74</v>
      </c>
      <c r="T1454" s="128">
        <v>74</v>
      </c>
      <c r="U1454" s="128">
        <v>609</v>
      </c>
      <c r="V1454" s="128" t="s">
        <v>1397</v>
      </c>
    </row>
    <row r="1455" spans="1:22" x14ac:dyDescent="0.35">
      <c r="A1455" s="118">
        <v>1454</v>
      </c>
      <c r="B1455" s="128" t="s">
        <v>171</v>
      </c>
      <c r="C1455" s="128" t="s">
        <v>309</v>
      </c>
      <c r="D1455" s="128" t="s">
        <v>2215</v>
      </c>
      <c r="E1455" s="128" t="s">
        <v>6109</v>
      </c>
      <c r="F1455" s="128">
        <v>2006</v>
      </c>
      <c r="G1455" s="128">
        <v>19</v>
      </c>
      <c r="H1455" s="128">
        <v>3</v>
      </c>
      <c r="I1455" s="128">
        <v>22</v>
      </c>
      <c r="J1455" s="128" t="s">
        <v>6110</v>
      </c>
      <c r="K1455" s="128">
        <v>34.35</v>
      </c>
      <c r="L1455" s="128" t="s">
        <v>2952</v>
      </c>
      <c r="M1455" s="128" t="s">
        <v>6111</v>
      </c>
      <c r="N1455" s="128" t="s">
        <v>5335</v>
      </c>
      <c r="O1455" s="128">
        <v>549</v>
      </c>
      <c r="P1455" s="128">
        <v>119</v>
      </c>
      <c r="Q1455" s="128">
        <v>109</v>
      </c>
      <c r="R1455" s="128">
        <v>215</v>
      </c>
      <c r="S1455" s="128">
        <v>54</v>
      </c>
      <c r="T1455" s="128">
        <v>64</v>
      </c>
      <c r="U1455" s="128">
        <v>561</v>
      </c>
      <c r="V1455" s="128" t="s">
        <v>1397</v>
      </c>
    </row>
    <row r="1456" spans="1:22" x14ac:dyDescent="0.35">
      <c r="A1456" s="118">
        <v>1455</v>
      </c>
      <c r="B1456" s="128" t="s">
        <v>171</v>
      </c>
      <c r="C1456" s="128" t="s">
        <v>309</v>
      </c>
      <c r="D1456" s="128" t="s">
        <v>2215</v>
      </c>
      <c r="E1456" s="128" t="s">
        <v>510</v>
      </c>
      <c r="F1456" s="128">
        <v>2013</v>
      </c>
      <c r="G1456" s="128">
        <v>0</v>
      </c>
      <c r="H1456" s="128">
        <v>34</v>
      </c>
      <c r="I1456" s="128">
        <v>34</v>
      </c>
      <c r="J1456" s="128" t="s">
        <v>6112</v>
      </c>
      <c r="K1456" s="128">
        <v>2.11</v>
      </c>
      <c r="L1456" s="128" t="s">
        <v>6113</v>
      </c>
      <c r="M1456" s="128" t="s">
        <v>6114</v>
      </c>
      <c r="N1456" s="128" t="s">
        <v>6115</v>
      </c>
      <c r="O1456" s="128">
        <v>420</v>
      </c>
      <c r="P1456" s="128">
        <v>100</v>
      </c>
      <c r="Q1456" s="128">
        <v>80</v>
      </c>
      <c r="R1456" s="128">
        <v>166</v>
      </c>
      <c r="S1456" s="128">
        <v>34</v>
      </c>
      <c r="T1456" s="128">
        <v>46</v>
      </c>
      <c r="U1456" s="128">
        <v>426</v>
      </c>
      <c r="V1456" s="128" t="s">
        <v>1416</v>
      </c>
    </row>
    <row r="1457" spans="1:22" x14ac:dyDescent="0.35">
      <c r="A1457" s="118">
        <v>1456</v>
      </c>
      <c r="B1457" s="128" t="s">
        <v>171</v>
      </c>
      <c r="C1457" s="128" t="s">
        <v>304</v>
      </c>
      <c r="D1457" s="128" t="s">
        <v>6116</v>
      </c>
      <c r="E1457" s="128" t="s">
        <v>6117</v>
      </c>
      <c r="F1457" s="128">
        <v>2008</v>
      </c>
      <c r="G1457" s="128">
        <v>100</v>
      </c>
      <c r="H1457" s="128">
        <v>15</v>
      </c>
      <c r="I1457" s="128">
        <v>115</v>
      </c>
      <c r="J1457" s="128" t="s">
        <v>6118</v>
      </c>
      <c r="K1457" s="128">
        <v>53</v>
      </c>
      <c r="L1457" s="128" t="s">
        <v>1688</v>
      </c>
      <c r="M1457" s="128" t="s">
        <v>2266</v>
      </c>
      <c r="N1457" s="128" t="s">
        <v>2926</v>
      </c>
      <c r="O1457" s="128">
        <v>565</v>
      </c>
      <c r="P1457" s="128">
        <v>120</v>
      </c>
      <c r="Q1457" s="128">
        <v>115</v>
      </c>
      <c r="R1457" s="128">
        <v>185</v>
      </c>
      <c r="S1457" s="128">
        <v>75</v>
      </c>
      <c r="T1457" s="128">
        <v>75</v>
      </c>
      <c r="U1457" s="128">
        <v>570</v>
      </c>
      <c r="V1457" s="128" t="s">
        <v>1397</v>
      </c>
    </row>
    <row r="1458" spans="1:22" x14ac:dyDescent="0.35">
      <c r="A1458" s="118">
        <v>1457</v>
      </c>
      <c r="B1458" s="128" t="s">
        <v>171</v>
      </c>
      <c r="C1458" s="128" t="s">
        <v>304</v>
      </c>
      <c r="D1458" s="128" t="s">
        <v>6119</v>
      </c>
      <c r="E1458" s="128" t="s">
        <v>6120</v>
      </c>
      <c r="F1458" s="128">
        <v>2004</v>
      </c>
      <c r="G1458" s="128">
        <v>115</v>
      </c>
      <c r="H1458" s="128">
        <v>10</v>
      </c>
      <c r="I1458" s="128">
        <v>125</v>
      </c>
      <c r="J1458" s="128" t="s">
        <v>6118</v>
      </c>
      <c r="K1458" s="128">
        <v>50.1</v>
      </c>
      <c r="L1458" s="128" t="s">
        <v>1843</v>
      </c>
      <c r="M1458" s="128" t="s">
        <v>6121</v>
      </c>
      <c r="N1458" s="128" t="s">
        <v>6122</v>
      </c>
      <c r="O1458" s="128">
        <v>490</v>
      </c>
      <c r="P1458" s="128">
        <v>120</v>
      </c>
      <c r="Q1458" s="128">
        <v>105</v>
      </c>
      <c r="R1458" s="128">
        <v>135</v>
      </c>
      <c r="S1458" s="128">
        <v>65</v>
      </c>
      <c r="T1458" s="128">
        <v>70</v>
      </c>
      <c r="U1458" s="128">
        <v>495</v>
      </c>
      <c r="V1458" s="128" t="s">
        <v>1397</v>
      </c>
    </row>
    <row r="1459" spans="1:22" x14ac:dyDescent="0.35">
      <c r="A1459" s="118">
        <v>1458</v>
      </c>
      <c r="B1459" s="128" t="s">
        <v>171</v>
      </c>
      <c r="C1459" s="128" t="s">
        <v>304</v>
      </c>
      <c r="D1459" s="128" t="s">
        <v>6123</v>
      </c>
      <c r="E1459" s="128" t="s">
        <v>6124</v>
      </c>
      <c r="F1459" s="128">
        <v>2004</v>
      </c>
      <c r="G1459" s="128">
        <v>51</v>
      </c>
      <c r="H1459" s="128">
        <v>16</v>
      </c>
      <c r="I1459" s="128">
        <v>67</v>
      </c>
      <c r="J1459" s="128" t="s">
        <v>6118</v>
      </c>
      <c r="K1459" s="128">
        <v>70.5</v>
      </c>
      <c r="L1459" s="128" t="s">
        <v>6125</v>
      </c>
      <c r="M1459" s="128" t="s">
        <v>6126</v>
      </c>
      <c r="N1459" s="128" t="s">
        <v>1634</v>
      </c>
      <c r="O1459" s="128">
        <v>545</v>
      </c>
      <c r="P1459" s="128">
        <v>120</v>
      </c>
      <c r="Q1459" s="128">
        <v>115</v>
      </c>
      <c r="R1459" s="128">
        <v>160</v>
      </c>
      <c r="S1459" s="128">
        <v>75</v>
      </c>
      <c r="T1459" s="128">
        <v>80</v>
      </c>
      <c r="U1459" s="128">
        <v>550</v>
      </c>
      <c r="V1459" s="128" t="s">
        <v>1397</v>
      </c>
    </row>
    <row r="1460" spans="1:22" x14ac:dyDescent="0.35">
      <c r="A1460" s="118">
        <v>1459</v>
      </c>
      <c r="B1460" s="128" t="s">
        <v>171</v>
      </c>
      <c r="C1460" s="128" t="s">
        <v>304</v>
      </c>
      <c r="D1460" s="128" t="s">
        <v>6127</v>
      </c>
      <c r="E1460" s="128" t="s">
        <v>6128</v>
      </c>
      <c r="F1460" s="128">
        <v>2007</v>
      </c>
      <c r="G1460" s="128">
        <v>119</v>
      </c>
      <c r="H1460" s="128">
        <v>53</v>
      </c>
      <c r="I1460" s="128">
        <v>172</v>
      </c>
      <c r="J1460" s="128" t="s">
        <v>6118</v>
      </c>
      <c r="K1460" s="128">
        <v>34.700000000000003</v>
      </c>
      <c r="L1460" s="128" t="s">
        <v>2926</v>
      </c>
      <c r="M1460" s="128" t="s">
        <v>6129</v>
      </c>
      <c r="N1460" s="128" t="s">
        <v>6130</v>
      </c>
      <c r="O1460" s="128">
        <v>535</v>
      </c>
      <c r="P1460" s="128">
        <v>120</v>
      </c>
      <c r="Q1460" s="128">
        <v>115</v>
      </c>
      <c r="R1460" s="128">
        <v>145</v>
      </c>
      <c r="S1460" s="128">
        <v>80</v>
      </c>
      <c r="T1460" s="128">
        <v>80</v>
      </c>
      <c r="U1460" s="128">
        <v>540</v>
      </c>
      <c r="V1460" s="128" t="s">
        <v>1397</v>
      </c>
    </row>
    <row r="1461" spans="1:22" x14ac:dyDescent="0.35">
      <c r="A1461" s="118">
        <v>1460</v>
      </c>
      <c r="B1461" s="128" t="s">
        <v>171</v>
      </c>
      <c r="C1461" s="128" t="s">
        <v>304</v>
      </c>
      <c r="D1461" s="128" t="s">
        <v>6127</v>
      </c>
      <c r="E1461" s="128" t="s">
        <v>6131</v>
      </c>
      <c r="F1461" s="128">
        <v>2011</v>
      </c>
      <c r="G1461" s="128">
        <v>86</v>
      </c>
      <c r="H1461" s="128">
        <v>36</v>
      </c>
      <c r="I1461" s="128">
        <v>122</v>
      </c>
      <c r="J1461" s="128" t="s">
        <v>6118</v>
      </c>
      <c r="K1461" s="128">
        <v>49.6</v>
      </c>
      <c r="L1461" s="128" t="s">
        <v>4197</v>
      </c>
      <c r="M1461" s="128" t="s">
        <v>6132</v>
      </c>
      <c r="N1461" s="128" t="s">
        <v>1665</v>
      </c>
      <c r="O1461" s="128">
        <v>480</v>
      </c>
      <c r="P1461" s="128">
        <v>120</v>
      </c>
      <c r="Q1461" s="128">
        <v>100</v>
      </c>
      <c r="R1461" s="128">
        <v>130</v>
      </c>
      <c r="S1461" s="128">
        <v>60</v>
      </c>
      <c r="T1461" s="128">
        <v>75</v>
      </c>
      <c r="U1461" s="128">
        <v>485</v>
      </c>
      <c r="V1461" s="128" t="s">
        <v>1397</v>
      </c>
    </row>
    <row r="1462" spans="1:22" x14ac:dyDescent="0.35">
      <c r="A1462" s="118">
        <v>1461</v>
      </c>
      <c r="B1462" s="128" t="s">
        <v>171</v>
      </c>
      <c r="C1462" s="128" t="s">
        <v>301</v>
      </c>
      <c r="D1462" s="128" t="s">
        <v>6119</v>
      </c>
      <c r="E1462" s="128" t="s">
        <v>6133</v>
      </c>
      <c r="F1462" s="128">
        <v>2004</v>
      </c>
      <c r="G1462" s="128">
        <v>74</v>
      </c>
      <c r="H1462" s="128">
        <v>16</v>
      </c>
      <c r="I1462" s="128">
        <v>90</v>
      </c>
      <c r="J1462" s="128" t="s">
        <v>6118</v>
      </c>
      <c r="K1462" s="128">
        <v>90.2</v>
      </c>
      <c r="L1462" s="128" t="s">
        <v>3189</v>
      </c>
      <c r="M1462" s="128" t="s">
        <v>3188</v>
      </c>
      <c r="N1462" s="128" t="s">
        <v>4539</v>
      </c>
      <c r="O1462" s="128">
        <v>550</v>
      </c>
      <c r="P1462" s="128">
        <v>120</v>
      </c>
      <c r="Q1462" s="128">
        <v>115</v>
      </c>
      <c r="R1462" s="128">
        <v>160</v>
      </c>
      <c r="S1462" s="128">
        <v>80</v>
      </c>
      <c r="T1462" s="128">
        <v>80</v>
      </c>
      <c r="U1462" s="128">
        <v>555</v>
      </c>
      <c r="V1462" s="128" t="s">
        <v>1397</v>
      </c>
    </row>
    <row r="1463" spans="1:22" x14ac:dyDescent="0.35">
      <c r="A1463" s="118">
        <v>1462</v>
      </c>
      <c r="B1463" s="128" t="s">
        <v>171</v>
      </c>
      <c r="C1463" s="128" t="s">
        <v>301</v>
      </c>
      <c r="D1463" s="128" t="s">
        <v>6134</v>
      </c>
      <c r="E1463" s="128" t="s">
        <v>6135</v>
      </c>
      <c r="F1463" s="128">
        <v>2004</v>
      </c>
      <c r="G1463" s="128">
        <v>32</v>
      </c>
      <c r="H1463" s="128">
        <v>8</v>
      </c>
      <c r="I1463" s="128">
        <v>40</v>
      </c>
      <c r="J1463" s="128" t="s">
        <v>6118</v>
      </c>
      <c r="K1463" s="128">
        <v>69.2</v>
      </c>
      <c r="L1463" s="128" t="s">
        <v>5920</v>
      </c>
      <c r="M1463" s="128" t="s">
        <v>1550</v>
      </c>
      <c r="N1463" s="128" t="s">
        <v>6136</v>
      </c>
      <c r="O1463" s="128">
        <v>500</v>
      </c>
      <c r="P1463" s="128">
        <v>115</v>
      </c>
      <c r="Q1463" s="128">
        <v>115</v>
      </c>
      <c r="R1463" s="128">
        <v>125</v>
      </c>
      <c r="S1463" s="128">
        <v>75</v>
      </c>
      <c r="T1463" s="128">
        <v>75</v>
      </c>
      <c r="U1463" s="128">
        <v>505</v>
      </c>
      <c r="V1463" s="128" t="s">
        <v>1397</v>
      </c>
    </row>
    <row r="1464" spans="1:22" x14ac:dyDescent="0.35">
      <c r="A1464" s="118">
        <v>1463</v>
      </c>
      <c r="B1464" s="128" t="s">
        <v>171</v>
      </c>
      <c r="C1464" s="128" t="s">
        <v>301</v>
      </c>
      <c r="D1464" s="128" t="s">
        <v>6137</v>
      </c>
      <c r="E1464" s="128" t="s">
        <v>6138</v>
      </c>
      <c r="F1464" s="128">
        <v>1995</v>
      </c>
      <c r="G1464" s="128">
        <v>126</v>
      </c>
      <c r="H1464" s="128">
        <v>26</v>
      </c>
      <c r="I1464" s="128">
        <v>152</v>
      </c>
      <c r="J1464" s="128" t="s">
        <v>6118</v>
      </c>
      <c r="K1464" s="128">
        <v>118</v>
      </c>
      <c r="L1464" s="128" t="s">
        <v>1757</v>
      </c>
      <c r="M1464" s="128" t="s">
        <v>3189</v>
      </c>
      <c r="N1464" s="128" t="s">
        <v>6139</v>
      </c>
      <c r="O1464" s="128">
        <v>550</v>
      </c>
      <c r="P1464" s="128">
        <v>120</v>
      </c>
      <c r="Q1464" s="128">
        <v>115</v>
      </c>
      <c r="R1464" s="128">
        <v>160</v>
      </c>
      <c r="S1464" s="128">
        <v>80</v>
      </c>
      <c r="T1464" s="128">
        <v>80</v>
      </c>
      <c r="U1464" s="128">
        <v>555</v>
      </c>
      <c r="V1464" s="128" t="s">
        <v>1397</v>
      </c>
    </row>
    <row r="1465" spans="1:22" x14ac:dyDescent="0.35">
      <c r="A1465" s="118">
        <v>1464</v>
      </c>
      <c r="B1465" s="128" t="s">
        <v>171</v>
      </c>
      <c r="C1465" s="128" t="s">
        <v>308</v>
      </c>
      <c r="D1465" s="128" t="s">
        <v>5510</v>
      </c>
      <c r="E1465" s="128" t="s">
        <v>423</v>
      </c>
      <c r="F1465" s="128" t="s">
        <v>6140</v>
      </c>
      <c r="G1465" s="128">
        <v>147</v>
      </c>
      <c r="H1465" s="128">
        <v>39</v>
      </c>
      <c r="I1465" s="128">
        <v>186</v>
      </c>
      <c r="J1465" s="128" t="s">
        <v>6017</v>
      </c>
      <c r="K1465" s="128">
        <v>181.19</v>
      </c>
      <c r="L1465" s="128" t="s">
        <v>6141</v>
      </c>
      <c r="M1465" s="128" t="s">
        <v>6142</v>
      </c>
      <c r="N1465" s="128" t="s">
        <v>6143</v>
      </c>
      <c r="O1465" s="128">
        <v>817</v>
      </c>
      <c r="P1465" s="128">
        <v>166</v>
      </c>
      <c r="Q1465" s="128">
        <v>140</v>
      </c>
      <c r="R1465" s="128">
        <v>332</v>
      </c>
      <c r="S1465" s="128">
        <v>91</v>
      </c>
      <c r="T1465" s="128">
        <v>93</v>
      </c>
      <c r="U1465" s="128">
        <v>822</v>
      </c>
      <c r="V1465" s="128" t="s">
        <v>1417</v>
      </c>
    </row>
    <row r="1466" spans="1:22" x14ac:dyDescent="0.35">
      <c r="A1466" s="118">
        <v>1465</v>
      </c>
      <c r="B1466" s="128" t="s">
        <v>171</v>
      </c>
      <c r="C1466" s="128" t="s">
        <v>308</v>
      </c>
      <c r="D1466" s="128" t="s">
        <v>6144</v>
      </c>
      <c r="E1466" s="128" t="s">
        <v>422</v>
      </c>
      <c r="F1466" s="128" t="s">
        <v>6145</v>
      </c>
      <c r="G1466" s="128">
        <v>93</v>
      </c>
      <c r="H1466" s="128">
        <v>2</v>
      </c>
      <c r="I1466" s="128">
        <v>95</v>
      </c>
      <c r="J1466" s="128" t="s">
        <v>6017</v>
      </c>
      <c r="K1466" s="128">
        <v>131.07</v>
      </c>
      <c r="L1466" s="128" t="s">
        <v>2213</v>
      </c>
      <c r="M1466" s="128" t="s">
        <v>1856</v>
      </c>
      <c r="N1466" s="128" t="s">
        <v>6146</v>
      </c>
      <c r="O1466" s="128">
        <v>558</v>
      </c>
      <c r="P1466" s="128">
        <v>125</v>
      </c>
      <c r="Q1466" s="128">
        <v>113</v>
      </c>
      <c r="R1466" s="128">
        <v>209</v>
      </c>
      <c r="S1466" s="128">
        <v>57</v>
      </c>
      <c r="T1466" s="128">
        <v>63</v>
      </c>
      <c r="U1466" s="128">
        <v>567</v>
      </c>
      <c r="V1466" s="128" t="s">
        <v>1397</v>
      </c>
    </row>
    <row r="1467" spans="1:22" x14ac:dyDescent="0.35">
      <c r="A1467" s="118">
        <v>1466</v>
      </c>
      <c r="B1467" s="128" t="s">
        <v>171</v>
      </c>
      <c r="C1467" s="128" t="s">
        <v>308</v>
      </c>
      <c r="D1467" s="128" t="s">
        <v>6147</v>
      </c>
      <c r="E1467" s="128" t="s">
        <v>6024</v>
      </c>
      <c r="F1467" s="128" t="s">
        <v>6148</v>
      </c>
      <c r="G1467" s="128">
        <v>225</v>
      </c>
      <c r="H1467" s="128">
        <v>7</v>
      </c>
      <c r="I1467" s="128">
        <v>232</v>
      </c>
      <c r="J1467" s="128" t="s">
        <v>6149</v>
      </c>
      <c r="K1467" s="128">
        <v>193.4</v>
      </c>
      <c r="L1467" s="128" t="s">
        <v>6150</v>
      </c>
      <c r="M1467" s="128" t="s">
        <v>6151</v>
      </c>
      <c r="N1467" s="128" t="s">
        <v>1550</v>
      </c>
      <c r="O1467" s="128">
        <v>546</v>
      </c>
      <c r="P1467" s="128">
        <v>123</v>
      </c>
      <c r="Q1467" s="128">
        <v>113</v>
      </c>
      <c r="R1467" s="128">
        <v>206</v>
      </c>
      <c r="S1467" s="128">
        <v>56</v>
      </c>
      <c r="T1467" s="128">
        <v>63</v>
      </c>
      <c r="U1467" s="128">
        <v>561</v>
      </c>
      <c r="V1467" s="128" t="s">
        <v>1397</v>
      </c>
    </row>
    <row r="1468" spans="1:22" x14ac:dyDescent="0.35">
      <c r="A1468" s="118">
        <v>1467</v>
      </c>
      <c r="B1468" s="128" t="s">
        <v>171</v>
      </c>
      <c r="C1468" s="128" t="s">
        <v>308</v>
      </c>
      <c r="D1468" s="128" t="s">
        <v>2366</v>
      </c>
      <c r="E1468" s="128" t="s">
        <v>6028</v>
      </c>
      <c r="F1468" s="128" t="s">
        <v>6152</v>
      </c>
      <c r="G1468" s="128">
        <v>203</v>
      </c>
      <c r="H1468" s="128">
        <v>29</v>
      </c>
      <c r="I1468" s="128">
        <v>232</v>
      </c>
      <c r="J1468" s="128" t="s">
        <v>6017</v>
      </c>
      <c r="K1468" s="128">
        <v>203.13</v>
      </c>
      <c r="L1468" s="128" t="s">
        <v>6153</v>
      </c>
      <c r="M1468" s="128" t="s">
        <v>1602</v>
      </c>
      <c r="N1468" s="128" t="s">
        <v>1706</v>
      </c>
      <c r="O1468" s="128">
        <v>537</v>
      </c>
      <c r="P1468" s="128">
        <v>119</v>
      </c>
      <c r="Q1468" s="128">
        <v>107</v>
      </c>
      <c r="R1468" s="128">
        <v>208</v>
      </c>
      <c r="S1468" s="128">
        <v>51</v>
      </c>
      <c r="T1468" s="128">
        <v>62</v>
      </c>
      <c r="U1468" s="128">
        <v>547</v>
      </c>
      <c r="V1468" s="128" t="s">
        <v>1397</v>
      </c>
    </row>
    <row r="1469" spans="1:22" x14ac:dyDescent="0.35">
      <c r="A1469" s="118">
        <v>1468</v>
      </c>
      <c r="B1469" s="128" t="s">
        <v>171</v>
      </c>
      <c r="C1469" s="128" t="s">
        <v>308</v>
      </c>
      <c r="D1469" s="128" t="s">
        <v>5510</v>
      </c>
      <c r="E1469" s="128" t="s">
        <v>6154</v>
      </c>
      <c r="F1469" s="128" t="s">
        <v>6155</v>
      </c>
      <c r="G1469" s="128">
        <v>50</v>
      </c>
      <c r="H1469" s="128">
        <v>16</v>
      </c>
      <c r="I1469" s="128">
        <v>66</v>
      </c>
      <c r="J1469" s="128" t="s">
        <v>6025</v>
      </c>
      <c r="K1469" s="128">
        <v>42.67</v>
      </c>
      <c r="L1469" s="128" t="s">
        <v>6156</v>
      </c>
      <c r="M1469" s="128" t="s">
        <v>6157</v>
      </c>
      <c r="N1469" s="128" t="s">
        <v>1869</v>
      </c>
      <c r="O1469" s="128">
        <v>555</v>
      </c>
      <c r="P1469" s="128">
        <v>122</v>
      </c>
      <c r="Q1469" s="128">
        <v>110</v>
      </c>
      <c r="R1469" s="128">
        <v>212</v>
      </c>
      <c r="S1469" s="128">
        <v>54</v>
      </c>
      <c r="T1469" s="128">
        <v>63</v>
      </c>
      <c r="U1469" s="128">
        <v>561</v>
      </c>
      <c r="V1469" s="128" t="s">
        <v>1397</v>
      </c>
    </row>
    <row r="1470" spans="1:22" x14ac:dyDescent="0.35">
      <c r="A1470" s="118">
        <v>1469</v>
      </c>
      <c r="B1470" s="128" t="s">
        <v>171</v>
      </c>
      <c r="C1470" s="128" t="s">
        <v>308</v>
      </c>
      <c r="D1470" s="128" t="s">
        <v>6144</v>
      </c>
      <c r="E1470" s="128" t="s">
        <v>476</v>
      </c>
      <c r="F1470" s="128" t="s">
        <v>6158</v>
      </c>
      <c r="G1470" s="128">
        <v>94</v>
      </c>
      <c r="H1470" s="128">
        <v>15</v>
      </c>
      <c r="I1470" s="128">
        <v>109</v>
      </c>
      <c r="J1470" s="128" t="s">
        <v>6159</v>
      </c>
      <c r="K1470" s="128">
        <v>136.81</v>
      </c>
      <c r="L1470" s="128" t="s">
        <v>6160</v>
      </c>
      <c r="M1470" s="128" t="s">
        <v>6161</v>
      </c>
      <c r="N1470" s="128" t="s">
        <v>6162</v>
      </c>
      <c r="O1470" s="128">
        <v>813</v>
      </c>
      <c r="P1470" s="128">
        <v>165</v>
      </c>
      <c r="Q1470" s="128">
        <v>140</v>
      </c>
      <c r="R1470" s="128">
        <v>331</v>
      </c>
      <c r="S1470" s="128">
        <v>90</v>
      </c>
      <c r="T1470" s="128">
        <v>95</v>
      </c>
      <c r="U1470" s="128">
        <v>821</v>
      </c>
      <c r="V1470" s="128" t="s">
        <v>1417</v>
      </c>
    </row>
    <row r="1471" spans="1:22" x14ac:dyDescent="0.35">
      <c r="A1471" s="118">
        <v>1470</v>
      </c>
      <c r="B1471" s="128" t="s">
        <v>171</v>
      </c>
      <c r="C1471" s="128" t="s">
        <v>308</v>
      </c>
      <c r="D1471" s="128" t="s">
        <v>2366</v>
      </c>
      <c r="E1471" s="128" t="s">
        <v>6163</v>
      </c>
      <c r="F1471" s="128" t="s">
        <v>6164</v>
      </c>
      <c r="G1471" s="128">
        <v>53</v>
      </c>
      <c r="H1471" s="128">
        <v>3</v>
      </c>
      <c r="I1471" s="128">
        <v>56</v>
      </c>
      <c r="J1471" s="128" t="s">
        <v>6017</v>
      </c>
      <c r="K1471" s="128">
        <v>66.960000000000008</v>
      </c>
      <c r="L1471" s="128" t="s">
        <v>6165</v>
      </c>
      <c r="M1471" s="128" t="s">
        <v>6166</v>
      </c>
      <c r="N1471" s="128" t="s">
        <v>1706</v>
      </c>
      <c r="O1471" s="128">
        <v>375</v>
      </c>
      <c r="P1471" s="128">
        <v>100</v>
      </c>
      <c r="Q1471" s="128">
        <v>80</v>
      </c>
      <c r="R1471" s="128">
        <v>154</v>
      </c>
      <c r="S1471" s="128">
        <v>39</v>
      </c>
      <c r="T1471" s="128">
        <v>49</v>
      </c>
      <c r="U1471" s="128">
        <v>422</v>
      </c>
      <c r="V1471" s="128" t="s">
        <v>1416</v>
      </c>
    </row>
    <row r="1472" spans="1:22" x14ac:dyDescent="0.35">
      <c r="A1472" s="118">
        <v>1471</v>
      </c>
      <c r="B1472" s="128" t="s">
        <v>171</v>
      </c>
      <c r="C1472" s="128" t="s">
        <v>308</v>
      </c>
      <c r="D1472" s="128" t="s">
        <v>5510</v>
      </c>
      <c r="E1472" s="128" t="s">
        <v>6167</v>
      </c>
      <c r="F1472" s="128">
        <v>2014</v>
      </c>
      <c r="G1472" s="128">
        <v>25</v>
      </c>
      <c r="H1472" s="128">
        <v>3</v>
      </c>
      <c r="I1472" s="128">
        <v>28</v>
      </c>
      <c r="J1472" s="128" t="s">
        <v>6168</v>
      </c>
      <c r="K1472" s="128">
        <v>21</v>
      </c>
      <c r="L1472" s="128" t="s">
        <v>5103</v>
      </c>
      <c r="M1472" s="128" t="s">
        <v>6142</v>
      </c>
      <c r="N1472" s="128" t="s">
        <v>6169</v>
      </c>
      <c r="O1472" s="128">
        <v>591</v>
      </c>
      <c r="P1472" s="128">
        <v>126</v>
      </c>
      <c r="Q1472" s="128">
        <v>115</v>
      </c>
      <c r="R1472" s="128">
        <v>232</v>
      </c>
      <c r="S1472" s="128">
        <v>57</v>
      </c>
      <c r="T1472" s="128">
        <v>64</v>
      </c>
      <c r="U1472" s="128">
        <v>594</v>
      </c>
      <c r="V1472" s="128" t="s">
        <v>1397</v>
      </c>
    </row>
    <row r="1473" spans="1:22" x14ac:dyDescent="0.35">
      <c r="A1473" s="118">
        <v>1472</v>
      </c>
      <c r="B1473" s="128" t="s">
        <v>171</v>
      </c>
      <c r="C1473" s="128" t="s">
        <v>308</v>
      </c>
      <c r="D1473" s="128" t="s">
        <v>5510</v>
      </c>
      <c r="E1473" s="128" t="s">
        <v>6170</v>
      </c>
      <c r="F1473" s="128">
        <v>2013</v>
      </c>
      <c r="G1473" s="128">
        <v>0</v>
      </c>
      <c r="H1473" s="128">
        <v>20</v>
      </c>
      <c r="I1473" s="128">
        <v>20</v>
      </c>
      <c r="J1473" s="128" t="s">
        <v>2136</v>
      </c>
      <c r="K1473" s="128">
        <v>1.1200000000000001</v>
      </c>
      <c r="L1473" s="128" t="s">
        <v>6171</v>
      </c>
      <c r="M1473" s="128" t="s">
        <v>510</v>
      </c>
      <c r="N1473" s="128" t="s">
        <v>6172</v>
      </c>
      <c r="O1473" s="128">
        <v>434</v>
      </c>
      <c r="P1473" s="128">
        <v>100</v>
      </c>
      <c r="Q1473" s="128">
        <v>80</v>
      </c>
      <c r="R1473" s="128">
        <v>173</v>
      </c>
      <c r="S1473" s="128">
        <v>38</v>
      </c>
      <c r="T1473" s="128">
        <v>46</v>
      </c>
      <c r="U1473" s="128">
        <v>437</v>
      </c>
      <c r="V1473" s="128" t="s">
        <v>1416</v>
      </c>
    </row>
    <row r="1474" spans="1:22" x14ac:dyDescent="0.35">
      <c r="A1474" s="118">
        <v>1473</v>
      </c>
      <c r="B1474" s="128" t="s">
        <v>171</v>
      </c>
      <c r="C1474" s="128" t="s">
        <v>308</v>
      </c>
      <c r="D1474" s="128" t="s">
        <v>5510</v>
      </c>
      <c r="E1474" s="128" t="s">
        <v>6173</v>
      </c>
      <c r="F1474" s="128">
        <v>2015</v>
      </c>
      <c r="G1474" s="128">
        <v>0</v>
      </c>
      <c r="H1474" s="128">
        <v>33</v>
      </c>
      <c r="I1474" s="128">
        <v>33</v>
      </c>
      <c r="J1474" s="128" t="s">
        <v>6112</v>
      </c>
      <c r="K1474" s="128">
        <v>4.21</v>
      </c>
      <c r="L1474" s="128" t="s">
        <v>6174</v>
      </c>
      <c r="M1474" s="128" t="s">
        <v>6175</v>
      </c>
      <c r="N1474" s="128" t="s">
        <v>6176</v>
      </c>
      <c r="O1474" s="128">
        <v>745</v>
      </c>
      <c r="P1474" s="128">
        <v>146</v>
      </c>
      <c r="Q1474" s="128">
        <v>125</v>
      </c>
      <c r="R1474" s="128">
        <v>316</v>
      </c>
      <c r="S1474" s="128">
        <v>85</v>
      </c>
      <c r="T1474" s="128">
        <v>87</v>
      </c>
      <c r="U1474" s="128">
        <v>759</v>
      </c>
      <c r="V1474" s="128" t="s">
        <v>1417</v>
      </c>
    </row>
    <row r="1475" spans="1:22" x14ac:dyDescent="0.35">
      <c r="A1475" s="118">
        <v>1474</v>
      </c>
      <c r="B1475" s="128" t="s">
        <v>171</v>
      </c>
      <c r="C1475" s="128" t="s">
        <v>308</v>
      </c>
      <c r="D1475" s="128" t="s">
        <v>6177</v>
      </c>
      <c r="E1475" s="128" t="s">
        <v>6178</v>
      </c>
      <c r="F1475" s="128">
        <v>2022</v>
      </c>
      <c r="G1475" s="128">
        <v>49</v>
      </c>
      <c r="H1475" s="128">
        <v>36</v>
      </c>
      <c r="I1475" s="128">
        <v>85</v>
      </c>
      <c r="J1475" s="128" t="s">
        <v>6149</v>
      </c>
      <c r="K1475" s="128">
        <v>82.66</v>
      </c>
      <c r="L1475" s="128" t="s">
        <v>6179</v>
      </c>
      <c r="M1475" s="128" t="s">
        <v>6180</v>
      </c>
      <c r="N1475" s="128" t="s">
        <v>6181</v>
      </c>
      <c r="O1475" s="128">
        <v>172</v>
      </c>
      <c r="P1475" s="128">
        <v>60</v>
      </c>
      <c r="Q1475" s="128">
        <v>38</v>
      </c>
      <c r="R1475" s="128">
        <v>81</v>
      </c>
      <c r="S1475" s="128">
        <v>8</v>
      </c>
      <c r="T1475" s="128">
        <v>23</v>
      </c>
      <c r="U1475" s="128">
        <v>210</v>
      </c>
      <c r="V1475" s="128" t="s">
        <v>1396</v>
      </c>
    </row>
    <row r="1476" spans="1:22" x14ac:dyDescent="0.35">
      <c r="A1476" s="118">
        <v>1475</v>
      </c>
      <c r="B1476" s="128" t="s">
        <v>171</v>
      </c>
      <c r="C1476" s="128" t="s">
        <v>305</v>
      </c>
      <c r="D1476" s="128" t="s">
        <v>2391</v>
      </c>
      <c r="E1476" s="128" t="s">
        <v>32</v>
      </c>
      <c r="F1476" s="128">
        <v>2007</v>
      </c>
      <c r="G1476" s="128">
        <v>165</v>
      </c>
      <c r="H1476" s="128">
        <v>19</v>
      </c>
      <c r="I1476" s="128">
        <v>184</v>
      </c>
      <c r="J1476" s="128" t="s">
        <v>6182</v>
      </c>
      <c r="K1476" s="128">
        <v>34.67350083752094</v>
      </c>
      <c r="L1476" s="128" t="s">
        <v>4906</v>
      </c>
      <c r="M1476" s="128" t="s">
        <v>6183</v>
      </c>
      <c r="N1476" s="128" t="s">
        <v>4568</v>
      </c>
      <c r="O1476" s="128">
        <v>727</v>
      </c>
      <c r="P1476" s="128">
        <v>138</v>
      </c>
      <c r="Q1476" s="128">
        <v>125</v>
      </c>
      <c r="R1476" s="128">
        <v>298</v>
      </c>
      <c r="S1476" s="128">
        <v>86</v>
      </c>
      <c r="T1476" s="128">
        <v>87</v>
      </c>
      <c r="U1476" s="128">
        <v>734</v>
      </c>
      <c r="V1476" s="128" t="s">
        <v>2702</v>
      </c>
    </row>
    <row r="1477" spans="1:22" x14ac:dyDescent="0.35">
      <c r="A1477" s="118">
        <v>1476</v>
      </c>
      <c r="B1477" s="128" t="s">
        <v>171</v>
      </c>
      <c r="C1477" s="128" t="s">
        <v>305</v>
      </c>
      <c r="D1477" s="128" t="s">
        <v>2391</v>
      </c>
      <c r="E1477" s="128" t="s">
        <v>50</v>
      </c>
      <c r="F1477" s="128">
        <v>2009</v>
      </c>
      <c r="G1477" s="128">
        <v>103</v>
      </c>
      <c r="H1477" s="128">
        <v>12</v>
      </c>
      <c r="I1477" s="128">
        <v>115</v>
      </c>
      <c r="J1477" s="128" t="s">
        <v>6182</v>
      </c>
      <c r="K1477" s="128">
        <v>101.36375209380236</v>
      </c>
      <c r="L1477" s="128" t="s">
        <v>6184</v>
      </c>
      <c r="M1477" s="128" t="s">
        <v>6185</v>
      </c>
      <c r="N1477" s="128" t="s">
        <v>6186</v>
      </c>
      <c r="O1477" s="128">
        <v>546</v>
      </c>
      <c r="P1477" s="128">
        <v>110</v>
      </c>
      <c r="Q1477" s="128">
        <v>105</v>
      </c>
      <c r="R1477" s="128">
        <v>215</v>
      </c>
      <c r="S1477" s="128">
        <v>63</v>
      </c>
      <c r="T1477" s="128">
        <v>65</v>
      </c>
      <c r="U1477" s="128">
        <v>558</v>
      </c>
      <c r="V1477" s="128" t="s">
        <v>1547</v>
      </c>
    </row>
    <row r="1478" spans="1:22" x14ac:dyDescent="0.35">
      <c r="A1478" s="118">
        <v>1477</v>
      </c>
      <c r="B1478" s="128" t="s">
        <v>171</v>
      </c>
      <c r="C1478" s="128" t="s">
        <v>305</v>
      </c>
      <c r="D1478" s="128" t="s">
        <v>6187</v>
      </c>
      <c r="E1478" s="128" t="s">
        <v>84</v>
      </c>
      <c r="F1478" s="128">
        <v>2007</v>
      </c>
      <c r="G1478" s="128">
        <v>218</v>
      </c>
      <c r="H1478" s="128">
        <v>46</v>
      </c>
      <c r="I1478" s="128">
        <v>264</v>
      </c>
      <c r="J1478" s="128" t="s">
        <v>6188</v>
      </c>
      <c r="K1478" s="128">
        <v>91.396716917922944</v>
      </c>
      <c r="L1478" s="128" t="s">
        <v>1556</v>
      </c>
      <c r="M1478" s="128" t="s">
        <v>1645</v>
      </c>
      <c r="N1478" s="128" t="s">
        <v>6189</v>
      </c>
      <c r="O1478" s="128">
        <v>542</v>
      </c>
      <c r="P1478" s="128">
        <v>112</v>
      </c>
      <c r="Q1478" s="128">
        <v>108</v>
      </c>
      <c r="R1478" s="128">
        <v>207</v>
      </c>
      <c r="S1478" s="128">
        <v>59</v>
      </c>
      <c r="T1478" s="128">
        <v>61</v>
      </c>
      <c r="U1478" s="128">
        <v>547</v>
      </c>
      <c r="V1478" s="128" t="s">
        <v>1547</v>
      </c>
    </row>
    <row r="1479" spans="1:22" x14ac:dyDescent="0.35">
      <c r="A1479" s="118">
        <v>1478</v>
      </c>
      <c r="B1479" s="128" t="s">
        <v>171</v>
      </c>
      <c r="C1479" s="128" t="s">
        <v>305</v>
      </c>
      <c r="D1479" s="128" t="s">
        <v>6190</v>
      </c>
      <c r="E1479" s="128" t="s">
        <v>1234</v>
      </c>
      <c r="F1479" s="128">
        <v>2007</v>
      </c>
      <c r="G1479" s="128">
        <v>276</v>
      </c>
      <c r="H1479" s="128">
        <v>71</v>
      </c>
      <c r="I1479" s="128">
        <v>347</v>
      </c>
      <c r="J1479" s="128" t="s">
        <v>6191</v>
      </c>
      <c r="K1479" s="128">
        <v>141.22733668341709</v>
      </c>
      <c r="L1479" s="128" t="s">
        <v>6192</v>
      </c>
      <c r="M1479" s="128" t="s">
        <v>3068</v>
      </c>
      <c r="N1479" s="128" t="s">
        <v>6103</v>
      </c>
      <c r="O1479" s="128">
        <v>484</v>
      </c>
      <c r="P1479" s="128">
        <v>107</v>
      </c>
      <c r="Q1479" s="128">
        <v>87</v>
      </c>
      <c r="R1479" s="128">
        <v>199</v>
      </c>
      <c r="S1479" s="128">
        <v>44</v>
      </c>
      <c r="T1479" s="128">
        <v>55</v>
      </c>
      <c r="U1479" s="128">
        <v>492</v>
      </c>
      <c r="V1479" s="128" t="s">
        <v>1547</v>
      </c>
    </row>
    <row r="1480" spans="1:22" x14ac:dyDescent="0.35">
      <c r="A1480" s="118">
        <v>1479</v>
      </c>
      <c r="B1480" s="128" t="s">
        <v>171</v>
      </c>
      <c r="C1480" s="128" t="s">
        <v>305</v>
      </c>
      <c r="D1480" s="128" t="s">
        <v>5711</v>
      </c>
      <c r="E1480" s="128" t="s">
        <v>1233</v>
      </c>
      <c r="F1480" s="128">
        <v>2007</v>
      </c>
      <c r="G1480" s="128">
        <v>124</v>
      </c>
      <c r="H1480" s="128">
        <v>20</v>
      </c>
      <c r="I1480" s="128">
        <v>144</v>
      </c>
      <c r="J1480" s="128" t="s">
        <v>6182</v>
      </c>
      <c r="K1480" s="128">
        <v>151.49896147403686</v>
      </c>
      <c r="L1480" s="128" t="s">
        <v>6193</v>
      </c>
      <c r="M1480" s="128" t="s">
        <v>2375</v>
      </c>
      <c r="N1480" s="128" t="s">
        <v>6194</v>
      </c>
      <c r="O1480" s="128">
        <v>541</v>
      </c>
      <c r="P1480" s="128">
        <v>113</v>
      </c>
      <c r="Q1480" s="128">
        <v>107</v>
      </c>
      <c r="R1480" s="128">
        <v>214</v>
      </c>
      <c r="S1480" s="128">
        <v>56</v>
      </c>
      <c r="T1480" s="128">
        <v>58</v>
      </c>
      <c r="U1480" s="128">
        <v>548</v>
      </c>
      <c r="V1480" s="128" t="s">
        <v>1547</v>
      </c>
    </row>
    <row r="1481" spans="1:22" x14ac:dyDescent="0.35">
      <c r="A1481" s="118">
        <v>1480</v>
      </c>
      <c r="B1481" s="128" t="s">
        <v>171</v>
      </c>
      <c r="C1481" s="128" t="s">
        <v>305</v>
      </c>
      <c r="D1481" s="128" t="s">
        <v>6195</v>
      </c>
      <c r="E1481" s="128" t="s">
        <v>1232</v>
      </c>
      <c r="F1481" s="128">
        <v>2009</v>
      </c>
      <c r="G1481" s="128">
        <v>160</v>
      </c>
      <c r="H1481" s="128">
        <v>12</v>
      </c>
      <c r="I1481" s="128">
        <v>172</v>
      </c>
      <c r="J1481" s="128" t="s">
        <v>6196</v>
      </c>
      <c r="K1481" s="128">
        <v>82.115644891122272</v>
      </c>
      <c r="L1481" s="128" t="s">
        <v>1815</v>
      </c>
      <c r="M1481" s="128" t="s">
        <v>2958</v>
      </c>
      <c r="N1481" s="128" t="s">
        <v>1576</v>
      </c>
      <c r="O1481" s="128">
        <v>404</v>
      </c>
      <c r="P1481" s="128">
        <v>98</v>
      </c>
      <c r="Q1481" s="128">
        <v>77</v>
      </c>
      <c r="R1481" s="128">
        <v>160</v>
      </c>
      <c r="S1481" s="128">
        <v>32</v>
      </c>
      <c r="T1481" s="128">
        <v>41</v>
      </c>
      <c r="U1481" s="128">
        <v>408</v>
      </c>
      <c r="V1481" s="128" t="s">
        <v>2643</v>
      </c>
    </row>
    <row r="1482" spans="1:22" x14ac:dyDescent="0.35">
      <c r="A1482" s="118">
        <v>1481</v>
      </c>
      <c r="B1482" s="128" t="s">
        <v>171</v>
      </c>
      <c r="C1482" s="128" t="s">
        <v>305</v>
      </c>
      <c r="D1482" s="128" t="s">
        <v>2391</v>
      </c>
      <c r="E1482" s="128" t="s">
        <v>1231</v>
      </c>
      <c r="F1482" s="128">
        <v>2021</v>
      </c>
      <c r="G1482" s="128">
        <v>32</v>
      </c>
      <c r="H1482" s="128">
        <v>3</v>
      </c>
      <c r="I1482" s="128">
        <v>35</v>
      </c>
      <c r="J1482" s="128" t="s">
        <v>6188</v>
      </c>
      <c r="K1482" s="128">
        <v>70.285561139028474</v>
      </c>
      <c r="L1482" s="128" t="s">
        <v>4756</v>
      </c>
      <c r="M1482" s="128" t="s">
        <v>6197</v>
      </c>
      <c r="N1482" s="128" t="s">
        <v>6198</v>
      </c>
      <c r="O1482" s="128">
        <v>184</v>
      </c>
      <c r="P1482" s="128">
        <v>51</v>
      </c>
      <c r="Q1482" s="128">
        <v>38</v>
      </c>
      <c r="R1482" s="128">
        <v>76</v>
      </c>
      <c r="S1482" s="128">
        <v>6</v>
      </c>
      <c r="T1482" s="128">
        <v>21</v>
      </c>
      <c r="U1482" s="128">
        <v>192</v>
      </c>
      <c r="V1482" s="128" t="s">
        <v>3122</v>
      </c>
    </row>
    <row r="1483" spans="1:22" x14ac:dyDescent="0.35">
      <c r="A1483" s="118">
        <v>1482</v>
      </c>
      <c r="B1483" s="128" t="s">
        <v>171</v>
      </c>
      <c r="C1483" s="128" t="s">
        <v>305</v>
      </c>
      <c r="D1483" s="128" t="s">
        <v>6190</v>
      </c>
      <c r="E1483" s="128" t="s">
        <v>1230</v>
      </c>
      <c r="F1483" s="128">
        <v>2024</v>
      </c>
      <c r="G1483" s="128">
        <v>37</v>
      </c>
      <c r="H1483" s="128">
        <v>4</v>
      </c>
      <c r="I1483" s="128">
        <v>41</v>
      </c>
      <c r="J1483" s="128" t="s">
        <v>6182</v>
      </c>
      <c r="K1483" s="128">
        <v>49.438525963149083</v>
      </c>
      <c r="L1483" s="128" t="s">
        <v>1897</v>
      </c>
      <c r="M1483" s="128" t="s">
        <v>6199</v>
      </c>
      <c r="N1483" s="128" t="s">
        <v>1580</v>
      </c>
      <c r="O1483" s="128" t="s">
        <v>4422</v>
      </c>
      <c r="P1483" s="128">
        <v>49</v>
      </c>
      <c r="Q1483" s="128">
        <v>37</v>
      </c>
      <c r="R1483" s="128">
        <v>73</v>
      </c>
      <c r="S1483" s="128">
        <v>6</v>
      </c>
      <c r="T1483" s="128">
        <v>20</v>
      </c>
      <c r="U1483" s="128">
        <v>185</v>
      </c>
      <c r="V1483" s="128" t="s">
        <v>3122</v>
      </c>
    </row>
    <row r="1484" spans="1:22" x14ac:dyDescent="0.35">
      <c r="A1484" s="118">
        <v>1483</v>
      </c>
      <c r="B1484" s="128" t="s">
        <v>171</v>
      </c>
      <c r="C1484" s="128" t="s">
        <v>306</v>
      </c>
      <c r="D1484" s="128" t="s">
        <v>2391</v>
      </c>
      <c r="E1484" s="128" t="s">
        <v>1241</v>
      </c>
      <c r="F1484" s="128">
        <v>2005</v>
      </c>
      <c r="G1484" s="128">
        <v>87</v>
      </c>
      <c r="H1484" s="128">
        <v>7</v>
      </c>
      <c r="I1484" s="128">
        <v>94</v>
      </c>
      <c r="J1484" s="128" t="s">
        <v>6188</v>
      </c>
      <c r="K1484" s="128">
        <v>91.143407142857143</v>
      </c>
      <c r="L1484" s="128" t="s">
        <v>1621</v>
      </c>
      <c r="M1484" s="128" t="s">
        <v>6200</v>
      </c>
      <c r="N1484" s="128" t="s">
        <v>2203</v>
      </c>
      <c r="O1484" s="128">
        <v>522</v>
      </c>
      <c r="P1484" s="128">
        <v>116</v>
      </c>
      <c r="Q1484" s="128">
        <v>94</v>
      </c>
      <c r="R1484" s="128">
        <v>211</v>
      </c>
      <c r="S1484" s="128">
        <v>51</v>
      </c>
      <c r="T1484" s="128">
        <v>58</v>
      </c>
      <c r="U1484" s="128">
        <v>530</v>
      </c>
      <c r="V1484" s="128" t="s">
        <v>1547</v>
      </c>
    </row>
    <row r="1485" spans="1:22" x14ac:dyDescent="0.35">
      <c r="A1485" s="118">
        <v>1484</v>
      </c>
      <c r="B1485" s="128" t="s">
        <v>171</v>
      </c>
      <c r="C1485" s="128" t="s">
        <v>306</v>
      </c>
      <c r="D1485" s="128" t="s">
        <v>2774</v>
      </c>
      <c r="E1485" s="128" t="s">
        <v>1240</v>
      </c>
      <c r="F1485" s="128">
        <v>2007</v>
      </c>
      <c r="G1485" s="128">
        <v>136</v>
      </c>
      <c r="H1485" s="128">
        <v>1</v>
      </c>
      <c r="I1485" s="128">
        <v>137</v>
      </c>
      <c r="J1485" s="128" t="s">
        <v>6188</v>
      </c>
      <c r="K1485" s="128">
        <v>95.068242857142863</v>
      </c>
      <c r="L1485" s="128" t="s">
        <v>6201</v>
      </c>
      <c r="M1485" s="128" t="s">
        <v>1650</v>
      </c>
      <c r="N1485" s="128" t="s">
        <v>2952</v>
      </c>
      <c r="O1485" s="128">
        <v>340</v>
      </c>
      <c r="P1485" s="128">
        <v>90</v>
      </c>
      <c r="Q1485" s="128">
        <v>64</v>
      </c>
      <c r="R1485" s="128">
        <v>128</v>
      </c>
      <c r="S1485" s="128">
        <v>26</v>
      </c>
      <c r="T1485" s="128">
        <v>41</v>
      </c>
      <c r="U1485" s="128">
        <v>349</v>
      </c>
      <c r="V1485" s="128" t="s">
        <v>2643</v>
      </c>
    </row>
    <row r="1486" spans="1:22" x14ac:dyDescent="0.35">
      <c r="A1486" s="118">
        <v>1485</v>
      </c>
      <c r="B1486" s="128" t="s">
        <v>171</v>
      </c>
      <c r="C1486" s="128" t="s">
        <v>306</v>
      </c>
      <c r="D1486" s="128" t="s">
        <v>2391</v>
      </c>
      <c r="E1486" s="128" t="s">
        <v>1239</v>
      </c>
      <c r="F1486" s="128">
        <v>2006</v>
      </c>
      <c r="G1486" s="128">
        <v>122</v>
      </c>
      <c r="H1486" s="128">
        <v>6</v>
      </c>
      <c r="I1486" s="128">
        <v>128</v>
      </c>
      <c r="J1486" s="128" t="s">
        <v>6188</v>
      </c>
      <c r="K1486" s="128">
        <v>131.04590357142857</v>
      </c>
      <c r="L1486" s="128" t="s">
        <v>6202</v>
      </c>
      <c r="M1486" s="128" t="s">
        <v>6203</v>
      </c>
      <c r="N1486" s="128" t="s">
        <v>1997</v>
      </c>
      <c r="O1486" s="128">
        <v>579</v>
      </c>
      <c r="P1486" s="128">
        <v>123</v>
      </c>
      <c r="Q1486" s="128">
        <v>105</v>
      </c>
      <c r="R1486" s="128">
        <v>227</v>
      </c>
      <c r="S1486" s="128">
        <v>57</v>
      </c>
      <c r="T1486" s="128">
        <v>72</v>
      </c>
      <c r="U1486" s="128">
        <v>584</v>
      </c>
      <c r="V1486" s="128" t="s">
        <v>1547</v>
      </c>
    </row>
    <row r="1487" spans="1:22" x14ac:dyDescent="0.35">
      <c r="A1487" s="118">
        <v>1486</v>
      </c>
      <c r="B1487" s="128" t="s">
        <v>171</v>
      </c>
      <c r="C1487" s="128" t="s">
        <v>306</v>
      </c>
      <c r="D1487" s="128" t="s">
        <v>6204</v>
      </c>
      <c r="E1487" s="128" t="s">
        <v>1238</v>
      </c>
      <c r="F1487" s="128">
        <v>2007</v>
      </c>
      <c r="G1487" s="128">
        <v>143</v>
      </c>
      <c r="H1487" s="128">
        <v>2</v>
      </c>
      <c r="I1487" s="128">
        <v>145</v>
      </c>
      <c r="J1487" s="128" t="s">
        <v>6188</v>
      </c>
      <c r="K1487" s="128">
        <v>111.63977142857142</v>
      </c>
      <c r="L1487" s="128" t="s">
        <v>3193</v>
      </c>
      <c r="M1487" s="128" t="s">
        <v>4792</v>
      </c>
      <c r="N1487" s="128" t="s">
        <v>5335</v>
      </c>
      <c r="O1487" s="128">
        <v>524</v>
      </c>
      <c r="P1487" s="128">
        <v>120</v>
      </c>
      <c r="Q1487" s="128">
        <v>96</v>
      </c>
      <c r="R1487" s="128">
        <v>210</v>
      </c>
      <c r="S1487" s="128">
        <v>49</v>
      </c>
      <c r="T1487" s="128">
        <v>54</v>
      </c>
      <c r="U1487" s="128">
        <v>529</v>
      </c>
      <c r="V1487" s="128" t="s">
        <v>1547</v>
      </c>
    </row>
    <row r="1488" spans="1:22" x14ac:dyDescent="0.35">
      <c r="A1488" s="118">
        <v>1487</v>
      </c>
      <c r="B1488" s="128" t="s">
        <v>171</v>
      </c>
      <c r="C1488" s="128" t="s">
        <v>306</v>
      </c>
      <c r="D1488" s="128" t="s">
        <v>6205</v>
      </c>
      <c r="E1488" s="128" t="s">
        <v>1237</v>
      </c>
      <c r="F1488" s="128">
        <v>2004</v>
      </c>
      <c r="G1488" s="128">
        <v>114</v>
      </c>
      <c r="H1488" s="128">
        <v>3</v>
      </c>
      <c r="I1488" s="128">
        <v>117</v>
      </c>
      <c r="J1488" s="128" t="s">
        <v>6188</v>
      </c>
      <c r="K1488" s="128">
        <v>93.978010714285702</v>
      </c>
      <c r="L1488" s="128" t="s">
        <v>2340</v>
      </c>
      <c r="M1488" s="128" t="s">
        <v>3233</v>
      </c>
      <c r="N1488" s="128" t="s">
        <v>6206</v>
      </c>
      <c r="O1488" s="128">
        <v>326</v>
      </c>
      <c r="P1488" s="128">
        <v>86</v>
      </c>
      <c r="Q1488" s="128">
        <v>60</v>
      </c>
      <c r="R1488" s="128">
        <v>123</v>
      </c>
      <c r="S1488" s="128">
        <v>23</v>
      </c>
      <c r="T1488" s="128">
        <v>39</v>
      </c>
      <c r="U1488" s="128">
        <v>331</v>
      </c>
      <c r="V1488" s="128" t="s">
        <v>2643</v>
      </c>
    </row>
    <row r="1489" spans="1:22" x14ac:dyDescent="0.35">
      <c r="A1489" s="118">
        <v>1488</v>
      </c>
      <c r="B1489" s="128" t="s">
        <v>171</v>
      </c>
      <c r="C1489" s="128" t="s">
        <v>306</v>
      </c>
      <c r="D1489" s="128" t="s">
        <v>2391</v>
      </c>
      <c r="E1489" s="128" t="s">
        <v>1235</v>
      </c>
      <c r="F1489" s="128">
        <v>2018</v>
      </c>
      <c r="G1489" s="128">
        <v>62</v>
      </c>
      <c r="H1489" s="128">
        <v>4</v>
      </c>
      <c r="I1489" s="128">
        <v>66</v>
      </c>
      <c r="J1489" s="128" t="s">
        <v>6188</v>
      </c>
      <c r="K1489" s="128">
        <v>87.654664285714261</v>
      </c>
      <c r="L1489" s="128" t="s">
        <v>6207</v>
      </c>
      <c r="M1489" s="128" t="s">
        <v>6208</v>
      </c>
      <c r="N1489" s="128" t="s">
        <v>6209</v>
      </c>
      <c r="O1489" s="128">
        <v>312</v>
      </c>
      <c r="P1489" s="128">
        <v>83</v>
      </c>
      <c r="Q1489" s="128">
        <v>56</v>
      </c>
      <c r="R1489" s="128">
        <v>117</v>
      </c>
      <c r="S1489" s="128">
        <v>21</v>
      </c>
      <c r="T1489" s="128">
        <v>37</v>
      </c>
      <c r="U1489" s="128">
        <v>314</v>
      </c>
      <c r="V1489" s="128" t="s">
        <v>2643</v>
      </c>
    </row>
    <row r="1490" spans="1:22" x14ac:dyDescent="0.35">
      <c r="A1490" s="118">
        <v>1489</v>
      </c>
      <c r="B1490" s="128" t="s">
        <v>171</v>
      </c>
      <c r="C1490" s="128" t="s">
        <v>306</v>
      </c>
      <c r="D1490" s="128" t="s">
        <v>2391</v>
      </c>
      <c r="E1490" s="128" t="s">
        <v>1236</v>
      </c>
      <c r="F1490" s="128">
        <v>2009</v>
      </c>
      <c r="G1490" s="128">
        <v>0</v>
      </c>
      <c r="H1490" s="128">
        <v>37</v>
      </c>
      <c r="I1490" s="128">
        <v>37</v>
      </c>
      <c r="J1490" s="128" t="s">
        <v>6012</v>
      </c>
      <c r="K1490" s="128">
        <v>0</v>
      </c>
      <c r="L1490" s="128" t="s">
        <v>5508</v>
      </c>
      <c r="M1490" s="128" t="s">
        <v>6210</v>
      </c>
      <c r="N1490" s="128" t="s">
        <v>6211</v>
      </c>
      <c r="O1490" s="128">
        <v>333</v>
      </c>
      <c r="P1490" s="128">
        <v>89</v>
      </c>
      <c r="Q1490" s="128">
        <v>65</v>
      </c>
      <c r="R1490" s="128">
        <v>122</v>
      </c>
      <c r="S1490" s="128">
        <v>23</v>
      </c>
      <c r="T1490" s="128">
        <v>41</v>
      </c>
      <c r="U1490" s="128">
        <v>340</v>
      </c>
      <c r="V1490" s="128" t="s">
        <v>2643</v>
      </c>
    </row>
    <row r="1491" spans="1:22" x14ac:dyDescent="0.35">
      <c r="A1491" s="118">
        <v>1490</v>
      </c>
      <c r="B1491" s="128" t="s">
        <v>171</v>
      </c>
      <c r="C1491" s="128" t="s">
        <v>303</v>
      </c>
      <c r="D1491" s="128" t="s">
        <v>2391</v>
      </c>
      <c r="E1491" s="128" t="s">
        <v>1224</v>
      </c>
      <c r="F1491" s="128">
        <v>2005</v>
      </c>
      <c r="G1491" s="128">
        <v>17</v>
      </c>
      <c r="H1491" s="128">
        <v>2</v>
      </c>
      <c r="I1491" s="128">
        <v>19</v>
      </c>
      <c r="J1491" s="128" t="s">
        <v>6212</v>
      </c>
      <c r="K1491" s="128">
        <v>10.25</v>
      </c>
      <c r="L1491" s="128" t="s">
        <v>6213</v>
      </c>
      <c r="M1491" s="128" t="s">
        <v>5735</v>
      </c>
      <c r="N1491" s="128" t="s">
        <v>6214</v>
      </c>
      <c r="O1491" s="128">
        <v>778</v>
      </c>
      <c r="P1491" s="128">
        <v>168</v>
      </c>
      <c r="Q1491" s="128">
        <v>124</v>
      </c>
      <c r="R1491" s="128">
        <v>318</v>
      </c>
      <c r="S1491" s="128">
        <v>90</v>
      </c>
      <c r="T1491" s="128">
        <v>91</v>
      </c>
      <c r="U1491" s="128">
        <v>790</v>
      </c>
      <c r="V1491" s="128" t="s">
        <v>2702</v>
      </c>
    </row>
    <row r="1492" spans="1:22" x14ac:dyDescent="0.35">
      <c r="A1492" s="118">
        <v>1491</v>
      </c>
      <c r="B1492" s="128" t="s">
        <v>171</v>
      </c>
      <c r="C1492" s="128" t="s">
        <v>303</v>
      </c>
      <c r="D1492" s="128" t="s">
        <v>2391</v>
      </c>
      <c r="E1492" s="128" t="s">
        <v>1223</v>
      </c>
      <c r="F1492" s="128">
        <v>2005</v>
      </c>
      <c r="G1492" s="128">
        <v>44</v>
      </c>
      <c r="H1492" s="128">
        <v>4</v>
      </c>
      <c r="I1492" s="128">
        <v>48</v>
      </c>
      <c r="J1492" s="128" t="s">
        <v>6212</v>
      </c>
      <c r="K1492" s="128">
        <v>11.3</v>
      </c>
      <c r="L1492" s="128" t="s">
        <v>6215</v>
      </c>
      <c r="M1492" s="128" t="s">
        <v>6216</v>
      </c>
      <c r="N1492" s="128" t="s">
        <v>6217</v>
      </c>
      <c r="O1492" s="128">
        <v>584</v>
      </c>
      <c r="P1492" s="128">
        <v>119</v>
      </c>
      <c r="Q1492" s="128">
        <v>109</v>
      </c>
      <c r="R1492" s="128">
        <v>246</v>
      </c>
      <c r="S1492" s="128">
        <v>59</v>
      </c>
      <c r="T1492" s="128">
        <v>61</v>
      </c>
      <c r="U1492" s="128">
        <v>594</v>
      </c>
      <c r="V1492" s="128" t="s">
        <v>1547</v>
      </c>
    </row>
    <row r="1493" spans="1:22" x14ac:dyDescent="0.35">
      <c r="A1493" s="118">
        <v>1492</v>
      </c>
      <c r="B1493" s="128" t="s">
        <v>171</v>
      </c>
      <c r="C1493" s="128" t="s">
        <v>303</v>
      </c>
      <c r="D1493" s="128" t="s">
        <v>4133</v>
      </c>
      <c r="E1493" s="128" t="s">
        <v>1204</v>
      </c>
      <c r="F1493" s="128">
        <v>2006</v>
      </c>
      <c r="G1493" s="128">
        <v>60</v>
      </c>
      <c r="H1493" s="128">
        <v>5</v>
      </c>
      <c r="I1493" s="128">
        <v>65</v>
      </c>
      <c r="J1493" s="128" t="s">
        <v>6212</v>
      </c>
      <c r="K1493" s="128">
        <v>11</v>
      </c>
      <c r="L1493" s="128" t="s">
        <v>3379</v>
      </c>
      <c r="M1493" s="128" t="s">
        <v>2401</v>
      </c>
      <c r="N1493" s="128" t="s">
        <v>6218</v>
      </c>
      <c r="O1493" s="128">
        <v>366</v>
      </c>
      <c r="P1493" s="128">
        <v>91</v>
      </c>
      <c r="Q1493" s="128">
        <v>71</v>
      </c>
      <c r="R1493" s="128">
        <v>145</v>
      </c>
      <c r="S1493" s="128">
        <v>33</v>
      </c>
      <c r="T1493" s="128">
        <v>45</v>
      </c>
      <c r="U1493" s="128">
        <v>385</v>
      </c>
      <c r="V1493" s="128" t="s">
        <v>2643</v>
      </c>
    </row>
    <row r="1494" spans="1:22" x14ac:dyDescent="0.35">
      <c r="A1494" s="118">
        <v>1493</v>
      </c>
      <c r="B1494" s="128" t="s">
        <v>171</v>
      </c>
      <c r="C1494" s="128" t="s">
        <v>303</v>
      </c>
      <c r="D1494" s="128" t="s">
        <v>2721</v>
      </c>
      <c r="E1494" s="128" t="s">
        <v>6219</v>
      </c>
      <c r="F1494" s="128">
        <v>2007</v>
      </c>
      <c r="G1494" s="128">
        <v>115</v>
      </c>
      <c r="H1494" s="128">
        <v>7</v>
      </c>
      <c r="I1494" s="128">
        <v>122</v>
      </c>
      <c r="J1494" s="128" t="s">
        <v>6212</v>
      </c>
      <c r="K1494" s="128">
        <v>9.1999999999999993</v>
      </c>
      <c r="L1494" s="128" t="s">
        <v>6220</v>
      </c>
      <c r="M1494" s="128" t="s">
        <v>6221</v>
      </c>
      <c r="N1494" s="128" t="s">
        <v>3836</v>
      </c>
      <c r="O1494" s="128">
        <v>485</v>
      </c>
      <c r="P1494" s="128">
        <v>107</v>
      </c>
      <c r="Q1494" s="128">
        <v>90</v>
      </c>
      <c r="R1494" s="128">
        <v>214</v>
      </c>
      <c r="S1494" s="128">
        <v>47</v>
      </c>
      <c r="T1494" s="128">
        <v>56</v>
      </c>
      <c r="U1494" s="128">
        <v>514</v>
      </c>
      <c r="V1494" s="128" t="s">
        <v>1547</v>
      </c>
    </row>
    <row r="1495" spans="1:22" x14ac:dyDescent="0.35">
      <c r="A1495" s="118">
        <v>1494</v>
      </c>
      <c r="B1495" s="128" t="s">
        <v>171</v>
      </c>
      <c r="C1495" s="128" t="s">
        <v>303</v>
      </c>
      <c r="D1495" s="128" t="s">
        <v>6222</v>
      </c>
      <c r="E1495" s="128" t="s">
        <v>1220</v>
      </c>
      <c r="F1495" s="128">
        <v>2006</v>
      </c>
      <c r="G1495" s="128">
        <v>148</v>
      </c>
      <c r="H1495" s="128">
        <v>10</v>
      </c>
      <c r="I1495" s="128">
        <v>158</v>
      </c>
      <c r="J1495" s="128" t="s">
        <v>6212</v>
      </c>
      <c r="K1495" s="128">
        <v>10.5</v>
      </c>
      <c r="L1495" s="128" t="s">
        <v>6223</v>
      </c>
      <c r="M1495" s="128" t="s">
        <v>6224</v>
      </c>
      <c r="N1495" s="128" t="s">
        <v>6213</v>
      </c>
      <c r="O1495" s="128">
        <v>523</v>
      </c>
      <c r="P1495" s="128">
        <v>110</v>
      </c>
      <c r="Q1495" s="128">
        <v>92</v>
      </c>
      <c r="R1495" s="128">
        <v>223</v>
      </c>
      <c r="S1495" s="128">
        <v>58</v>
      </c>
      <c r="T1495" s="128">
        <v>63</v>
      </c>
      <c r="U1495" s="128">
        <v>546</v>
      </c>
      <c r="V1495" s="128" t="s">
        <v>1547</v>
      </c>
    </row>
    <row r="1496" spans="1:22" x14ac:dyDescent="0.35">
      <c r="A1496" s="118">
        <v>1495</v>
      </c>
      <c r="B1496" s="128" t="s">
        <v>171</v>
      </c>
      <c r="C1496" s="128" t="s">
        <v>303</v>
      </c>
      <c r="D1496" s="128" t="s">
        <v>6225</v>
      </c>
      <c r="E1496" s="128" t="s">
        <v>1219</v>
      </c>
      <c r="F1496" s="128">
        <v>2007</v>
      </c>
      <c r="G1496" s="128">
        <v>140</v>
      </c>
      <c r="H1496" s="128">
        <v>9</v>
      </c>
      <c r="I1496" s="128">
        <v>149</v>
      </c>
      <c r="J1496" s="128" t="s">
        <v>6212</v>
      </c>
      <c r="K1496" s="128">
        <v>8.75</v>
      </c>
      <c r="L1496" s="128" t="s">
        <v>6226</v>
      </c>
      <c r="M1496" s="128" t="s">
        <v>6227</v>
      </c>
      <c r="N1496" s="128" t="s">
        <v>2486</v>
      </c>
      <c r="O1496" s="128">
        <v>361</v>
      </c>
      <c r="P1496" s="128">
        <v>86</v>
      </c>
      <c r="Q1496" s="128">
        <v>69</v>
      </c>
      <c r="R1496" s="128">
        <v>147</v>
      </c>
      <c r="S1496" s="128">
        <v>35</v>
      </c>
      <c r="T1496" s="128">
        <v>42</v>
      </c>
      <c r="U1496" s="128">
        <v>379</v>
      </c>
      <c r="V1496" s="128" t="s">
        <v>2643</v>
      </c>
    </row>
    <row r="1497" spans="1:22" x14ac:dyDescent="0.35">
      <c r="A1497" s="118">
        <v>1496</v>
      </c>
      <c r="B1497" s="128" t="s">
        <v>171</v>
      </c>
      <c r="C1497" s="128" t="s">
        <v>303</v>
      </c>
      <c r="D1497" s="128" t="s">
        <v>6228</v>
      </c>
      <c r="E1497" s="128" t="s">
        <v>1218</v>
      </c>
      <c r="F1497" s="128">
        <v>2005</v>
      </c>
      <c r="G1497" s="128">
        <v>151</v>
      </c>
      <c r="H1497" s="128">
        <v>5</v>
      </c>
      <c r="I1497" s="128">
        <v>156</v>
      </c>
      <c r="J1497" s="128" t="s">
        <v>6212</v>
      </c>
      <c r="K1497" s="128">
        <v>8</v>
      </c>
      <c r="L1497" s="128" t="s">
        <v>3843</v>
      </c>
      <c r="M1497" s="128" t="s">
        <v>3837</v>
      </c>
      <c r="N1497" s="128" t="s">
        <v>2786</v>
      </c>
      <c r="O1497" s="128">
        <v>345</v>
      </c>
      <c r="P1497" s="128">
        <v>90</v>
      </c>
      <c r="Q1497" s="128">
        <v>71</v>
      </c>
      <c r="R1497" s="128">
        <v>135</v>
      </c>
      <c r="S1497" s="128">
        <v>25</v>
      </c>
      <c r="T1497" s="128">
        <v>41</v>
      </c>
      <c r="U1497" s="128">
        <v>362</v>
      </c>
      <c r="V1497" s="128" t="s">
        <v>2643</v>
      </c>
    </row>
    <row r="1498" spans="1:22" x14ac:dyDescent="0.35">
      <c r="A1498" s="118">
        <v>1497</v>
      </c>
      <c r="B1498" s="128" t="s">
        <v>171</v>
      </c>
      <c r="C1498" s="128" t="s">
        <v>303</v>
      </c>
      <c r="D1498" s="128" t="s">
        <v>6229</v>
      </c>
      <c r="E1498" s="128" t="s">
        <v>1217</v>
      </c>
      <c r="F1498" s="128">
        <v>2007</v>
      </c>
      <c r="G1498" s="128">
        <v>201</v>
      </c>
      <c r="H1498" s="128">
        <v>20</v>
      </c>
      <c r="I1498" s="128">
        <v>221</v>
      </c>
      <c r="J1498" s="128" t="s">
        <v>6212</v>
      </c>
      <c r="K1498" s="128">
        <v>19.5</v>
      </c>
      <c r="L1498" s="128" t="s">
        <v>6230</v>
      </c>
      <c r="M1498" s="128" t="s">
        <v>2486</v>
      </c>
      <c r="N1498" s="128" t="s">
        <v>6231</v>
      </c>
      <c r="O1498" s="128">
        <v>410</v>
      </c>
      <c r="P1498" s="128">
        <v>91</v>
      </c>
      <c r="Q1498" s="128">
        <v>84</v>
      </c>
      <c r="R1498" s="128">
        <v>154</v>
      </c>
      <c r="S1498" s="128">
        <v>40</v>
      </c>
      <c r="T1498" s="128">
        <v>50</v>
      </c>
      <c r="U1498" s="128">
        <v>419</v>
      </c>
      <c r="V1498" s="128" t="s">
        <v>2643</v>
      </c>
    </row>
    <row r="1499" spans="1:22" x14ac:dyDescent="0.35">
      <c r="A1499" s="118">
        <v>1498</v>
      </c>
      <c r="B1499" s="128" t="s">
        <v>171</v>
      </c>
      <c r="C1499" s="128" t="s">
        <v>303</v>
      </c>
      <c r="D1499" s="128" t="s">
        <v>2721</v>
      </c>
      <c r="E1499" s="128" t="s">
        <v>1216</v>
      </c>
      <c r="F1499" s="128">
        <v>2007</v>
      </c>
      <c r="G1499" s="128">
        <v>89</v>
      </c>
      <c r="H1499" s="128">
        <v>3</v>
      </c>
      <c r="I1499" s="128">
        <v>92</v>
      </c>
      <c r="J1499" s="128" t="s">
        <v>6212</v>
      </c>
      <c r="K1499" s="128">
        <v>8.25</v>
      </c>
      <c r="L1499" s="128" t="s">
        <v>3768</v>
      </c>
      <c r="M1499" s="128" t="s">
        <v>6232</v>
      </c>
      <c r="N1499" s="128" t="s">
        <v>6233</v>
      </c>
      <c r="O1499" s="128">
        <v>540</v>
      </c>
      <c r="P1499" s="128">
        <v>121</v>
      </c>
      <c r="Q1499" s="128">
        <v>100</v>
      </c>
      <c r="R1499" s="128">
        <v>225</v>
      </c>
      <c r="S1499" s="128">
        <v>60</v>
      </c>
      <c r="T1499" s="128">
        <v>61</v>
      </c>
      <c r="U1499" s="128">
        <v>567</v>
      </c>
      <c r="V1499" s="128" t="s">
        <v>1547</v>
      </c>
    </row>
    <row r="1500" spans="1:22" x14ac:dyDescent="0.35">
      <c r="A1500" s="118">
        <v>1499</v>
      </c>
      <c r="B1500" s="128" t="s">
        <v>171</v>
      </c>
      <c r="C1500" s="128" t="s">
        <v>303</v>
      </c>
      <c r="D1500" s="128" t="s">
        <v>2391</v>
      </c>
      <c r="E1500" s="128" t="s">
        <v>1215</v>
      </c>
      <c r="F1500" s="128">
        <v>2018</v>
      </c>
      <c r="G1500" s="128">
        <v>74</v>
      </c>
      <c r="H1500" s="128">
        <v>6</v>
      </c>
      <c r="I1500" s="128">
        <v>80</v>
      </c>
      <c r="J1500" s="128" t="s">
        <v>6212</v>
      </c>
      <c r="K1500" s="128">
        <v>6.25</v>
      </c>
      <c r="L1500" s="128" t="s">
        <v>6234</v>
      </c>
      <c r="M1500" s="128" t="s">
        <v>6235</v>
      </c>
      <c r="N1500" s="128" t="s">
        <v>6236</v>
      </c>
      <c r="O1500" s="128">
        <v>412</v>
      </c>
      <c r="P1500" s="128">
        <v>106</v>
      </c>
      <c r="Q1500" s="128">
        <v>84</v>
      </c>
      <c r="R1500" s="128">
        <v>142</v>
      </c>
      <c r="S1500" s="128">
        <v>38</v>
      </c>
      <c r="T1500" s="128">
        <v>50</v>
      </c>
      <c r="U1500" s="128">
        <v>420</v>
      </c>
      <c r="V1500" s="128" t="s">
        <v>2643</v>
      </c>
    </row>
    <row r="1501" spans="1:22" x14ac:dyDescent="0.35">
      <c r="A1501" s="118">
        <v>1500</v>
      </c>
      <c r="B1501" s="128" t="s">
        <v>171</v>
      </c>
      <c r="C1501" s="128" t="s">
        <v>303</v>
      </c>
      <c r="D1501" s="128" t="s">
        <v>2391</v>
      </c>
      <c r="E1501" s="128" t="s">
        <v>1269</v>
      </c>
      <c r="F1501" s="128">
        <v>2019</v>
      </c>
      <c r="G1501" s="128">
        <v>0</v>
      </c>
      <c r="H1501" s="128">
        <v>30</v>
      </c>
      <c r="I1501" s="128">
        <v>30</v>
      </c>
      <c r="J1501" s="128" t="s">
        <v>6237</v>
      </c>
      <c r="K1501" s="128">
        <v>3.4</v>
      </c>
      <c r="L1501" s="128" t="s">
        <v>6238</v>
      </c>
      <c r="M1501" s="128" t="s">
        <v>6239</v>
      </c>
      <c r="N1501" s="128" t="s">
        <v>6240</v>
      </c>
      <c r="O1501" s="128">
        <v>193</v>
      </c>
      <c r="P1501" s="128">
        <v>38</v>
      </c>
      <c r="Q1501" s="128">
        <v>37</v>
      </c>
      <c r="R1501" s="128">
        <v>57</v>
      </c>
      <c r="S1501" s="128">
        <v>47</v>
      </c>
      <c r="T1501" s="128">
        <v>32</v>
      </c>
      <c r="U1501" s="128">
        <v>211</v>
      </c>
      <c r="V1501" s="128" t="s">
        <v>3122</v>
      </c>
    </row>
  </sheetData>
  <sortState xmlns:xlrd2="http://schemas.microsoft.com/office/spreadsheetml/2017/richdata2" ref="A2:W1501">
    <sortCondition ref="A2:A1501"/>
  </sortState>
  <conditionalFormatting sqref="E1:E1048576">
    <cfRule type="duplicateValues" dxfId="1" priority="1"/>
  </conditionalFormatting>
  <conditionalFormatting sqref="E2">
    <cfRule type="duplicateValues" dxfId="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8762-27E4-48AB-9540-26291310D096}">
  <sheetPr>
    <tabColor rgb="FFFFC000"/>
  </sheetPr>
  <dimension ref="B1:H64"/>
  <sheetViews>
    <sheetView showGridLines="0" tabSelected="1" zoomScaleNormal="100" workbookViewId="0">
      <selection activeCell="D6" sqref="D6:H6"/>
    </sheetView>
  </sheetViews>
  <sheetFormatPr defaultRowHeight="14.5" x14ac:dyDescent="0.35"/>
  <cols>
    <col min="1" max="1" width="5.7265625" customWidth="1"/>
    <col min="2" max="2" width="27.81640625" customWidth="1"/>
    <col min="3" max="3" width="2.36328125" style="5" customWidth="1"/>
    <col min="4" max="5" width="25.6328125" customWidth="1"/>
    <col min="6" max="6" width="10.453125" customWidth="1"/>
    <col min="7" max="8" width="16.08984375" style="5" customWidth="1"/>
  </cols>
  <sheetData>
    <row r="1" spans="2:8" ht="15.5" thickTop="1" thickBot="1" x14ac:dyDescent="0.4">
      <c r="B1" s="42"/>
      <c r="C1" s="43"/>
      <c r="D1" s="44"/>
      <c r="E1" s="44"/>
      <c r="F1" s="44"/>
      <c r="G1" s="43"/>
      <c r="H1" s="45"/>
    </row>
    <row r="2" spans="2:8" ht="20" customHeight="1" thickTop="1" thickBot="1" x14ac:dyDescent="0.4">
      <c r="B2" s="39" t="s">
        <v>162</v>
      </c>
      <c r="C2" s="40" t="s">
        <v>1374</v>
      </c>
      <c r="D2" s="152" t="s">
        <v>163</v>
      </c>
      <c r="E2" s="152"/>
      <c r="F2" s="152"/>
      <c r="G2" s="152"/>
      <c r="H2" s="153"/>
    </row>
    <row r="3" spans="2:8" ht="2" customHeight="1" thickTop="1" thickBot="1" x14ac:dyDescent="0.4">
      <c r="B3" s="46"/>
      <c r="C3" s="47"/>
      <c r="D3" s="48"/>
      <c r="E3" s="48"/>
      <c r="F3" s="48"/>
      <c r="G3" s="47"/>
      <c r="H3" s="49"/>
    </row>
    <row r="4" spans="2:8" s="10" customFormat="1" ht="20" customHeight="1" thickTop="1" thickBot="1" x14ac:dyDescent="0.4">
      <c r="B4" s="39" t="s">
        <v>1375</v>
      </c>
      <c r="C4" s="40" t="s">
        <v>1374</v>
      </c>
      <c r="D4" s="152" t="s">
        <v>200</v>
      </c>
      <c r="E4" s="152"/>
      <c r="F4" s="152"/>
      <c r="G4" s="152"/>
      <c r="H4" s="153"/>
    </row>
    <row r="5" spans="2:8" ht="2" customHeight="1" thickTop="1" thickBot="1" x14ac:dyDescent="0.4">
      <c r="B5" s="46"/>
      <c r="C5" s="47"/>
      <c r="D5" s="50"/>
      <c r="E5" s="50"/>
      <c r="F5" s="50"/>
      <c r="G5" s="47"/>
      <c r="H5" s="49"/>
    </row>
    <row r="6" spans="2:8" s="10" customFormat="1" ht="20" customHeight="1" thickTop="1" thickBot="1" x14ac:dyDescent="0.4">
      <c r="B6" s="39" t="s">
        <v>1376</v>
      </c>
      <c r="C6" s="40" t="s">
        <v>1374</v>
      </c>
      <c r="D6" s="152" t="s">
        <v>419</v>
      </c>
      <c r="E6" s="152"/>
      <c r="F6" s="152"/>
      <c r="G6" s="152"/>
      <c r="H6" s="153"/>
    </row>
    <row r="7" spans="2:8" ht="15" thickTop="1" x14ac:dyDescent="0.35">
      <c r="B7" s="46"/>
      <c r="C7" s="47"/>
      <c r="D7" s="48"/>
      <c r="E7" s="48"/>
      <c r="F7" s="48"/>
      <c r="G7" s="47"/>
      <c r="H7" s="49"/>
    </row>
    <row r="8" spans="2:8" ht="2.5" customHeight="1" x14ac:dyDescent="0.35">
      <c r="B8" s="51"/>
      <c r="C8" s="52"/>
      <c r="D8" s="53"/>
      <c r="E8" s="53"/>
      <c r="F8" s="53"/>
      <c r="G8" s="52"/>
      <c r="H8" s="54"/>
    </row>
    <row r="9" spans="2:8" ht="6" customHeight="1" x14ac:dyDescent="0.35">
      <c r="B9" s="55"/>
      <c r="C9" s="56"/>
      <c r="D9" s="57"/>
      <c r="E9" s="57"/>
      <c r="F9" s="57"/>
      <c r="G9" s="56"/>
      <c r="H9" s="58"/>
    </row>
    <row r="10" spans="2:8" x14ac:dyDescent="0.35">
      <c r="B10" s="59" t="s">
        <v>1476</v>
      </c>
      <c r="C10" s="56"/>
      <c r="D10" s="57" t="s">
        <v>1483</v>
      </c>
      <c r="E10" s="57"/>
      <c r="F10" s="57"/>
      <c r="G10" s="56"/>
      <c r="H10" s="58"/>
    </row>
    <row r="11" spans="2:8" x14ac:dyDescent="0.35">
      <c r="B11" s="59" t="s">
        <v>1477</v>
      </c>
      <c r="C11" s="56"/>
      <c r="D11" s="57" t="s">
        <v>1483</v>
      </c>
      <c r="E11" s="57"/>
      <c r="F11" s="57"/>
      <c r="G11" s="56"/>
      <c r="H11" s="58"/>
    </row>
    <row r="12" spans="2:8" x14ac:dyDescent="0.35">
      <c r="B12" s="59" t="s">
        <v>1478</v>
      </c>
      <c r="C12" s="56"/>
      <c r="D12" s="57" t="s">
        <v>1483</v>
      </c>
      <c r="E12" s="57"/>
      <c r="F12" s="57"/>
      <c r="G12" s="56"/>
      <c r="H12" s="58"/>
    </row>
    <row r="13" spans="2:8" x14ac:dyDescent="0.35">
      <c r="B13" s="59" t="s">
        <v>1479</v>
      </c>
      <c r="C13" s="56"/>
      <c r="D13" s="57" t="s">
        <v>1483</v>
      </c>
      <c r="E13" s="57"/>
      <c r="F13" s="57"/>
      <c r="G13" s="56"/>
      <c r="H13" s="58"/>
    </row>
    <row r="14" spans="2:8" x14ac:dyDescent="0.35">
      <c r="B14" s="59" t="s">
        <v>1480</v>
      </c>
      <c r="C14" s="56"/>
      <c r="D14" s="57" t="s">
        <v>1483</v>
      </c>
      <c r="E14" s="57"/>
      <c r="F14" s="57"/>
      <c r="G14" s="56"/>
      <c r="H14" s="58"/>
    </row>
    <row r="15" spans="2:8" x14ac:dyDescent="0.35">
      <c r="B15" s="59" t="s">
        <v>1481</v>
      </c>
      <c r="C15" s="56"/>
      <c r="D15" s="57" t="s">
        <v>1483</v>
      </c>
      <c r="E15" s="57"/>
      <c r="F15" s="57"/>
      <c r="G15" s="56"/>
      <c r="H15" s="58"/>
    </row>
    <row r="16" spans="2:8" x14ac:dyDescent="0.35">
      <c r="B16" s="59" t="s">
        <v>1482</v>
      </c>
      <c r="C16" s="56">
        <v>1</v>
      </c>
      <c r="D16" s="57" t="s">
        <v>1483</v>
      </c>
      <c r="E16" s="57"/>
      <c r="F16" s="57" t="s">
        <v>1485</v>
      </c>
      <c r="G16" s="56" t="s">
        <v>1484</v>
      </c>
      <c r="H16" s="58"/>
    </row>
    <row r="17" spans="2:8" x14ac:dyDescent="0.35">
      <c r="B17" s="55"/>
      <c r="C17" s="56">
        <v>2</v>
      </c>
      <c r="D17" s="57" t="s">
        <v>1483</v>
      </c>
      <c r="E17" s="57"/>
      <c r="F17" s="57" t="s">
        <v>1485</v>
      </c>
      <c r="G17" s="56" t="s">
        <v>1484</v>
      </c>
      <c r="H17" s="58"/>
    </row>
    <row r="18" spans="2:8" x14ac:dyDescent="0.35">
      <c r="B18" s="55"/>
      <c r="C18" s="56">
        <v>3</v>
      </c>
      <c r="D18" s="57" t="s">
        <v>1483</v>
      </c>
      <c r="E18" s="57"/>
      <c r="F18" s="57" t="s">
        <v>1485</v>
      </c>
      <c r="G18" s="56" t="s">
        <v>1484</v>
      </c>
      <c r="H18" s="58"/>
    </row>
    <row r="19" spans="2:8" x14ac:dyDescent="0.35">
      <c r="B19" s="55"/>
      <c r="C19" s="56">
        <v>4</v>
      </c>
      <c r="D19" s="57" t="s">
        <v>1483</v>
      </c>
      <c r="E19" s="57"/>
      <c r="F19" s="57" t="s">
        <v>1485</v>
      </c>
      <c r="G19" s="56" t="s">
        <v>1484</v>
      </c>
      <c r="H19" s="58"/>
    </row>
    <row r="20" spans="2:8" x14ac:dyDescent="0.35">
      <c r="B20" s="55"/>
      <c r="C20" s="56">
        <v>5</v>
      </c>
      <c r="D20" s="57" t="s">
        <v>1483</v>
      </c>
      <c r="E20" s="57"/>
      <c r="F20" s="57" t="s">
        <v>1485</v>
      </c>
      <c r="G20" s="56" t="s">
        <v>1484</v>
      </c>
      <c r="H20" s="58"/>
    </row>
    <row r="21" spans="2:8" ht="6" customHeight="1" x14ac:dyDescent="0.35">
      <c r="B21" s="55"/>
      <c r="C21" s="56"/>
      <c r="D21" s="57"/>
      <c r="E21" s="57"/>
      <c r="F21" s="57"/>
      <c r="G21" s="56"/>
      <c r="H21" s="58"/>
    </row>
    <row r="22" spans="2:8" ht="2.5" customHeight="1" x14ac:dyDescent="0.35">
      <c r="B22" s="51"/>
      <c r="C22" s="52"/>
      <c r="D22" s="53"/>
      <c r="E22" s="53"/>
      <c r="F22" s="53"/>
      <c r="G22" s="52"/>
      <c r="H22" s="54"/>
    </row>
    <row r="23" spans="2:8" ht="6" customHeight="1" x14ac:dyDescent="0.35">
      <c r="B23" s="90"/>
      <c r="C23" s="91"/>
      <c r="D23" s="92"/>
      <c r="E23" s="92"/>
      <c r="F23" s="92"/>
      <c r="G23" s="91"/>
      <c r="H23" s="93"/>
    </row>
    <row r="24" spans="2:8" x14ac:dyDescent="0.35">
      <c r="B24" s="154" t="s">
        <v>1377</v>
      </c>
      <c r="C24" s="155"/>
      <c r="D24" s="155"/>
      <c r="E24" s="155"/>
      <c r="F24" s="155"/>
      <c r="G24" s="155"/>
      <c r="H24" s="156"/>
    </row>
    <row r="25" spans="2:8" ht="2" customHeight="1" x14ac:dyDescent="0.35">
      <c r="B25" s="90"/>
      <c r="C25" s="91"/>
      <c r="D25" s="92"/>
      <c r="E25" s="92"/>
      <c r="F25" s="92"/>
      <c r="G25" s="91"/>
      <c r="H25" s="93"/>
    </row>
    <row r="26" spans="2:8" ht="6" customHeight="1" thickBot="1" x14ac:dyDescent="0.4">
      <c r="B26" s="90"/>
      <c r="C26" s="91"/>
      <c r="D26" s="92"/>
      <c r="E26" s="92"/>
      <c r="F26" s="92"/>
      <c r="G26" s="91"/>
      <c r="H26" s="93"/>
    </row>
    <row r="27" spans="2:8" s="10" customFormat="1" ht="18" customHeight="1" thickTop="1" thickBot="1" x14ac:dyDescent="0.4">
      <c r="B27" s="94" t="s">
        <v>1378</v>
      </c>
      <c r="C27" s="95" t="s">
        <v>1374</v>
      </c>
      <c r="D27" s="140" t="str">
        <f t="array" ref="D27">INDEX(Sheet1!V2:V1501,MATCH(Instrumen!D2:H2&amp;Instrumen!D4:H4&amp;Instrumen!D6:H6,Sheet1!B2:B1501&amp;Sheet1!C2:C1501&amp;Sheet1!E2:E1501,0))</f>
        <v>MADYA</v>
      </c>
      <c r="E27" s="97"/>
      <c r="F27" s="97"/>
      <c r="G27" s="98"/>
      <c r="H27" s="99"/>
    </row>
    <row r="28" spans="2:8" ht="2" customHeight="1" thickTop="1" thickBot="1" x14ac:dyDescent="0.4">
      <c r="B28" s="100"/>
      <c r="C28" s="101"/>
      <c r="D28" s="102"/>
      <c r="E28" s="102"/>
      <c r="F28" s="102"/>
      <c r="G28" s="91"/>
      <c r="H28" s="93"/>
    </row>
    <row r="29" spans="2:8" ht="18" customHeight="1" thickTop="1" thickBot="1" x14ac:dyDescent="0.4">
      <c r="B29" s="103" t="s">
        <v>1379</v>
      </c>
      <c r="C29" s="95" t="s">
        <v>1374</v>
      </c>
      <c r="D29" s="140">
        <f t="array" ref="D29">INDEX(Sheet1!U2:U1501,MATCH(Instrumen!D2:H2&amp;Instrumen!D4:H4&amp;Instrumen!D6:H6,Sheet1!B2:B1501&amp;Sheet1!C2:C1501&amp;Sheet1!E2:E1501,0))</f>
        <v>569</v>
      </c>
      <c r="E29" s="143" t="str">
        <f>IF(D29=G61," ","Capaian nilai belum sama dengan nilai lama")</f>
        <v>Capaian nilai belum sama dengan nilai lama</v>
      </c>
      <c r="F29" s="106"/>
      <c r="G29" s="107"/>
      <c r="H29" s="93"/>
    </row>
    <row r="30" spans="2:8" ht="6" customHeight="1" thickTop="1" x14ac:dyDescent="0.35">
      <c r="B30" s="90"/>
      <c r="C30" s="91"/>
      <c r="D30" s="92"/>
      <c r="E30" s="92"/>
      <c r="F30" s="92"/>
      <c r="G30" s="91"/>
      <c r="H30" s="93"/>
    </row>
    <row r="31" spans="2:8" ht="2" customHeight="1" x14ac:dyDescent="0.35">
      <c r="B31" s="51"/>
      <c r="C31" s="52"/>
      <c r="D31" s="53"/>
      <c r="E31" s="53"/>
      <c r="F31" s="53"/>
      <c r="G31" s="52"/>
      <c r="H31" s="54"/>
    </row>
    <row r="32" spans="2:8" ht="6" customHeight="1" x14ac:dyDescent="0.35">
      <c r="B32" s="108"/>
      <c r="C32" s="109"/>
      <c r="D32" s="110"/>
      <c r="E32" s="110"/>
      <c r="F32" s="110"/>
      <c r="G32" s="109"/>
      <c r="H32" s="111"/>
    </row>
    <row r="33" spans="2:8" ht="21" x14ac:dyDescent="0.5">
      <c r="B33" s="157" t="s">
        <v>1380</v>
      </c>
      <c r="C33" s="158"/>
      <c r="D33" s="158"/>
      <c r="E33" s="158"/>
      <c r="F33" s="158"/>
      <c r="G33" s="158"/>
      <c r="H33" s="159"/>
    </row>
    <row r="34" spans="2:8" ht="6" customHeight="1" x14ac:dyDescent="0.35">
      <c r="B34" s="108"/>
      <c r="C34" s="109"/>
      <c r="D34" s="110"/>
      <c r="E34" s="110"/>
      <c r="F34" s="110"/>
      <c r="G34" s="109"/>
      <c r="H34" s="111"/>
    </row>
    <row r="35" spans="2:8" ht="29" customHeight="1" x14ac:dyDescent="0.35">
      <c r="B35" s="112" t="s">
        <v>1381</v>
      </c>
      <c r="C35" s="160" t="s">
        <v>1468</v>
      </c>
      <c r="D35" s="161"/>
      <c r="E35" s="161"/>
      <c r="F35" s="115" t="s">
        <v>1471</v>
      </c>
      <c r="G35" s="113" t="s">
        <v>1469</v>
      </c>
      <c r="H35" s="114" t="s">
        <v>1470</v>
      </c>
    </row>
    <row r="36" spans="2:8" ht="2" customHeight="1" x14ac:dyDescent="0.35">
      <c r="B36" s="64"/>
      <c r="H36" s="61"/>
    </row>
    <row r="37" spans="2:8" s="10" customFormat="1" ht="30" customHeight="1" x14ac:dyDescent="0.35">
      <c r="B37" s="146" t="s">
        <v>1382</v>
      </c>
      <c r="C37" s="34">
        <v>1</v>
      </c>
      <c r="D37" s="18" t="s">
        <v>1403</v>
      </c>
      <c r="E37" s="75" t="str">
        <f>IF($D$27="Pemula",'Data Kriteria Indikator'!B2,IF($D$27="Lanjut",'Data Kriteria Indikator'!C2,IF($D$27="Madya",'Data Kriteria Indikator'!D2,IF($D$27="Utama",'Data Kriteria Indikator'!E2))))</f>
        <v>Ada rencana belajar tertulis, melibatkan petani atau poktan Lain</v>
      </c>
      <c r="F37" s="81" t="str">
        <f>IF($D$27="Pemula","0-15",IF($D$27="Lanjut","15-25",IF($D$27="Madya","26-35","36-50")))</f>
        <v>26-35</v>
      </c>
      <c r="G37" s="141"/>
      <c r="H37" s="142"/>
    </row>
    <row r="38" spans="2:8" s="10" customFormat="1" ht="2" customHeight="1" x14ac:dyDescent="0.35">
      <c r="B38" s="146"/>
      <c r="C38" s="24"/>
      <c r="D38" s="25"/>
      <c r="E38" s="41"/>
      <c r="F38" s="41"/>
      <c r="G38" s="62"/>
      <c r="H38" s="63"/>
    </row>
    <row r="39" spans="2:8" s="10" customFormat="1" ht="30" customHeight="1" x14ac:dyDescent="0.35">
      <c r="B39" s="146"/>
      <c r="C39" s="34">
        <v>2</v>
      </c>
      <c r="D39" s="18" t="s">
        <v>1408</v>
      </c>
      <c r="E39" s="75" t="str">
        <f>IF($D$27="Pemula",'Data Kriteria Indikator'!B3,IF($D$27="Lanjut",'Data Kriteria Indikator'!C3,IF($D$27="Madya",'Data Kriteria Indikator'!D3,IF($D$27="Utama",'Data Kriteria Indikator'!E3))))</f>
        <v>Ada rencana usaha bersama tertulis, ada jejaring</v>
      </c>
      <c r="F39" s="81" t="str">
        <f>IF($D$27="Pemula","0-50",IF($D$27="Lanjut","51-75",IF($D$27="Madya","76-100","101-150")))</f>
        <v>76-100</v>
      </c>
      <c r="G39" s="141"/>
      <c r="H39" s="142"/>
    </row>
    <row r="40" spans="2:8" ht="2" customHeight="1" x14ac:dyDescent="0.35">
      <c r="B40" s="60"/>
      <c r="C40" s="26"/>
      <c r="D40" s="27"/>
      <c r="H40" s="61"/>
    </row>
    <row r="41" spans="2:8" s="10" customFormat="1" ht="30" customHeight="1" x14ac:dyDescent="0.35">
      <c r="B41" s="147" t="s">
        <v>1399</v>
      </c>
      <c r="C41" s="29">
        <v>1</v>
      </c>
      <c r="D41" s="19" t="s">
        <v>1404</v>
      </c>
      <c r="E41" s="76" t="str">
        <f>IF($D$27="Pemula",'Data Kriteria Indikator'!B4,IF($D$27="Lanjut",'Data Kriteria Indikator'!C4,IF($D$27="Madya",'Data Kriteria Indikator'!D4,IF($D$27="Utama",'Data Kriteria Indikator'!E4))))</f>
        <v>Kompleks, ada pembagian tugas</v>
      </c>
      <c r="F41" s="82" t="str">
        <f>IF($D$27="Pemula","0-10",IF($D$27="Lanjut","11-15",IF($D$27="Madya","16-20","21-25")))</f>
        <v>16-20</v>
      </c>
      <c r="G41" s="144"/>
      <c r="H41" s="145"/>
    </row>
    <row r="42" spans="2:8" s="10" customFormat="1" ht="2" customHeight="1" x14ac:dyDescent="0.35">
      <c r="B42" s="147"/>
      <c r="C42" s="28"/>
      <c r="D42" s="25"/>
      <c r="E42" s="41"/>
      <c r="F42" s="67"/>
      <c r="G42" s="62"/>
      <c r="H42" s="63"/>
    </row>
    <row r="43" spans="2:8" s="10" customFormat="1" ht="30" customHeight="1" x14ac:dyDescent="0.35">
      <c r="B43" s="147"/>
      <c r="C43" s="29">
        <v>2</v>
      </c>
      <c r="D43" s="19" t="s">
        <v>1409</v>
      </c>
      <c r="E43" s="76" t="str">
        <f>IF($D$27="Pemula",'Data Kriteria Indikator'!B5,IF($D$27="Lanjut",'Data Kriteria Indikator'!C5,IF($D$27="Madya",'Data Kriteria Indikator'!D5,IF($D$27="Utama",'Data Kriteria Indikator'!E5))))</f>
        <v>Ada aturan dan norma tertulis, dilaksanakan</v>
      </c>
      <c r="F43" s="82" t="str">
        <f>IF($D$27="Pemula","0-10",IF($D$27="Lanjut","11-15",IF($D$27="Madya","16-20","21-25")))</f>
        <v>16-20</v>
      </c>
      <c r="G43" s="20"/>
      <c r="H43" s="66"/>
    </row>
    <row r="44" spans="2:8" s="10" customFormat="1" ht="2" customHeight="1" x14ac:dyDescent="0.35">
      <c r="B44" s="147"/>
      <c r="C44" s="28"/>
      <c r="D44" s="25"/>
      <c r="E44" s="41"/>
      <c r="F44" s="67"/>
      <c r="G44" s="62"/>
      <c r="H44" s="63"/>
    </row>
    <row r="45" spans="2:8" s="10" customFormat="1" ht="40" customHeight="1" x14ac:dyDescent="0.35">
      <c r="B45" s="147"/>
      <c r="C45" s="29">
        <v>3</v>
      </c>
      <c r="D45" s="19" t="s">
        <v>1411</v>
      </c>
      <c r="E45" s="76" t="str">
        <f>IF($D$27="Pemula",'Data Kriteria Indikator'!B6,IF($D$27="Lanjut",'Data Kriteria Indikator'!C6,IF($D$27="Madya",'Data Kriteria Indikator'!D6,IF($D$27="Utama",'Data Kriteria Indikator'!E6))))</f>
        <v>Administrasi pembukuan lebih lengkap dan terisi dengan tertib meliputi : 8 Buku (Buku Anggota, Buku Tamu, Buku Kegiatan, Daftar Hadir, Notulen, Buku Kas, Buku Iuran, Buku Inventaris)</v>
      </c>
      <c r="F45" s="82" t="str">
        <f>IF($D$27="Pemula","0-25",IF($D$27="Lanjut","26-50",IF($D$27="Madya","51-75","76-100")))</f>
        <v>51-75</v>
      </c>
      <c r="G45" s="20"/>
      <c r="H45" s="66"/>
    </row>
    <row r="46" spans="2:8" ht="2" customHeight="1" x14ac:dyDescent="0.35">
      <c r="B46" s="60"/>
      <c r="C46" s="26"/>
      <c r="D46" s="27"/>
      <c r="H46" s="61"/>
    </row>
    <row r="47" spans="2:8" s="10" customFormat="1" ht="30" customHeight="1" x14ac:dyDescent="0.35">
      <c r="B47" s="148" t="s">
        <v>1400</v>
      </c>
      <c r="C47" s="30">
        <v>1</v>
      </c>
      <c r="D47" s="35" t="s">
        <v>1405</v>
      </c>
      <c r="E47" s="77" t="str">
        <f>IF($D$27="Pemula",'Data Kriteria Indikator'!B7,IF($D$27="Lanjut",'Data Kriteria Indikator'!C7,IF($D$27="Madya",'Data Kriteria Indikator'!D7,IF($D$27="Utama",'Data Kriteria Indikator'!E7))))</f>
        <v>Pertemuan rutin setiap bulan/selapanan, rata-rata kehadiran anggota &gt; 75% anggota, materi usaha hulu-hilir, setiap pertemuan belum ada notulen</v>
      </c>
      <c r="F47" s="83" t="str">
        <f>IF($D$27="Pemula","0-10",IF($D$27="Lanjut","11-15",IF($D$27="Madya","21-30","31-40")))</f>
        <v>21-30</v>
      </c>
      <c r="G47" s="38"/>
      <c r="H47" s="68"/>
    </row>
    <row r="48" spans="2:8" s="10" customFormat="1" ht="2" customHeight="1" x14ac:dyDescent="0.35">
      <c r="B48" s="148"/>
      <c r="C48" s="62"/>
      <c r="D48" s="41"/>
      <c r="E48" s="41"/>
      <c r="F48" s="41"/>
      <c r="G48" s="62"/>
      <c r="H48" s="63"/>
    </row>
    <row r="49" spans="2:8" s="10" customFormat="1" ht="30" customHeight="1" x14ac:dyDescent="0.35">
      <c r="B49" s="148"/>
      <c r="C49" s="30">
        <v>2</v>
      </c>
      <c r="D49" s="35" t="s">
        <v>1410</v>
      </c>
      <c r="E49" s="77" t="str">
        <f>IF($D$27="Pemula",'Data Kriteria Indikator'!B8,IF($D$27="Lanjut",'Data Kriteria Indikator'!C8,IF($D$27="Madya",'Data Kriteria Indikator'!D8,IF($D$27="Utama",'Data Kriteria Indikator'!E8))))</f>
        <v>Melaksanakan belajar dengan melibatkan unsur dari dalam poktan dan petani/poktan lain</v>
      </c>
      <c r="F49" s="83" t="str">
        <f>IF($D$27="Pemula","0-15",IF($D$27="Lanjut","16-25",IF($D$27="Madya","26-35","36-50")))</f>
        <v>26-35</v>
      </c>
      <c r="G49" s="38"/>
      <c r="H49" s="68"/>
    </row>
    <row r="50" spans="2:8" s="10" customFormat="1" ht="2" customHeight="1" x14ac:dyDescent="0.35">
      <c r="B50" s="148"/>
      <c r="C50" s="62"/>
      <c r="D50" s="31"/>
      <c r="E50" s="41"/>
      <c r="F50" s="41"/>
      <c r="G50" s="62"/>
      <c r="H50" s="63"/>
    </row>
    <row r="51" spans="2:8" s="10" customFormat="1" ht="30" customHeight="1" x14ac:dyDescent="0.35">
      <c r="B51" s="148"/>
      <c r="C51" s="30">
        <v>3</v>
      </c>
      <c r="D51" s="35" t="s">
        <v>1412</v>
      </c>
      <c r="E51" s="77" t="str">
        <f>IF($D$27="Pemula",'Data Kriteria Indikator'!B9,IF($D$27="Lanjut",'Data Kriteria Indikator'!C9,IF($D$27="Madya",'Data Kriteria Indikator'!D9,IF($D$27="Utama",'Data Kriteria Indikator'!E9))))</f>
        <v>Melaksanakan usaha bersama kelompok yang berorientasi pasar, terintegrasi dan sudah menjalin kerjasama/jejaring usaha (bukan bantuan/program)</v>
      </c>
      <c r="F51" s="83" t="str">
        <f>IF($D$27="Pemula","0-50",IF($D$27="Lanjut","51-100",IF($D$27="Madya","101-150","151-200")))</f>
        <v>101-150</v>
      </c>
      <c r="G51" s="38"/>
      <c r="H51" s="68"/>
    </row>
    <row r="52" spans="2:8" s="10" customFormat="1" ht="2" customHeight="1" x14ac:dyDescent="0.35">
      <c r="B52" s="148"/>
      <c r="C52" s="62"/>
      <c r="D52" s="31"/>
      <c r="E52" s="78"/>
      <c r="F52" s="41"/>
      <c r="G52" s="62"/>
      <c r="H52" s="63"/>
    </row>
    <row r="53" spans="2:8" s="10" customFormat="1" ht="30" customHeight="1" x14ac:dyDescent="0.35">
      <c r="B53" s="148"/>
      <c r="C53" s="30">
        <v>4</v>
      </c>
      <c r="D53" s="35" t="s">
        <v>1413</v>
      </c>
      <c r="E53" s="77" t="str">
        <f>IF($D$27="Pemula",'Data Kriteria Indikator'!B10,IF($D$27="Lanjut",'Data Kriteria Indikator'!C10,IF($D$27="Madya",'Data Kriteria Indikator'!D10,IF($D$27="Utama",'Data Kriteria Indikator'!E10))))</f>
        <v>Ada pemupukan modal dari anggota, penyisihan hasil usaha kelompok dan dari lembaga keuangan</v>
      </c>
      <c r="F53" s="83" t="str">
        <f>IF($D$27="Pemula","0-10",IF($D$27="Lanjut","11-20",IF($D$27="Madya","26-35","31-50")))</f>
        <v>26-35</v>
      </c>
      <c r="G53" s="38"/>
      <c r="H53" s="68"/>
    </row>
    <row r="54" spans="2:8" s="10" customFormat="1" ht="2" customHeight="1" x14ac:dyDescent="0.35">
      <c r="B54" s="148"/>
      <c r="C54" s="62"/>
      <c r="D54" s="31"/>
      <c r="E54" s="41"/>
      <c r="F54" s="41"/>
      <c r="G54" s="62"/>
      <c r="H54" s="63"/>
    </row>
    <row r="55" spans="2:8" s="10" customFormat="1" ht="30" customHeight="1" x14ac:dyDescent="0.35">
      <c r="B55" s="148"/>
      <c r="C55" s="30">
        <v>5</v>
      </c>
      <c r="D55" s="35" t="s">
        <v>1414</v>
      </c>
      <c r="E55" s="77" t="str">
        <f>IF($D$27="Pemula",'Data Kriteria Indikator'!B11,IF($D$27="Lanjut",'Data Kriteria Indikator'!C11,IF($D$27="Madya",'Data Kriteria Indikator'!D11,IF($D$27="Utama",'Data Kriteria Indikator'!E11))))</f>
        <v>Pelayanan informasi dan teknologi bersumber dari berbagai sumber berbasis IT untuk anggota</v>
      </c>
      <c r="F55" s="83" t="str">
        <f>IF($D$27="Pemula","0-10",IF($D$27="Lanjut","11-20",IF($D$27="Madya","21-45","46-60")))</f>
        <v>21-45</v>
      </c>
      <c r="G55" s="38"/>
      <c r="H55" s="68"/>
    </row>
    <row r="56" spans="2:8" s="10" customFormat="1" ht="2" customHeight="1" x14ac:dyDescent="0.35">
      <c r="B56" s="69"/>
      <c r="C56" s="62"/>
      <c r="D56" s="41"/>
      <c r="E56" s="41"/>
      <c r="F56" s="41"/>
      <c r="G56" s="62"/>
      <c r="H56" s="63"/>
    </row>
    <row r="57" spans="2:8" s="10" customFormat="1" ht="40" customHeight="1" x14ac:dyDescent="0.35">
      <c r="B57" s="70" t="s">
        <v>1466</v>
      </c>
      <c r="C57" s="32">
        <v>1</v>
      </c>
      <c r="D57" s="21" t="s">
        <v>1406</v>
      </c>
      <c r="E57" s="79" t="str">
        <f>IF($D$27="Pemula",'Data Kriteria Indikator'!B12,IF($D$27="Lanjut",'Data Kriteria Indikator'!C12,IF($D$27="Madya",'Data Kriteria Indikator'!D12,IF($D$27="Utama",'Data Kriteria Indikator'!E12))))</f>
        <v>Melakukan evaluasi perencanaan dan pelaksanaan usaha secara tertulis melibatkan unsur dari dalam poktan dan petani/poktan lain</v>
      </c>
      <c r="F57" s="84" t="str">
        <f>IF($D$27="Pemula","0-10",IF($D$27="Lanjut","11-40",IF($D$27="Madya","41-80","81-100")))</f>
        <v>41-80</v>
      </c>
      <c r="G57" s="22"/>
      <c r="H57" s="71"/>
    </row>
    <row r="58" spans="2:8" ht="2" customHeight="1" x14ac:dyDescent="0.35">
      <c r="B58" s="72"/>
      <c r="H58" s="61"/>
    </row>
    <row r="59" spans="2:8" s="10" customFormat="1" ht="40" customHeight="1" x14ac:dyDescent="0.35">
      <c r="B59" s="73" t="s">
        <v>1467</v>
      </c>
      <c r="C59" s="33">
        <v>1</v>
      </c>
      <c r="D59" s="36" t="s">
        <v>1407</v>
      </c>
      <c r="E59" s="80" t="str">
        <f>IF($D$27="Pemula",'Data Kriteria Indikator'!B13,IF($D$27="Lanjut",'Data Kriteria Indikator'!C13,IF($D$27="Madya",'Data Kriteria Indikator'!D13,IF($D$27="Utama",'Data Kriteria Indikator'!E13))))</f>
        <v>Sudah dilakukan pemilihan dan pergantian pengurus dengan periode waktu tertentu</v>
      </c>
      <c r="F59" s="85" t="str">
        <f>IF($D$27="Pemula","0-30",IF($D$27="Lanjut","31-50",IF($D$27="Madya","51-80","80-150")))</f>
        <v>51-80</v>
      </c>
      <c r="G59" s="23"/>
      <c r="H59" s="74"/>
    </row>
    <row r="60" spans="2:8" ht="2" customHeight="1" x14ac:dyDescent="0.35">
      <c r="B60" s="72"/>
      <c r="H60" s="61"/>
    </row>
    <row r="61" spans="2:8" ht="29" customHeight="1" thickBot="1" x14ac:dyDescent="0.4">
      <c r="B61" s="149" t="s">
        <v>1472</v>
      </c>
      <c r="C61" s="150"/>
      <c r="D61" s="151"/>
      <c r="E61" s="86"/>
      <c r="F61" s="87"/>
      <c r="G61" s="88">
        <f>SUM(G59,G57,G55,G53,G51,G49,G47,G45,G43,G41,G39,G37)</f>
        <v>0</v>
      </c>
      <c r="H61" s="89">
        <f>SUM(H59,H57,H55,H53,H51,H49,H47,H45,H43,H41,H39,H37)</f>
        <v>0</v>
      </c>
    </row>
    <row r="62" spans="2:8" ht="15" thickTop="1" x14ac:dyDescent="0.35">
      <c r="B62" s="17"/>
    </row>
    <row r="63" spans="2:8" x14ac:dyDescent="0.35">
      <c r="B63" s="17"/>
    </row>
    <row r="64" spans="2:8" x14ac:dyDescent="0.35">
      <c r="B64" s="17"/>
    </row>
  </sheetData>
  <mergeCells count="10">
    <mergeCell ref="B37:B39"/>
    <mergeCell ref="B41:B45"/>
    <mergeCell ref="B47:B55"/>
    <mergeCell ref="B61:D61"/>
    <mergeCell ref="D2:H2"/>
    <mergeCell ref="D4:H4"/>
    <mergeCell ref="D6:H6"/>
    <mergeCell ref="B24:H24"/>
    <mergeCell ref="B33:H33"/>
    <mergeCell ref="C35:E35"/>
  </mergeCells>
  <dataValidations count="9">
    <dataValidation type="list" allowBlank="1" showInputMessage="1" showErrorMessage="1" sqref="D2:F2" xr:uid="{6EDA0A7C-FCFE-4CC3-9A82-1A58BB8077EF}">
      <formula1>Kecamatan</formula1>
    </dataValidation>
    <dataValidation type="list" allowBlank="1" showInputMessage="1" showErrorMessage="1" sqref="D4:H4" xr:uid="{B708817B-2221-4173-B2DD-FF36AB3BF145}">
      <formula1>INDIRECT(SUBSTITUTE($D$2," ","_"))</formula1>
    </dataValidation>
    <dataValidation type="list" allowBlank="1" showInputMessage="1" showErrorMessage="1" sqref="D6:H6" xr:uid="{4477C577-746F-4039-93F8-C3A18CBDA1CE}">
      <formula1>INDIRECT(SUBSTITUTE($D$4," ","_"))</formula1>
    </dataValidation>
    <dataValidation type="list" allowBlank="1" showInputMessage="1" showErrorMessage="1" sqref="F27" xr:uid="{08781879-EB78-4441-9E06-80E0D17501C8}">
      <formula1>"Pemula,Lanjut,Madya,Utama"</formula1>
    </dataValidation>
    <dataValidation type="list" allowBlank="1" showInputMessage="1" showErrorMessage="1" sqref="D38:F38" xr:uid="{9AC1852A-0996-4DA3-8AE9-49E94FF26666}">
      <formula1>INDIRECT(SUBSTITUTE($B$37," ","_"))</formula1>
    </dataValidation>
    <dataValidation type="list" allowBlank="1" showInputMessage="1" showErrorMessage="1" sqref="D48:F48 D56:F56" xr:uid="{A1A0D348-6762-4682-A50B-623107BAF295}">
      <formula1>INDIRECT(SUBSTITUTE($B$47," ","_"))</formula1>
    </dataValidation>
    <dataValidation type="whole" allowBlank="1" showInputMessage="1" showErrorMessage="1" errorTitle="NILAI YANG ADA INPUT SALAH" error="Masukkan Nilai Antara 15 - 25" sqref="G37:H37" xr:uid="{23B47D69-EF02-4144-A723-8FD9833A3C1A}">
      <formula1>15</formula1>
      <formula2>25</formula2>
    </dataValidation>
    <dataValidation type="whole" allowBlank="1" showInputMessage="1" showErrorMessage="1" errorTitle="NILAI YANG ANDA INPUT SALAH" error="Masukkan Nilai Antara 51 - 75" sqref="G39:H39" xr:uid="{AB2DFF0C-5B07-43E3-B9A8-CD0F4790B3B8}">
      <formula1>51</formula1>
      <formula2>75</formula2>
    </dataValidation>
    <dataValidation type="whole" allowBlank="1" showInputMessage="1" showErrorMessage="1" errorTitle="NILAI YANG ANDA INPUT SALAH" error="Masukkan Nilai Antara 11 - 15" sqref="G41:H41" xr:uid="{E81BCAB4-5DB6-459D-81D9-539A6033D553}">
      <formula1>11</formula1>
      <formula2>15</formula2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191</vt:i4>
      </vt:variant>
    </vt:vector>
  </HeadingPairs>
  <TitlesOfParts>
    <vt:vector size="200" baseType="lpstr">
      <vt:lpstr>Data Desa</vt:lpstr>
      <vt:lpstr>Data Poktan List</vt:lpstr>
      <vt:lpstr>Data Poktan List (2)</vt:lpstr>
      <vt:lpstr>Data Aspek</vt:lpstr>
      <vt:lpstr>Data Indikator</vt:lpstr>
      <vt:lpstr>Data Kriteria Indikator</vt:lpstr>
      <vt:lpstr>Nama Poktan2</vt:lpstr>
      <vt:lpstr>Sheet1</vt:lpstr>
      <vt:lpstr>Instrumen</vt:lpstr>
      <vt:lpstr>Arjosari</vt:lpstr>
      <vt:lpstr>ASPEK</vt:lpstr>
      <vt:lpstr>Bandar</vt:lpstr>
      <vt:lpstr>Desa_Arjosari</vt:lpstr>
      <vt:lpstr>Desa_Arjowinangun</vt:lpstr>
      <vt:lpstr>Desa_Bandar</vt:lpstr>
      <vt:lpstr>Desa_Bangunsari__Bandar</vt:lpstr>
      <vt:lpstr>Desa_Bangunsari__Pacitan</vt:lpstr>
      <vt:lpstr>Desa_Banjarjo</vt:lpstr>
      <vt:lpstr>Desa_Banjarsari</vt:lpstr>
      <vt:lpstr>Desa_Belah</vt:lpstr>
      <vt:lpstr>Desa_Bodag</vt:lpstr>
      <vt:lpstr>Desa_Bogoharjo</vt:lpstr>
      <vt:lpstr>Desa_Bolosingo</vt:lpstr>
      <vt:lpstr>Desa_Bomo</vt:lpstr>
      <vt:lpstr>Desa_Borang</vt:lpstr>
      <vt:lpstr>Desa_Bubakan</vt:lpstr>
      <vt:lpstr>Desa_Bungur</vt:lpstr>
      <vt:lpstr>Desa_Candi</vt:lpstr>
      <vt:lpstr>Desa_Cangkring</vt:lpstr>
      <vt:lpstr>Desa_Cemeng</vt:lpstr>
      <vt:lpstr>Desa_Cokrokembang</vt:lpstr>
      <vt:lpstr>Desa_Dadapan</vt:lpstr>
      <vt:lpstr>Desa_Dersono</vt:lpstr>
      <vt:lpstr>Desa_Donorojo</vt:lpstr>
      <vt:lpstr>Desa_Gasang</vt:lpstr>
      <vt:lpstr>Desa_Gawang</vt:lpstr>
      <vt:lpstr>Desa_Gayuhan</vt:lpstr>
      <vt:lpstr>Desa_Gedangan</vt:lpstr>
      <vt:lpstr>Desa_Gedompol</vt:lpstr>
      <vt:lpstr>Desa_Gegeran</vt:lpstr>
      <vt:lpstr>Desa_Gemaharjo</vt:lpstr>
      <vt:lpstr>Desa_Gembong</vt:lpstr>
      <vt:lpstr>Desa_Gembuk</vt:lpstr>
      <vt:lpstr>Desa_Gendaran</vt:lpstr>
      <vt:lpstr>Desa_Glinggangan</vt:lpstr>
      <vt:lpstr>Desa_Gondang</vt:lpstr>
      <vt:lpstr>Desa_Gondosari</vt:lpstr>
      <vt:lpstr>Desa_Gunung_Rejo</vt:lpstr>
      <vt:lpstr>Desa_Gunungsari</vt:lpstr>
      <vt:lpstr>Desa_Hadiluwih</vt:lpstr>
      <vt:lpstr>Desa_Hadiwarno</vt:lpstr>
      <vt:lpstr>Desa_Jatigunung</vt:lpstr>
      <vt:lpstr>Desa_Jatimalang</vt:lpstr>
      <vt:lpstr>Desa_Jeruk</vt:lpstr>
      <vt:lpstr>Desa_Jetak</vt:lpstr>
      <vt:lpstr>Desa_Jetis_Kidul</vt:lpstr>
      <vt:lpstr>Desa_Jetislor</vt:lpstr>
      <vt:lpstr>Desa_Jlubang</vt:lpstr>
      <vt:lpstr>Desa_Kalak</vt:lpstr>
      <vt:lpstr>Desa_Kalikuning</vt:lpstr>
      <vt:lpstr>Desa_Kalipelus</vt:lpstr>
      <vt:lpstr>Desa_Karang_Mulyo</vt:lpstr>
      <vt:lpstr>Desa_Karanganyar</vt:lpstr>
      <vt:lpstr>Desa_Karanggede</vt:lpstr>
      <vt:lpstr>Desa_Karangnongko</vt:lpstr>
      <vt:lpstr>Desa_Karangrejo</vt:lpstr>
      <vt:lpstr>Desa_Kasihan</vt:lpstr>
      <vt:lpstr>Desa_Katipugal</vt:lpstr>
      <vt:lpstr>Desa_Kayen</vt:lpstr>
      <vt:lpstr>Desa_Kebonagung</vt:lpstr>
      <vt:lpstr>Desa_Kebondalem</vt:lpstr>
      <vt:lpstr>Desa_Kebonsari</vt:lpstr>
      <vt:lpstr>Desa_Kedungbendo</vt:lpstr>
      <vt:lpstr>Desa_Kembang</vt:lpstr>
      <vt:lpstr>Desa_Kemuning</vt:lpstr>
      <vt:lpstr>Desa_Kendal</vt:lpstr>
      <vt:lpstr>Desa_Ketanggung</vt:lpstr>
      <vt:lpstr>Desa_Ketepung</vt:lpstr>
      <vt:lpstr>Desa_Ketro__Kebonagung</vt:lpstr>
      <vt:lpstr>Desa_Ketro__Tulakan</vt:lpstr>
      <vt:lpstr>Desa_Ketro_Harjo</vt:lpstr>
      <vt:lpstr>Desa_Kledung</vt:lpstr>
      <vt:lpstr>Desa_Klepu__Donorojo</vt:lpstr>
      <vt:lpstr>Desa_Klepu__Sudimoro</vt:lpstr>
      <vt:lpstr>Desa_Klesem</vt:lpstr>
      <vt:lpstr>Desa_Kluwih</vt:lpstr>
      <vt:lpstr>Desa_Losari</vt:lpstr>
      <vt:lpstr>Desa_Mangunharjo</vt:lpstr>
      <vt:lpstr>Desa_Mantren__Kebonagung</vt:lpstr>
      <vt:lpstr>Desa_Mantren__Punung</vt:lpstr>
      <vt:lpstr>Desa_Menadi</vt:lpstr>
      <vt:lpstr>Desa_Mendolo_Kidul</vt:lpstr>
      <vt:lpstr>Desa_Mendolo_Lor</vt:lpstr>
      <vt:lpstr>Desa_Mentoro</vt:lpstr>
      <vt:lpstr>Desa_Mlati</vt:lpstr>
      <vt:lpstr>Desa_Mujing</vt:lpstr>
      <vt:lpstr>Desa_Nanggungan</vt:lpstr>
      <vt:lpstr>Desa_Nawangan</vt:lpstr>
      <vt:lpstr>Desa_Ngadirejan</vt:lpstr>
      <vt:lpstr>Desa_Ngadirojo</vt:lpstr>
      <vt:lpstr>Desa_Ngile</vt:lpstr>
      <vt:lpstr>Desa_Nglaran</vt:lpstr>
      <vt:lpstr>Desa_Ngreco</vt:lpstr>
      <vt:lpstr>Desa_Ngromo</vt:lpstr>
      <vt:lpstr>Desa_Ngumbul</vt:lpstr>
      <vt:lpstr>Desa_Ngunut</vt:lpstr>
      <vt:lpstr>Desa_Nogosari</vt:lpstr>
      <vt:lpstr>Desa_Padi</vt:lpstr>
      <vt:lpstr>Desa_Pager_Kidul</vt:lpstr>
      <vt:lpstr>Desa_Pager_Lor</vt:lpstr>
      <vt:lpstr>Desa_Pagerejo</vt:lpstr>
      <vt:lpstr>Desa_Pagutan</vt:lpstr>
      <vt:lpstr>Desa_Pakisbaru</vt:lpstr>
      <vt:lpstr>Desa_Pelem</vt:lpstr>
      <vt:lpstr>Desa_Penggung</vt:lpstr>
      <vt:lpstr>Desa_Petungsinarang</vt:lpstr>
      <vt:lpstr>Desa_Piton</vt:lpstr>
      <vt:lpstr>Desa_Ploso__Punung</vt:lpstr>
      <vt:lpstr>Desa_Ploso__Tegalombo</vt:lpstr>
      <vt:lpstr>Desa_Plumbungan</vt:lpstr>
      <vt:lpstr>Desa_Poko</vt:lpstr>
      <vt:lpstr>Desa_Ponggok</vt:lpstr>
      <vt:lpstr>Desa_Pringkuku</vt:lpstr>
      <vt:lpstr>Desa_Pucangombo</vt:lpstr>
      <vt:lpstr>Desa_Punjung</vt:lpstr>
      <vt:lpstr>Desa_Punung</vt:lpstr>
      <vt:lpstr>Desa_Purwoasri</vt:lpstr>
      <vt:lpstr>Desa_Purworejo</vt:lpstr>
      <vt:lpstr>Desa_Sambong</vt:lpstr>
      <vt:lpstr>Desa_Sanggrahan</vt:lpstr>
      <vt:lpstr>Desa_Sawahan</vt:lpstr>
      <vt:lpstr>Desa_Sedayu</vt:lpstr>
      <vt:lpstr>Desa_Sedeng</vt:lpstr>
      <vt:lpstr>Desa_Sekar</vt:lpstr>
      <vt:lpstr>Desa_Semanten</vt:lpstr>
      <vt:lpstr>Desa_Sembowo</vt:lpstr>
      <vt:lpstr>Desa_Sempu</vt:lpstr>
      <vt:lpstr>Desa_Sendang</vt:lpstr>
      <vt:lpstr>Desa_Sidomulyo__Kebonagung</vt:lpstr>
      <vt:lpstr>Desa_Sidomulyo__Ngadirojo</vt:lpstr>
      <vt:lpstr>Desa_Sirnoboyo</vt:lpstr>
      <vt:lpstr>Desa_Sobo</vt:lpstr>
      <vt:lpstr>Desa_Sooka</vt:lpstr>
      <vt:lpstr>Desa_Sudimoro</vt:lpstr>
      <vt:lpstr>Desa_Sugihwaras</vt:lpstr>
      <vt:lpstr>Desa_Sukodono</vt:lpstr>
      <vt:lpstr>Desa_Sukoharjo</vt:lpstr>
      <vt:lpstr>Desa_Sukorejo</vt:lpstr>
      <vt:lpstr>Desa_Sumber_Rejo</vt:lpstr>
      <vt:lpstr>Desa_Sumberharjo</vt:lpstr>
      <vt:lpstr>Desa_Tahunan</vt:lpstr>
      <vt:lpstr>Desa_Tahunan_Baru</vt:lpstr>
      <vt:lpstr>Desa_Tamanasri</vt:lpstr>
      <vt:lpstr>Desa_Tambakrejo</vt:lpstr>
      <vt:lpstr>Desa_Tanjunglor</vt:lpstr>
      <vt:lpstr>Desa_Tanjungpuro</vt:lpstr>
      <vt:lpstr>Desa_Tanjungsari</vt:lpstr>
      <vt:lpstr>Desa_Tegalombo</vt:lpstr>
      <vt:lpstr>Desa_Temon</vt:lpstr>
      <vt:lpstr>Desa_Tinatar</vt:lpstr>
      <vt:lpstr>Desa_Tokawi</vt:lpstr>
      <vt:lpstr>Desa_Tremas</vt:lpstr>
      <vt:lpstr>Desa_Tulakan</vt:lpstr>
      <vt:lpstr>Desa_Tumpuk</vt:lpstr>
      <vt:lpstr>Desa_Wareng</vt:lpstr>
      <vt:lpstr>Desa_Watu_Karung</vt:lpstr>
      <vt:lpstr>Desa_Watupatok</vt:lpstr>
      <vt:lpstr>Desa_Widoro__Donorojo</vt:lpstr>
      <vt:lpstr>Desa_Widoro__Pacitan</vt:lpstr>
      <vt:lpstr>Desa_Wiyoro</vt:lpstr>
      <vt:lpstr>Desa_Wonoanti</vt:lpstr>
      <vt:lpstr>Desa_Wonoasri</vt:lpstr>
      <vt:lpstr>Desa_Wonodadi_Kulon</vt:lpstr>
      <vt:lpstr>Desa_Wonodadi_Wetan</vt:lpstr>
      <vt:lpstr>Desa_Wonogondo</vt:lpstr>
      <vt:lpstr>Desa_Wonokarto</vt:lpstr>
      <vt:lpstr>Desa_Wonosidi</vt:lpstr>
      <vt:lpstr>Desa_Wonosobo</vt:lpstr>
      <vt:lpstr>Desa_Worawari</vt:lpstr>
      <vt:lpstr>Donorojo</vt:lpstr>
      <vt:lpstr>Kebonagung</vt:lpstr>
      <vt:lpstr>Kecamatan</vt:lpstr>
      <vt:lpstr>Kelurahan_Baleharjo</vt:lpstr>
      <vt:lpstr>Kelurahan_Pacitan</vt:lpstr>
      <vt:lpstr>Kelurahan_Ploso__Pacitan</vt:lpstr>
      <vt:lpstr>Kelurahan_Pucangsewu</vt:lpstr>
      <vt:lpstr>Kelurahan_Sidoharjo</vt:lpstr>
      <vt:lpstr>Kemampuan_Melaksanakan_Kegiatan</vt:lpstr>
      <vt:lpstr>Kemampuan_Melakukan_Pengendalian_dan_Pelaporan</vt:lpstr>
      <vt:lpstr>Kemampuan_Mengembangkan_Kepemimpinan_Kelompok_Tani</vt:lpstr>
      <vt:lpstr>Kemampuan_Mengorganisasikan</vt:lpstr>
      <vt:lpstr>Kemampuan_Merencanakan</vt:lpstr>
      <vt:lpstr>Nawangan</vt:lpstr>
      <vt:lpstr>Ngadirojo</vt:lpstr>
      <vt:lpstr>Pacitan</vt:lpstr>
      <vt:lpstr>Pringkuku</vt:lpstr>
      <vt:lpstr>Punung</vt:lpstr>
      <vt:lpstr>Sudimoro</vt:lpstr>
      <vt:lpstr>Tegalombo</vt:lpstr>
      <vt:lpstr>Tulakan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ika damayanti</dc:creator>
  <cp:lastModifiedBy>rias moko</cp:lastModifiedBy>
  <cp:lastPrinted>2024-10-31T08:25:55Z</cp:lastPrinted>
  <dcterms:created xsi:type="dcterms:W3CDTF">2024-10-15T07:18:00Z</dcterms:created>
  <dcterms:modified xsi:type="dcterms:W3CDTF">2025-11-04T15:03:16Z</dcterms:modified>
</cp:coreProperties>
</file>